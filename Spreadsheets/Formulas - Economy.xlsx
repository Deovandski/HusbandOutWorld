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ls Calculator" sheetId="1" r:id="rId5"/>
    <sheet state="visible" name="Salary Calculator" sheetId="2" r:id="rId6"/>
    <sheet state="visible" name="Distance Cost Calculator" sheetId="3" r:id="rId7"/>
    <sheet state="visible" name="BeastFauna Adventurer Calculato" sheetId="4" r:id="rId8"/>
    <sheet state="visible" name="Fauna Base Price Calculator" sheetId="5" r:id="rId9"/>
    <sheet state="visible" name="Beast Base Price Calculator" sheetId="6" r:id="rId10"/>
    <sheet state="visible" name="Flora Base Price Calculator" sheetId="7" r:id="rId11"/>
    <sheet state="visible" name="Ore Base Price Calculator" sheetId="8" r:id="rId12"/>
    <sheet state="visible" name="Equipment Price Calculator" sheetId="9" r:id="rId13"/>
    <sheet state="visible" name="Weapon &amp; Household Price Calcul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9">
      <text>
        <t xml:space="preserve">======
ID#AAABbUhF4ZQ
    (2025-01-12 21:17:03)
Reduction in cost due to Sanbi/Crucos abundance</t>
      </text>
    </comment>
    <comment authorId="0" ref="H53">
      <text>
        <t xml:space="preserve">======
ID#AAABbUhF4ZI
    (2025-01-12 21:17:03)
See Nari Stone. Forway applied the same rule due to it being an essential good</t>
      </text>
    </comment>
    <comment authorId="0" ref="N16">
      <text>
        <t xml:space="preserve">======
ID#AAABbUhF4ZM
    (2025-01-12 21:17:03)
Reduced cost due to abundance of bones, and iron ore availability that reduces forging costs</t>
      </text>
    </comment>
    <comment authorId="0" ref="P1">
      <text>
        <t xml:space="preserve">======
ID#AAABbUhF4ZE
    (2025-01-12 21:17:03)
Assume ~5g per ball</t>
      </text>
    </comment>
  </commentList>
</comments>
</file>

<file path=xl/sharedStrings.xml><?xml version="1.0" encoding="utf-8"?>
<sst xmlns="http://schemas.openxmlformats.org/spreadsheetml/2006/main" count="1984" uniqueCount="354">
  <si>
    <t>1 US DOLLAR = 1 PEARL BALL</t>
  </si>
  <si>
    <t>RAW</t>
  </si>
  <si>
    <t>AMOUNT</t>
  </si>
  <si>
    <t>Enter Pearls Amount</t>
  </si>
  <si>
    <t>Pearls</t>
  </si>
  <si>
    <t>Amethyst</t>
  </si>
  <si>
    <t>Aquamarine</t>
  </si>
  <si>
    <t>Sapphire</t>
  </si>
  <si>
    <t>Enter Amethyst Amount</t>
  </si>
  <si>
    <t>Peals | US Dollars</t>
  </si>
  <si>
    <t>Enter Aquamarine Amount</t>
  </si>
  <si>
    <t>Enter Sapphire Amount</t>
  </si>
  <si>
    <t>Salary</t>
  </si>
  <si>
    <t>Profits (Assuming Expenses ~75% of Earnings)</t>
  </si>
  <si>
    <t>Salary Per Hour (Pearls)</t>
  </si>
  <si>
    <t>Tier I</t>
  </si>
  <si>
    <t>Tier II</t>
  </si>
  <si>
    <t>Tier III</t>
  </si>
  <si>
    <t>Tier IV</t>
  </si>
  <si>
    <t>Tier V</t>
  </si>
  <si>
    <t>Tier VI</t>
  </si>
  <si>
    <t>Apprentice</t>
  </si>
  <si>
    <t>Master</t>
  </si>
  <si>
    <t>Salary Per Day (12 Hours) (Pearls)</t>
  </si>
  <si>
    <t>Profit Per Day (12 Hours) (Pearls)</t>
  </si>
  <si>
    <t>Salary Per Week (~4 Days) (Pearls)</t>
  </si>
  <si>
    <t>Profit Per Week (~4 Days) (Pearls)</t>
  </si>
  <si>
    <t>Salary Per Year (73 Weeks) (Pearls)</t>
  </si>
  <si>
    <t>Profit Per Year (73 Weeks) (Pearls)</t>
  </si>
  <si>
    <t>Salary Per Year (73 Weeks) (Sapphire)</t>
  </si>
  <si>
    <t>Profit Per Year (73 Weeks) (Sapphire)</t>
  </si>
  <si>
    <t>Distance Cost Tier</t>
  </si>
  <si>
    <t>Referential Cost Chart</t>
  </si>
  <si>
    <t>Tier I - Cheap Goods</t>
  </si>
  <si>
    <t>Km/Kg</t>
  </si>
  <si>
    <t>D.C.T</t>
  </si>
  <si>
    <t>200km</t>
  </si>
  <si>
    <t>400km</t>
  </si>
  <si>
    <t>600km</t>
  </si>
  <si>
    <t>800km</t>
  </si>
  <si>
    <t>1000km</t>
  </si>
  <si>
    <t>1500km</t>
  </si>
  <si>
    <t>2000km</t>
  </si>
  <si>
    <t>Tier II - Common Goods</t>
  </si>
  <si>
    <t>Tier III - Expensive Goods</t>
  </si>
  <si>
    <t>Tier IV - Nobility Goods</t>
  </si>
  <si>
    <t>*D.C.T Assumes full usage of Egua Cargo Pull limit.</t>
  </si>
  <si>
    <t>Constants</t>
  </si>
  <si>
    <t>*Daily Egua Distance Limit (Ride)</t>
  </si>
  <si>
    <t>km</t>
  </si>
  <si>
    <t>D.C.T Days</t>
  </si>
  <si>
    <t>*Daily Egua Distance Limit (Cargo)</t>
  </si>
  <si>
    <t>All Goods</t>
  </si>
  <si>
    <t>Egua Cargo Pull Limit</t>
  </si>
  <si>
    <t>kg *30kg for rider, etc</t>
  </si>
  <si>
    <t>Calculator</t>
  </si>
  <si>
    <t>ENTER KG</t>
  </si>
  <si>
    <t>KG</t>
  </si>
  <si>
    <t>Freeish Region</t>
  </si>
  <si>
    <t>Gandew Region</t>
  </si>
  <si>
    <t>Enter D.C.T</t>
  </si>
  <si>
    <t>Route</t>
  </si>
  <si>
    <t>Distance (Km)</t>
  </si>
  <si>
    <t>Tier I Cost (Pearls)</t>
  </si>
  <si>
    <t>Tier II Cost (Pearls)</t>
  </si>
  <si>
    <t>Tier III Cost (Pearls)</t>
  </si>
  <si>
    <t>Tier IV Cost (Pearls)</t>
  </si>
  <si>
    <t>ETA Ride (Days)</t>
  </si>
  <si>
    <t>ETA Cargo (Days)</t>
  </si>
  <si>
    <t>*Number of Eguas required</t>
  </si>
  <si>
    <t>*Costs are roudned up to the fullest egua cart</t>
  </si>
  <si>
    <t>Sanbi Region</t>
  </si>
  <si>
    <t>Tolerideme Region</t>
  </si>
  <si>
    <t>Notes</t>
  </si>
  <si>
    <t>ForWay City - Flatland City</t>
  </si>
  <si>
    <t>ForWay City - Tolerideme Kingdom</t>
  </si>
  <si>
    <t>ForWay City - Sanbi Kingdom</t>
  </si>
  <si>
    <t>ForWay City - Freeish Kingdom</t>
  </si>
  <si>
    <t>.+139 DeltaCross</t>
  </si>
  <si>
    <t>Triangle - Whiteland</t>
  </si>
  <si>
    <t>EndlessFog - Newland</t>
  </si>
  <si>
    <t>PRICES HERE ASSUME COMPARATIVE ADVANTAGE. SEE FAUNA/BEASTS BASE PRICE FOR FINAL PRICE</t>
  </si>
  <si>
    <t>Egua Cargo Pull Limit (Kg)</t>
  </si>
  <si>
    <t>*Daily Egua Cargo Distance Limit (Km)</t>
  </si>
  <si>
    <t>Added Cost</t>
  </si>
  <si>
    <t>Avg Days</t>
  </si>
  <si>
    <t>*Includes costs such as butchering time, and tool wear</t>
  </si>
  <si>
    <t>*Under most cases.</t>
  </si>
  <si>
    <t>Beast/Fauna</t>
  </si>
  <si>
    <t>Butchering</t>
  </si>
  <si>
    <t>Adventurer RAW Earnings</t>
  </si>
  <si>
    <t>Adventurer Earnings with D.C.T</t>
  </si>
  <si>
    <t>City/Village Base Cost</t>
  </si>
  <si>
    <t>MEAT</t>
  </si>
  <si>
    <t>BONE</t>
  </si>
  <si>
    <t>OTHER</t>
  </si>
  <si>
    <t>USABLE</t>
  </si>
  <si>
    <t>WASTE*</t>
  </si>
  <si>
    <t>Animal</t>
  </si>
  <si>
    <t>Kg</t>
  </si>
  <si>
    <t>Pearls/Body*</t>
  </si>
  <si>
    <t>%</t>
  </si>
  <si>
    <t>Other  %</t>
  </si>
  <si>
    <t>Other (Kg)</t>
  </si>
  <si>
    <t>Cost (Pearl/Kg)</t>
  </si>
  <si>
    <t>Waste %</t>
  </si>
  <si>
    <t>Waste (Kg)</t>
  </si>
  <si>
    <t>QTY TO FILL CART</t>
  </si>
  <si>
    <t>Total Pearls</t>
  </si>
  <si>
    <t>Pearls/Day</t>
  </si>
  <si>
    <t>Bagarisa</t>
  </si>
  <si>
    <t>Barina</t>
  </si>
  <si>
    <t>Big Winga</t>
  </si>
  <si>
    <t>Bruntos</t>
  </si>
  <si>
    <t>Crocus</t>
  </si>
  <si>
    <t>Egua</t>
  </si>
  <si>
    <t>Fanchaki</t>
  </si>
  <si>
    <t>Fatupari</t>
  </si>
  <si>
    <t>Fihi</t>
  </si>
  <si>
    <t>Flinga</t>
  </si>
  <si>
    <t>Koalin</t>
  </si>
  <si>
    <t>Legunia</t>
  </si>
  <si>
    <t>Nari Worms</t>
  </si>
  <si>
    <t>Sanbi</t>
  </si>
  <si>
    <t>Sand Worms</t>
  </si>
  <si>
    <t>Sayna</t>
  </si>
  <si>
    <t>Shapeshifter</t>
  </si>
  <si>
    <t>Soreno</t>
  </si>
  <si>
    <t>Sweet Sting</t>
  </si>
  <si>
    <t>Trunk People</t>
  </si>
  <si>
    <t>Walking Flathead</t>
  </si>
  <si>
    <t>White Roundies</t>
  </si>
  <si>
    <t>Winga/Pink Winga</t>
  </si>
  <si>
    <t>Wood People</t>
  </si>
  <si>
    <t>Wooly</t>
  </si>
  <si>
    <t>Wozen</t>
  </si>
  <si>
    <t>Monica</t>
  </si>
  <si>
    <t>Cinica</t>
  </si>
  <si>
    <t>Vars + Guide</t>
  </si>
  <si>
    <t>Herbivores</t>
  </si>
  <si>
    <t>Carnivores</t>
  </si>
  <si>
    <t>Omnivores</t>
  </si>
  <si>
    <t>Region Color Guide</t>
  </si>
  <si>
    <t>Freeish Region (Tier II Avg)</t>
  </si>
  <si>
    <t>Comparative Advantage</t>
  </si>
  <si>
    <t>Cost (Pearls)</t>
  </si>
  <si>
    <t>Shipping</t>
  </si>
  <si>
    <t>Meat</t>
  </si>
  <si>
    <t>Jerky</t>
  </si>
  <si>
    <t>Other</t>
  </si>
  <si>
    <t>25 Eggs (x2)</t>
  </si>
  <si>
    <t>Tamed</t>
  </si>
  <si>
    <t>Roe</t>
  </si>
  <si>
    <t>From Freeish</t>
  </si>
  <si>
    <t>%Change</t>
  </si>
  <si>
    <t>~3cm</t>
  </si>
  <si>
    <t>Adult</t>
  </si>
  <si>
    <t>From Gandew</t>
  </si>
  <si>
    <t>UOM</t>
  </si>
  <si>
    <t>~40g/Each</t>
  </si>
  <si>
    <t>*1 Amethyst</t>
  </si>
  <si>
    <t>From Sanbi</t>
  </si>
  <si>
    <t>Freeish</t>
  </si>
  <si>
    <t>From Tolerideme</t>
  </si>
  <si>
    <t>Gandew Region (Tier II Avg)</t>
  </si>
  <si>
    <t>Gandew</t>
  </si>
  <si>
    <t>UOM Per 1kg</t>
  </si>
  <si>
    <t>Tolerideme</t>
  </si>
  <si>
    <t>Manual UOM</t>
  </si>
  <si>
    <t>Calculator Weight</t>
  </si>
  <si>
    <t>kg</t>
  </si>
  <si>
    <t>*DO NOT CHANGE HERE*</t>
  </si>
  <si>
    <t>Sanbi Region (Tier II Avg)</t>
  </si>
  <si>
    <t>Sausage</t>
  </si>
  <si>
    <t>Child</t>
  </si>
  <si>
    <t>Baby</t>
  </si>
  <si>
    <t>*1 Aquamarine</t>
  </si>
  <si>
    <t>*1 Sapphire</t>
  </si>
  <si>
    <t>*Aquamarine</t>
  </si>
  <si>
    <t>Tolerideme Region (Tier II Avg)</t>
  </si>
  <si>
    <t>--</t>
  </si>
  <si>
    <t>Milk</t>
  </si>
  <si>
    <t>Dried Milk</t>
  </si>
  <si>
    <t>Gyut Milk</t>
  </si>
  <si>
    <t>Dried Gyut Milk</t>
  </si>
  <si>
    <t>9 Eggs</t>
  </si>
  <si>
    <t>10 Eggs (2x)</t>
  </si>
  <si>
    <t>~8cm</t>
  </si>
  <si>
    <t>~5cm</t>
  </si>
  <si>
    <t>*3 S.A | 5 A.Q</t>
  </si>
  <si>
    <t>L</t>
  </si>
  <si>
    <t>~110g/Each</t>
  </si>
  <si>
    <t>~70g/Each</t>
  </si>
  <si>
    <t>Wooly (continued)</t>
  </si>
  <si>
    <t>Cheese</t>
  </si>
  <si>
    <t>Gyut Cheese</t>
  </si>
  <si>
    <t>40 Eggs (2x)</t>
  </si>
  <si>
    <t>~2cm</t>
  </si>
  <si>
    <t>~25g/Each</t>
  </si>
  <si>
    <t>4 Eggs</t>
  </si>
  <si>
    <t>~10cm</t>
  </si>
  <si>
    <t>~240g/Each</t>
  </si>
  <si>
    <t>Cinika</t>
  </si>
  <si>
    <t>Aggresive</t>
  </si>
  <si>
    <t>Defensive</t>
  </si>
  <si>
    <t>Amicable</t>
  </si>
  <si>
    <t>Sand Worm</t>
  </si>
  <si>
    <t>7 Eggs</t>
  </si>
  <si>
    <t>Black Honey</t>
  </si>
  <si>
    <t>Black Mead</t>
  </si>
  <si>
    <t>1 Egg</t>
  </si>
  <si>
    <t>~65cm</t>
  </si>
  <si>
    <t>~140g/Each</t>
  </si>
  <si>
    <t>~1.4Kg/Each | 1 S.A</t>
  </si>
  <si>
    <t>*10 S.A</t>
  </si>
  <si>
    <t>5 Eggs</t>
  </si>
  <si>
    <t>Nari Stone</t>
  </si>
  <si>
    <t>~35cm</t>
  </si>
  <si>
    <t>~700g/Each</t>
  </si>
  <si>
    <t>~200g/Each</t>
  </si>
  <si>
    <t>Shrubs</t>
  </si>
  <si>
    <t>Plants</t>
  </si>
  <si>
    <t>Fruit Trees</t>
  </si>
  <si>
    <t>Non-fruit Trees</t>
  </si>
  <si>
    <t>Grass</t>
  </si>
  <si>
    <t>Mushrooms</t>
  </si>
  <si>
    <t>Roots</t>
  </si>
  <si>
    <t>Freeish Region (Tier I Avg)</t>
  </si>
  <si>
    <t>Gyut</t>
  </si>
  <si>
    <t>Girdol</t>
  </si>
  <si>
    <t>Cocona</t>
  </si>
  <si>
    <t>Tastyleaf</t>
  </si>
  <si>
    <t>Carbey</t>
  </si>
  <si>
    <t>Lakata</t>
  </si>
  <si>
    <t>Cadioca</t>
  </si>
  <si>
    <t>Berries</t>
  </si>
  <si>
    <t>Dried</t>
  </si>
  <si>
    <t>Juice</t>
  </si>
  <si>
    <t>Hard Juice</t>
  </si>
  <si>
    <t>Flowers</t>
  </si>
  <si>
    <t>Single Fruit</t>
  </si>
  <si>
    <t>Fruit</t>
  </si>
  <si>
    <t>Fresh Leaves</t>
  </si>
  <si>
    <t>Grounded Leaves</t>
  </si>
  <si>
    <t>Flour</t>
  </si>
  <si>
    <t>Bread</t>
  </si>
  <si>
    <t>Beer</t>
  </si>
  <si>
    <t>Ale</t>
  </si>
  <si>
    <t>Caps</t>
  </si>
  <si>
    <t>Coarse Flour</t>
  </si>
  <si>
    <t>~78cm</t>
  </si>
  <si>
    <t>~2kg - 70% Edible</t>
  </si>
  <si>
    <t>Gandew Region (Tier I Avg)</t>
  </si>
  <si>
    <t>*Often available at lower, or multiple fruits for the same price.</t>
  </si>
  <si>
    <t>Sanbi Region (Tier I Avg)</t>
  </si>
  <si>
    <t>Siguash</t>
  </si>
  <si>
    <t>Steen</t>
  </si>
  <si>
    <t>Rakuja</t>
  </si>
  <si>
    <t>Domar Carbey</t>
  </si>
  <si>
    <t>Panita</t>
  </si>
  <si>
    <t>Lolish</t>
  </si>
  <si>
    <t>Leaves</t>
  </si>
  <si>
    <t>Tree core</t>
  </si>
  <si>
    <t>~70g - 75% Edible</t>
  </si>
  <si>
    <t>Tolerideme Region (Tier I Avg)</t>
  </si>
  <si>
    <t>Basi</t>
  </si>
  <si>
    <t>Tibou</t>
  </si>
  <si>
    <t>Gosutam</t>
  </si>
  <si>
    <t>Lehuj</t>
  </si>
  <si>
    <t>Tyr</t>
  </si>
  <si>
    <t>Pulp</t>
  </si>
  <si>
    <t>~7cm</t>
  </si>
  <si>
    <t>~100g - 50% Edible</t>
  </si>
  <si>
    <t>Magina</t>
  </si>
  <si>
    <t>Yabuca</t>
  </si>
  <si>
    <t>~11cm</t>
  </si>
  <si>
    <t>~330g - 80% Edible</t>
  </si>
  <si>
    <t>Nica</t>
  </si>
  <si>
    <t>Wood Yabuca</t>
  </si>
  <si>
    <t>Seeds</t>
  </si>
  <si>
    <t>Hifuna Yabuca</t>
  </si>
  <si>
    <t>Concentrated J</t>
  </si>
  <si>
    <t>Purplebread</t>
  </si>
  <si>
    <t>~200g - 47% Edible</t>
  </si>
  <si>
    <t>Greenbread</t>
  </si>
  <si>
    <t>Roasted Beans</t>
  </si>
  <si>
    <t>~Human Size</t>
  </si>
  <si>
    <t>~80kg - 78% Edible</t>
  </si>
  <si>
    <t>Tenderthrough</t>
  </si>
  <si>
    <t>Dried Seeds</t>
  </si>
  <si>
    <t>~18cm</t>
  </si>
  <si>
    <t>~500g - 80% Edible</t>
  </si>
  <si>
    <t>Lonllow</t>
  </si>
  <si>
    <t>~9cm</t>
  </si>
  <si>
    <t>~150g - 90% Edible</t>
  </si>
  <si>
    <t>Buzeta</t>
  </si>
  <si>
    <t>~150g - 80% Edible</t>
  </si>
  <si>
    <t>Mineral/Organic Resources Calculator</t>
  </si>
  <si>
    <t>Wood Resources Calculator</t>
  </si>
  <si>
    <t>Money Resources Calculator</t>
  </si>
  <si>
    <t>Rare Resources Calculator</t>
  </si>
  <si>
    <t>Coal</t>
  </si>
  <si>
    <t>Wood</t>
  </si>
  <si>
    <t>Pearl</t>
  </si>
  <si>
    <t>Walking Heart</t>
  </si>
  <si>
    <t>Prepared</t>
  </si>
  <si>
    <t>Iron/Steel Ore</t>
  </si>
  <si>
    <t>Bone Wood</t>
  </si>
  <si>
    <t>Gold</t>
  </si>
  <si>
    <t>Iron Ingot</t>
  </si>
  <si>
    <t>Steel Ingot</t>
  </si>
  <si>
    <t>Smelted</t>
  </si>
  <si>
    <t>Chitin</t>
  </si>
  <si>
    <t>Soul Wood</t>
  </si>
  <si>
    <t>Diamond</t>
  </si>
  <si>
    <t>Animal Hide/Leather</t>
  </si>
  <si>
    <t>Black Wood</t>
  </si>
  <si>
    <t>Fost Stone</t>
  </si>
  <si>
    <t>Cooper</t>
  </si>
  <si>
    <t>Equipment</t>
  </si>
  <si>
    <t>Graphs</t>
  </si>
  <si>
    <t>Helmet</t>
  </si>
  <si>
    <t>Full Set</t>
  </si>
  <si>
    <t>Freeish Avg Days Summary Table</t>
  </si>
  <si>
    <t>Iron</t>
  </si>
  <si>
    <t>Steel</t>
  </si>
  <si>
    <t>Leather</t>
  </si>
  <si>
    <t>Wage Tier</t>
  </si>
  <si>
    <t>MATERIAL COST ALONE + SHIPPING.</t>
  </si>
  <si>
    <t>Unit</t>
  </si>
  <si>
    <t>Avg Cost in Amethyst</t>
  </si>
  <si>
    <t>Chest</t>
  </si>
  <si>
    <t>Full Set (Master level Work Days assuming 1/2 salary as savings)</t>
  </si>
  <si>
    <t>Gandew Avg Days Summary Table</t>
  </si>
  <si>
    <t>Days</t>
  </si>
  <si>
    <t>Tier I Avg Days</t>
  </si>
  <si>
    <t>Arm</t>
  </si>
  <si>
    <t>Tolerideme Avg Days Summary Table</t>
  </si>
  <si>
    <t>Tier II Avg Days</t>
  </si>
  <si>
    <t>Leg</t>
  </si>
  <si>
    <t>Sanbi Avg Days Summary Table</t>
  </si>
  <si>
    <t>Tier III Avg Days</t>
  </si>
  <si>
    <t>Tier IV Avg Days</t>
  </si>
  <si>
    <t>Weapons</t>
  </si>
  <si>
    <t>Soul Energy</t>
  </si>
  <si>
    <t>Freeish Region (Tier III Avg)</t>
  </si>
  <si>
    <t>Daggers</t>
  </si>
  <si>
    <t>Sigil Rings</t>
  </si>
  <si>
    <t>Gandew Region (Tier III Avg)</t>
  </si>
  <si>
    <t>Sanbi Region (Tier III Avg)</t>
  </si>
  <si>
    <t>Swords</t>
  </si>
  <si>
    <t>Tolerideme Region (Tier III Avg)</t>
  </si>
  <si>
    <t>Longsword</t>
  </si>
  <si>
    <t>Bow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</si>
</sst>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D9D9D9"/>
      <name val="Arial"/>
    </font>
    <font>
      <b/>
      <color rgb="FFFF9900"/>
      <name val="Arial"/>
    </font>
    <font>
      <b/>
      <color rgb="FFFFFF00"/>
      <name val="Arial"/>
    </font>
    <font/>
    <font>
      <b/>
      <sz val="11.0"/>
      <color rgb="FF000000"/>
      <name val="Inconsolata"/>
    </font>
    <font>
      <b/>
      <color rgb="FFFF0000"/>
      <name val="Arial"/>
    </font>
    <font>
      <sz val="11.0"/>
      <color rgb="FF7E3794"/>
      <name val="Inconsolata"/>
    </font>
    <font>
      <b/>
      <sz val="6.0"/>
      <color theme="1"/>
      <name val="Arial"/>
    </font>
    <font>
      <color rgb="FFCCCCCC"/>
      <name val="Arial"/>
    </font>
    <font>
      <b/>
      <color rgb="FFCCCCCC"/>
      <name val="Arial"/>
    </font>
    <font>
      <b/>
      <color rgb="FFB7B7B7"/>
      <name val="Arial"/>
    </font>
    <font>
      <sz val="11.0"/>
      <color rgb="FF11A9CC"/>
      <name val="Inconsolata"/>
    </font>
    <font>
      <sz val="6.0"/>
      <color theme="1"/>
      <name val="Arial"/>
    </font>
    <font>
      <sz val="9.0"/>
      <color theme="1"/>
      <name val="Arial"/>
    </font>
    <font>
      <b/>
      <sz val="7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color rgb="FFFFFFFF"/>
      <name val="Arial"/>
    </font>
    <font>
      <b/>
      <sz val="7.0"/>
      <color rgb="FF000000"/>
      <name val="Arial"/>
    </font>
    <font>
      <color rgb="FFFF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2" numFmtId="3" xfId="0" applyAlignment="1" applyFont="1" applyNumberFormat="1">
      <alignment horizontal="right" readingOrder="0" vertical="bottom"/>
    </xf>
    <xf borderId="1" fillId="0" fontId="3" numFmtId="3" xfId="0" applyAlignment="1" applyBorder="1" applyFont="1" applyNumberFormat="1">
      <alignment horizontal="right" vertical="bottom"/>
    </xf>
    <xf borderId="1" fillId="2" fontId="1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right" vertical="bottom"/>
    </xf>
    <xf borderId="1" fillId="2" fontId="1" numFmtId="1" xfId="0" applyAlignment="1" applyBorder="1" applyFont="1" applyNumberFormat="1">
      <alignment horizontal="center" vertical="bottom"/>
    </xf>
    <xf borderId="0" fillId="3" fontId="1" numFmtId="0" xfId="0" applyAlignment="1" applyFill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3" fontId="4" numFmtId="0" xfId="0" applyAlignment="1" applyFont="1">
      <alignment horizontal="center"/>
    </xf>
    <xf borderId="0" fillId="3" fontId="1" numFmtId="0" xfId="0" applyFont="1"/>
    <xf borderId="0" fillId="3" fontId="5" numFmtId="0" xfId="0" applyAlignment="1" applyFont="1">
      <alignment horizontal="center"/>
    </xf>
    <xf borderId="0" fillId="4" fontId="1" numFmtId="0" xfId="0" applyFill="1" applyFont="1"/>
    <xf borderId="1" fillId="3" fontId="2" numFmtId="0" xfId="0" applyBorder="1" applyFont="1"/>
    <xf borderId="1" fillId="2" fontId="2" numFmtId="0" xfId="0" applyBorder="1" applyFont="1"/>
    <xf borderId="1" fillId="0" fontId="1" numFmtId="0" xfId="0" applyBorder="1" applyFont="1"/>
    <xf borderId="0" fillId="3" fontId="2" numFmtId="0" xfId="0" applyAlignment="1" applyFont="1">
      <alignment horizontal="center"/>
    </xf>
    <xf borderId="0" fillId="3" fontId="2" numFmtId="0" xfId="0" applyAlignment="1" applyFont="1">
      <alignment shrinkToFit="0" wrapText="1"/>
    </xf>
    <xf borderId="0" fillId="3" fontId="1" numFmtId="2" xfId="0" applyFont="1" applyNumberFormat="1"/>
    <xf borderId="1" fillId="0" fontId="1" numFmtId="2" xfId="0" applyBorder="1" applyFont="1" applyNumberFormat="1"/>
    <xf borderId="2" fillId="3" fontId="5" numFmtId="0" xfId="0" applyAlignment="1" applyBorder="1" applyFont="1">
      <alignment horizontal="center" vertical="bottom"/>
    </xf>
    <xf borderId="3" fillId="0" fontId="6" numFmtId="0" xfId="0" applyBorder="1" applyFont="1"/>
    <xf borderId="4" fillId="0" fontId="6" numFmtId="0" xfId="0" applyBorder="1" applyFont="1"/>
    <xf borderId="0" fillId="3" fontId="5" numFmtId="0" xfId="0" applyAlignment="1" applyFont="1">
      <alignment horizontal="center" vertical="bottom"/>
    </xf>
    <xf borderId="1" fillId="0" fontId="2" numFmtId="1" xfId="0" applyAlignment="1" applyBorder="1" applyFont="1" applyNumberFormat="1">
      <alignment horizontal="right" vertical="bottom"/>
    </xf>
    <xf borderId="1" fillId="5" fontId="7" numFmtId="0" xfId="0" applyBorder="1" applyFill="1" applyFont="1"/>
    <xf borderId="0" fillId="0" fontId="2" numFmtId="0" xfId="0" applyAlignment="1" applyFont="1">
      <alignment horizontal="center" vertical="bottom"/>
    </xf>
    <xf borderId="1" fillId="0" fontId="1" numFmtId="1" xfId="0" applyBorder="1" applyFont="1" applyNumberFormat="1"/>
    <xf borderId="0" fillId="0" fontId="1" numFmtId="1" xfId="0" applyFont="1" applyNumberFormat="1"/>
    <xf borderId="1" fillId="0" fontId="8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right" vertical="bottom"/>
    </xf>
    <xf borderId="1" fillId="5" fontId="9" numFmtId="1" xfId="0" applyBorder="1" applyFont="1" applyNumberFormat="1"/>
    <xf borderId="0" fillId="5" fontId="9" numFmtId="1" xfId="0" applyFont="1" applyNumberFormat="1"/>
    <xf borderId="1" fillId="6" fontId="1" numFmtId="0" xfId="0" applyAlignment="1" applyBorder="1" applyFill="1" applyFont="1">
      <alignment horizontal="right" vertical="bottom"/>
    </xf>
    <xf borderId="0" fillId="0" fontId="8" numFmtId="0" xfId="0" applyAlignment="1" applyFont="1">
      <alignment vertical="bottom"/>
    </xf>
    <xf borderId="0" fillId="3" fontId="1" numFmtId="2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7" fontId="5" numFmtId="1" xfId="0" applyAlignment="1" applyBorder="1" applyFill="1" applyFont="1" applyNumberFormat="1">
      <alignment horizontal="right" vertical="bottom"/>
    </xf>
    <xf borderId="2" fillId="3" fontId="5" numFmtId="0" xfId="0" applyAlignment="1" applyBorder="1" applyFont="1">
      <alignment horizontal="center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shrinkToFit="0" vertical="bottom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1" fillId="7" fontId="5" numFmtId="1" xfId="0" applyAlignment="1" applyBorder="1" applyFont="1" applyNumberFormat="1">
      <alignment horizontal="center" vertical="bottom"/>
    </xf>
    <xf borderId="1" fillId="5" fontId="14" numFmtId="2" xfId="0" applyAlignment="1" applyBorder="1" applyFont="1" applyNumberFormat="1">
      <alignment horizontal="right" vertical="bottom"/>
    </xf>
    <xf borderId="0" fillId="7" fontId="5" numFmtId="1" xfId="0" applyAlignment="1" applyFont="1" applyNumberFormat="1">
      <alignment horizontal="center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7" fontId="4" numFmtId="0" xfId="0" applyAlignment="1" applyFont="1">
      <alignment horizontal="center"/>
    </xf>
    <xf borderId="1" fillId="0" fontId="15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/>
    </xf>
    <xf borderId="1" fillId="0" fontId="1" numFmtId="10" xfId="0" applyAlignment="1" applyBorder="1" applyFont="1" applyNumberFormat="1">
      <alignment horizontal="center"/>
    </xf>
    <xf borderId="5" fillId="0" fontId="15" numFmtId="0" xfId="0" applyAlignment="1" applyBorder="1" applyFont="1">
      <alignment horizontal="center" shrinkToFit="0" vertical="bottom" wrapText="1"/>
    </xf>
    <xf borderId="5" fillId="0" fontId="1" numFmtId="1" xfId="0" applyAlignment="1" applyBorder="1" applyFont="1" applyNumberFormat="1">
      <alignment horizontal="center"/>
    </xf>
    <xf borderId="0" fillId="0" fontId="1" numFmtId="0" xfId="0" applyAlignment="1" applyFont="1">
      <alignment shrinkToFit="0" wrapText="1"/>
    </xf>
    <xf borderId="6" fillId="0" fontId="6" numFmtId="0" xfId="0" applyBorder="1" applyFont="1"/>
    <xf borderId="0" fillId="0" fontId="16" numFmtId="0" xfId="0" applyAlignment="1" applyFont="1">
      <alignment shrinkToFit="0" wrapText="1"/>
    </xf>
    <xf borderId="0" fillId="0" fontId="1" numFmtId="0" xfId="0" applyFont="1"/>
    <xf borderId="0" fillId="2" fontId="2" numFmtId="0" xfId="0" applyAlignment="1" applyFont="1">
      <alignment horizontal="center" shrinkToFit="0" wrapText="1"/>
    </xf>
    <xf borderId="7" fillId="2" fontId="2" numFmtId="0" xfId="0" applyAlignment="1" applyBorder="1" applyFont="1">
      <alignment horizontal="center" shrinkToFit="0" wrapText="1"/>
    </xf>
    <xf borderId="7" fillId="0" fontId="6" numFmtId="0" xfId="0" applyBorder="1" applyFont="1"/>
    <xf borderId="0" fillId="2" fontId="17" numFmtId="0" xfId="0" applyAlignment="1" applyFont="1">
      <alignment horizontal="center" shrinkToFit="0" wrapText="1"/>
    </xf>
    <xf borderId="0" fillId="2" fontId="18" numFmtId="0" xfId="0" applyAlignment="1" applyFont="1">
      <alignment horizontal="center" shrinkToFit="0" wrapText="1"/>
    </xf>
    <xf borderId="8" fillId="0" fontId="6" numFmtId="0" xfId="0" applyBorder="1" applyFont="1"/>
    <xf borderId="0" fillId="0" fontId="2" numFmtId="0" xfId="0" applyAlignment="1" applyFont="1">
      <alignment shrinkToFit="0" wrapText="1"/>
    </xf>
    <xf borderId="8" fillId="0" fontId="2" numFmtId="0" xfId="0" applyAlignment="1" applyBorder="1" applyFont="1">
      <alignment shrinkToFit="0" wrapText="1"/>
    </xf>
    <xf borderId="8" fillId="0" fontId="17" numFmtId="0" xfId="0" applyAlignment="1" applyBorder="1" applyFont="1">
      <alignment shrinkToFit="0" wrapText="1"/>
    </xf>
    <xf borderId="0" fillId="0" fontId="18" numFmtId="0" xfId="0" applyAlignment="1" applyFont="1">
      <alignment shrinkToFit="0" wrapText="1"/>
    </xf>
    <xf borderId="0" fillId="0" fontId="19" numFmtId="0" xfId="0" applyAlignment="1" applyFont="1">
      <alignment shrinkToFit="0" wrapText="1"/>
    </xf>
    <xf borderId="0" fillId="6" fontId="1" numFmtId="0" xfId="0" applyFont="1"/>
    <xf borderId="0" fillId="6" fontId="1" numFmtId="9" xfId="0" applyFont="1" applyNumberFormat="1"/>
    <xf borderId="8" fillId="8" fontId="1" numFmtId="2" xfId="0" applyBorder="1" applyFill="1" applyFont="1" applyNumberFormat="1"/>
    <xf borderId="0" fillId="8" fontId="1" numFmtId="9" xfId="0" applyFont="1" applyNumberFormat="1"/>
    <xf borderId="0" fillId="8" fontId="1" numFmtId="2" xfId="0" applyFont="1" applyNumberFormat="1"/>
    <xf borderId="8" fillId="9" fontId="1" numFmtId="1" xfId="0" applyBorder="1" applyFill="1" applyFont="1" applyNumberFormat="1"/>
    <xf borderId="0" fillId="10" fontId="1" numFmtId="9" xfId="0" applyFill="1" applyFont="1" applyNumberFormat="1"/>
    <xf borderId="0" fillId="10" fontId="1" numFmtId="2" xfId="0" applyFont="1" applyNumberFormat="1"/>
    <xf borderId="0" fillId="2" fontId="1" numFmtId="2" xfId="0" applyFont="1" applyNumberFormat="1"/>
    <xf borderId="0" fillId="9" fontId="1" numFmtId="1" xfId="0" applyFont="1" applyNumberFormat="1"/>
    <xf borderId="0" fillId="11" fontId="1" numFmtId="1" xfId="0" applyFill="1" applyFont="1" applyNumberFormat="1"/>
    <xf borderId="0" fillId="5" fontId="2" numFmtId="0" xfId="0" applyAlignment="1" applyFont="1">
      <alignment horizontal="center"/>
    </xf>
    <xf borderId="0" fillId="12" fontId="2" numFmtId="0" xfId="0" applyAlignment="1" applyFill="1" applyFont="1">
      <alignment horizontal="center"/>
    </xf>
    <xf borderId="0" fillId="12" fontId="2" numFmtId="0" xfId="0" applyFont="1"/>
    <xf borderId="1" fillId="0" fontId="2" numFmtId="0" xfId="0" applyBorder="1" applyFont="1"/>
    <xf borderId="1" fillId="13" fontId="20" numFmtId="0" xfId="0" applyBorder="1" applyFill="1" applyFont="1"/>
    <xf borderId="0" fillId="12" fontId="2" numFmtId="1" xfId="0" applyAlignment="1" applyFont="1" applyNumberFormat="1">
      <alignment horizontal="center"/>
    </xf>
    <xf borderId="0" fillId="11" fontId="2" numFmtId="0" xfId="0" applyAlignment="1" applyFont="1">
      <alignment horizontal="center"/>
    </xf>
    <xf borderId="1" fillId="3" fontId="21" numFmtId="0" xfId="0" applyBorder="1" applyFont="1"/>
    <xf borderId="1" fillId="14" fontId="2" numFmtId="9" xfId="0" applyBorder="1" applyFill="1" applyFont="1" applyNumberFormat="1"/>
    <xf borderId="0" fillId="6" fontId="2" numFmtId="0" xfId="0" applyAlignment="1" applyFont="1">
      <alignment horizontal="center"/>
    </xf>
    <xf borderId="1" fillId="0" fontId="17" numFmtId="0" xfId="0" applyBorder="1" applyFont="1"/>
    <xf borderId="1" fillId="13" fontId="22" numFmtId="0" xfId="0" applyBorder="1" applyFont="1"/>
    <xf borderId="0" fillId="9" fontId="2" numFmtId="0" xfId="0" applyAlignment="1" applyFont="1">
      <alignment horizontal="center"/>
    </xf>
    <xf borderId="1" fillId="11" fontId="2" numFmtId="0" xfId="0" applyBorder="1" applyFont="1"/>
    <xf borderId="1" fillId="0" fontId="2" numFmtId="1" xfId="0" applyBorder="1" applyFont="1" applyNumberFormat="1"/>
    <xf borderId="1" fillId="13" fontId="2" numFmtId="0" xfId="0" applyBorder="1" applyFont="1"/>
    <xf borderId="1" fillId="9" fontId="2" numFmtId="1" xfId="0" applyBorder="1" applyFont="1" applyNumberFormat="1"/>
    <xf borderId="0" fillId="15" fontId="2" numFmtId="0" xfId="0" applyAlignment="1" applyFill="1" applyFont="1">
      <alignment horizontal="center"/>
    </xf>
    <xf borderId="1" fillId="6" fontId="2" numFmtId="0" xfId="0" applyBorder="1" applyFont="1"/>
    <xf borderId="1" fillId="11" fontId="2" numFmtId="1" xfId="0" applyBorder="1" applyFont="1" applyNumberFormat="1"/>
    <xf borderId="1" fillId="13" fontId="2" numFmtId="0" xfId="0" applyAlignment="1" applyBorder="1" applyFont="1">
      <alignment horizontal="right"/>
    </xf>
    <xf borderId="1" fillId="15" fontId="2" numFmtId="0" xfId="0" applyBorder="1" applyFont="1"/>
    <xf borderId="1" fillId="5" fontId="2" numFmtId="0" xfId="0" applyBorder="1" applyFont="1"/>
    <xf borderId="0" fillId="13" fontId="2" numFmtId="0" xfId="0" applyAlignment="1" applyFont="1">
      <alignment horizontal="center" shrinkToFit="0" wrapText="1"/>
    </xf>
    <xf borderId="1" fillId="9" fontId="2" numFmtId="0" xfId="0" applyBorder="1" applyFont="1"/>
    <xf borderId="0" fillId="3" fontId="5" numFmtId="1" xfId="0" applyAlignment="1" applyFont="1" applyNumberFormat="1">
      <alignment shrinkToFit="0" wrapText="1"/>
    </xf>
    <xf borderId="0" fillId="3" fontId="5" numFmtId="0" xfId="0" applyAlignment="1" applyFont="1">
      <alignment shrinkToFit="0" wrapText="1"/>
    </xf>
    <xf borderId="0" fillId="0" fontId="8" numFmtId="0" xfId="0" applyFont="1"/>
    <xf borderId="0" fillId="0" fontId="23" numFmtId="0" xfId="0" applyFont="1"/>
    <xf borderId="1" fillId="13" fontId="17" numFmtId="0" xfId="0" applyBorder="1" applyFont="1"/>
    <xf borderId="1" fillId="6" fontId="2" numFmtId="1" xfId="0" applyBorder="1" applyFont="1" applyNumberFormat="1"/>
    <xf borderId="1" fillId="15" fontId="2" numFmtId="1" xfId="0" applyBorder="1" applyFont="1" applyNumberFormat="1"/>
    <xf borderId="1" fillId="9" fontId="2" numFmtId="0" xfId="0" applyAlignment="1" applyBorder="1" applyFont="1">
      <alignment horizontal="right"/>
    </xf>
    <xf borderId="1" fillId="5" fontId="2" numFmtId="0" xfId="0" applyAlignment="1" applyBorder="1" applyFont="1">
      <alignment horizontal="right"/>
    </xf>
    <xf borderId="0" fillId="13" fontId="2" numFmtId="0" xfId="0" applyFont="1"/>
    <xf borderId="1" fillId="0" fontId="18" numFmtId="0" xfId="0" applyBorder="1" applyFont="1"/>
    <xf borderId="1" fillId="13" fontId="8" numFmtId="0" xfId="0" applyBorder="1" applyFont="1"/>
    <xf borderId="1" fillId="13" fontId="2" numFmtId="1" xfId="0" applyBorder="1" applyFont="1" applyNumberFormat="1"/>
    <xf borderId="1" fillId="13" fontId="8" numFmtId="1" xfId="0" applyBorder="1" applyFont="1" applyNumberFormat="1"/>
    <xf borderId="2" fillId="14" fontId="2" numFmtId="0" xfId="0" applyAlignment="1" applyBorder="1" applyFont="1">
      <alignment horizontal="center"/>
    </xf>
    <xf borderId="0" fillId="0" fontId="15" numFmtId="0" xfId="0" applyFont="1"/>
    <xf borderId="1" fillId="14" fontId="2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'BeastFauna Adventurer Calculato'!$D$9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'BeastFauna Adventurer Calculato'!$A$10:$A$37</c:f>
            </c:strRef>
          </c:cat>
          <c:val>
            <c:numRef>
              <c:f>'BeastFauna Adventurer Calculato'!$D$10:$D$37</c:f>
              <c:numCache/>
            </c:numRef>
          </c:val>
        </c:ser>
        <c:ser>
          <c:idx val="1"/>
          <c:order val="1"/>
          <c:tx>
            <c:strRef>
              <c:f>'BeastFauna Adventurer Calculato'!$P$9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'BeastFauna Adventurer Calculato'!$A$10:$A$37</c:f>
            </c:strRef>
          </c:cat>
          <c:val>
            <c:numRef>
              <c:f>'BeastFauna Adventurer Calculato'!$P$10:$P$37</c:f>
              <c:numCache/>
            </c:numRef>
          </c:val>
        </c:ser>
        <c:ser>
          <c:idx val="2"/>
          <c:order val="2"/>
          <c:tx>
            <c:strRef>
              <c:f>'BeastFauna Adventurer Calculato'!$S$9</c:f>
            </c:strRef>
          </c:tx>
          <c:cat>
            <c:strRef>
              <c:f>'BeastFauna Adventurer Calculato'!$A$10:$A$37</c:f>
            </c:strRef>
          </c:cat>
          <c:val>
            <c:numRef>
              <c:f>'BeastFauna Adventurer Calculato'!$S$10:$S$37</c:f>
              <c:numCache/>
            </c:numRef>
          </c:val>
        </c:ser>
        <c:ser>
          <c:idx val="3"/>
          <c:order val="3"/>
          <c:tx>
            <c:strRef>
              <c:f>'BeastFauna Adventurer Calculato'!$V$9</c:f>
            </c:strRef>
          </c:tx>
          <c:cat>
            <c:strRef>
              <c:f>'BeastFauna Adventurer Calculato'!$A$10:$A$37</c:f>
            </c:strRef>
          </c:cat>
          <c:val>
            <c:numRef>
              <c:f>'BeastFauna Adventurer Calculato'!$V$10:$V$37</c:f>
              <c:numCache/>
            </c:numRef>
          </c:val>
        </c:ser>
        <c:ser>
          <c:idx val="4"/>
          <c:order val="4"/>
          <c:tx>
            <c:strRef>
              <c:f>'BeastFauna Adventurer Calculato'!$W$9</c:f>
            </c:strRef>
          </c:tx>
          <c:cat>
            <c:strRef>
              <c:f>'BeastFauna Adventurer Calculato'!$A$10:$A$37</c:f>
            </c:strRef>
          </c:cat>
          <c:val>
            <c:numRef>
              <c:f>'BeastFauna Adventurer Calculato'!$W$10:$W$37</c:f>
              <c:numCache/>
            </c:numRef>
          </c:val>
        </c:ser>
        <c:axId val="1082997145"/>
        <c:axId val="1819085925"/>
      </c:barChart>
      <c:catAx>
        <c:axId val="1082997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9085925"/>
      </c:catAx>
      <c:valAx>
        <c:axId val="1819085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299714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Freeish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'Equipment Price Calculator'!$W$4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'Equipment Price Calculator'!$X$3:$AC$3</c:f>
            </c:strRef>
          </c:cat>
          <c:val>
            <c:numRef>
              <c:f>'Equipment Price Calculator'!$X$4:$AC$4</c:f>
              <c:numCache/>
            </c:numRef>
          </c:val>
        </c:ser>
        <c:axId val="1751657558"/>
        <c:axId val="1348770334"/>
      </c:barChart>
      <c:catAx>
        <c:axId val="1751657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Wage 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48770334"/>
      </c:catAx>
      <c:valAx>
        <c:axId val="1348770334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165755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Gandew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'Equipment Price Calculator'!$W$14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'Equipment Price Calculator'!$X$13:$AC$13</c:f>
            </c:strRef>
          </c:cat>
          <c:val>
            <c:numRef>
              <c:f>'Equipment Price Calculator'!$X$14:$AC$14</c:f>
              <c:numCache/>
            </c:numRef>
          </c:val>
        </c:ser>
        <c:axId val="1464558573"/>
        <c:axId val="304160848"/>
      </c:barChart>
      <c:catAx>
        <c:axId val="1464558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Wage 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4160848"/>
      </c:catAx>
      <c:valAx>
        <c:axId val="304160848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6455857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Tolerideme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'Equipment Price Calculator'!$W$24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'Equipment Price Calculator'!$X$23:$AC$23</c:f>
            </c:strRef>
          </c:cat>
          <c:val>
            <c:numRef>
              <c:f>'Equipment Price Calculator'!$X$24:$AC$24</c:f>
              <c:numCache/>
            </c:numRef>
          </c:val>
        </c:ser>
        <c:axId val="865098924"/>
        <c:axId val="627439073"/>
      </c:barChart>
      <c:catAx>
        <c:axId val="865098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Wage 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27439073"/>
      </c:catAx>
      <c:valAx>
        <c:axId val="627439073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650989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Sanbi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'Equipment Price Calculator'!$W$34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'Equipment Price Calculator'!$X$33:$AC$33</c:f>
            </c:strRef>
          </c:cat>
          <c:val>
            <c:numRef>
              <c:f>'Equipment Price Calculator'!$X$34:$AC$34</c:f>
              <c:numCache/>
            </c:numRef>
          </c:val>
        </c:ser>
        <c:axId val="151245194"/>
        <c:axId val="1480153013"/>
      </c:barChart>
      <c:catAx>
        <c:axId val="1512451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Wage Tier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80153013"/>
      </c:catAx>
      <c:valAx>
        <c:axId val="1480153013"/>
        <c:scaling>
          <c:orientation val="minMax"/>
          <c:max val="3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24519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715000" cy="3571875"/>
    <xdr:pic>
      <xdr:nvPicPr>
        <xdr:cNvPr id="0" name="image1.png" title="Chart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41</xdr:row>
      <xdr:rowOff>19050</xdr:rowOff>
    </xdr:from>
    <xdr:ext cx="130302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123825</xdr:colOff>
      <xdr:row>1</xdr:row>
      <xdr:rowOff>0</xdr:rowOff>
    </xdr:from>
    <xdr:ext cx="6657975" cy="4124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123825</xdr:colOff>
      <xdr:row>21</xdr:row>
      <xdr:rowOff>114300</xdr:rowOff>
    </xdr:from>
    <xdr:ext cx="6657975" cy="41243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29</xdr:col>
      <xdr:colOff>123825</xdr:colOff>
      <xdr:row>42</xdr:row>
      <xdr:rowOff>38100</xdr:rowOff>
    </xdr:from>
    <xdr:ext cx="6657975" cy="41243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29</xdr:col>
      <xdr:colOff>123825</xdr:colOff>
      <xdr:row>62</xdr:row>
      <xdr:rowOff>161925</xdr:rowOff>
    </xdr:from>
    <xdr:ext cx="6657975" cy="41243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  <col customWidth="1" min="2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1"/>
      <c r="C2" s="1"/>
      <c r="D2" s="2"/>
      <c r="E2" s="1"/>
      <c r="F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1"/>
      <c r="C3" s="4" t="s">
        <v>1</v>
      </c>
      <c r="D3" s="5" t="s">
        <v>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3" t="s">
        <v>3</v>
      </c>
      <c r="B4" s="6">
        <v>499.0</v>
      </c>
      <c r="C4" s="7">
        <f>B4</f>
        <v>499</v>
      </c>
      <c r="D4" s="8">
        <f>TRUNC(MOD(C4,50),0)</f>
        <v>49</v>
      </c>
      <c r="E4" s="1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3"/>
      <c r="B5" s="1"/>
      <c r="C5" s="9">
        <f>TRUNC(DIVIDE(C4,50),1)</f>
        <v>9.9</v>
      </c>
      <c r="D5" s="8">
        <f t="shared" ref="D5:D6" si="1">TRUNC(MOD(C5,10),0)</f>
        <v>9</v>
      </c>
      <c r="E5" s="1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/>
      <c r="B6" s="1"/>
      <c r="C6" s="9">
        <f t="shared" ref="C6:C7" si="2">TRUNC(DIVIDE(C5,10),1)</f>
        <v>0.9</v>
      </c>
      <c r="D6" s="8">
        <f t="shared" si="1"/>
        <v>0</v>
      </c>
      <c r="E6" s="1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/>
      <c r="B7" s="1"/>
      <c r="C7" s="9">
        <f t="shared" si="2"/>
        <v>0</v>
      </c>
      <c r="D7" s="10">
        <f>TRUNC(C7,0)</f>
        <v>0</v>
      </c>
      <c r="E7" s="1" t="s">
        <v>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ht="15.75" customHeight="1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"/>
      <c r="B10" s="1"/>
      <c r="C10" s="2"/>
      <c r="D10" s="5" t="s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3" t="s">
        <v>8</v>
      </c>
      <c r="B11" s="12">
        <v>1.0</v>
      </c>
      <c r="C11" s="2"/>
      <c r="D11" s="8">
        <f>B11*50</f>
        <v>50</v>
      </c>
      <c r="E11" s="1" t="s">
        <v>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ht="15.75" customHeight="1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"/>
      <c r="B15" s="1"/>
      <c r="C15" s="2"/>
      <c r="D15" s="5" t="s">
        <v>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3" t="s">
        <v>10</v>
      </c>
      <c r="B16" s="13">
        <v>1.0</v>
      </c>
      <c r="C16" s="2"/>
      <c r="D16" s="8">
        <f>B16*10*50</f>
        <v>500</v>
      </c>
      <c r="E16" s="1" t="s">
        <v>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ht="15.75" customHeight="1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1"/>
      <c r="C20" s="2"/>
      <c r="D20" s="5" t="s"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3" t="s">
        <v>11</v>
      </c>
      <c r="B21" s="13">
        <v>1.0</v>
      </c>
      <c r="C21" s="2"/>
      <c r="D21" s="8">
        <f>B21*10*10*50</f>
        <v>5000</v>
      </c>
      <c r="E21" s="1" t="s">
        <v>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.88"/>
  </cols>
  <sheetData>
    <row r="1" ht="15.75" customHeight="1">
      <c r="A1" s="14" t="s">
        <v>12</v>
      </c>
      <c r="H1" s="15"/>
      <c r="I1" s="14" t="s">
        <v>13</v>
      </c>
    </row>
    <row r="2" ht="15.75" customHeight="1">
      <c r="A2" s="16" t="s">
        <v>14</v>
      </c>
      <c r="H2" s="15"/>
      <c r="I2" s="17"/>
      <c r="J2" s="17"/>
      <c r="K2" s="17"/>
      <c r="L2" s="17"/>
      <c r="M2" s="17"/>
      <c r="N2" s="17"/>
      <c r="O2" s="17"/>
    </row>
    <row r="3" ht="15.75" customHeight="1">
      <c r="A3" s="18"/>
      <c r="B3" s="19" t="s">
        <v>15</v>
      </c>
      <c r="C3" s="19" t="s">
        <v>16</v>
      </c>
      <c r="D3" s="19" t="s">
        <v>17</v>
      </c>
      <c r="E3" s="19" t="s">
        <v>18</v>
      </c>
      <c r="F3" s="19" t="s">
        <v>19</v>
      </c>
      <c r="G3" s="19" t="s">
        <v>20</v>
      </c>
      <c r="H3" s="15"/>
      <c r="I3" s="17"/>
      <c r="J3" s="17"/>
      <c r="K3" s="17"/>
      <c r="L3" s="17"/>
      <c r="M3" s="17"/>
      <c r="N3" s="17"/>
      <c r="O3" s="17"/>
    </row>
    <row r="4" ht="15.75" customHeight="1">
      <c r="A4" s="19" t="s">
        <v>21</v>
      </c>
      <c r="B4" s="20">
        <v>1.0</v>
      </c>
      <c r="C4" s="20">
        <v>2.0</v>
      </c>
      <c r="D4" s="20">
        <v>3.0</v>
      </c>
      <c r="E4" s="20">
        <v>5.0</v>
      </c>
      <c r="F4" s="20">
        <v>7.0</v>
      </c>
      <c r="G4" s="20">
        <v>10.0</v>
      </c>
      <c r="H4" s="15"/>
      <c r="I4" s="17"/>
      <c r="J4" s="17"/>
      <c r="K4" s="17"/>
      <c r="L4" s="17"/>
      <c r="M4" s="17"/>
      <c r="N4" s="17"/>
      <c r="O4" s="17"/>
    </row>
    <row r="5" ht="15.75" customHeight="1">
      <c r="A5" s="19" t="s">
        <v>22</v>
      </c>
      <c r="B5" s="20">
        <v>1.0</v>
      </c>
      <c r="C5" s="20">
        <v>3.0</v>
      </c>
      <c r="D5" s="20">
        <v>4.0</v>
      </c>
      <c r="E5" s="20">
        <v>6.0</v>
      </c>
      <c r="F5" s="20">
        <v>8.0</v>
      </c>
      <c r="G5" s="20">
        <v>15.0</v>
      </c>
      <c r="H5" s="15"/>
      <c r="I5" s="17"/>
      <c r="J5" s="17"/>
      <c r="K5" s="17"/>
      <c r="L5" s="17"/>
      <c r="M5" s="17"/>
      <c r="N5" s="17"/>
      <c r="O5" s="17"/>
    </row>
    <row r="6" ht="15.75" customHeight="1">
      <c r="H6" s="15"/>
      <c r="I6" s="17"/>
      <c r="J6" s="17"/>
      <c r="K6" s="17"/>
      <c r="L6" s="17"/>
      <c r="M6" s="17"/>
      <c r="N6" s="17"/>
      <c r="O6" s="17"/>
    </row>
    <row r="7" ht="15.75" customHeight="1">
      <c r="A7" s="16" t="s">
        <v>23</v>
      </c>
      <c r="H7" s="15"/>
      <c r="I7" s="16" t="s">
        <v>24</v>
      </c>
    </row>
    <row r="8" ht="15.75" customHeight="1">
      <c r="A8" s="18"/>
      <c r="B8" s="19" t="s">
        <v>15</v>
      </c>
      <c r="C8" s="19" t="s">
        <v>16</v>
      </c>
      <c r="D8" s="19" t="s">
        <v>17</v>
      </c>
      <c r="E8" s="19" t="s">
        <v>18</v>
      </c>
      <c r="F8" s="19" t="s">
        <v>19</v>
      </c>
      <c r="G8" s="19" t="s">
        <v>20</v>
      </c>
      <c r="H8" s="21"/>
      <c r="I8" s="18"/>
      <c r="J8" s="19" t="s">
        <v>15</v>
      </c>
      <c r="K8" s="19" t="s">
        <v>16</v>
      </c>
      <c r="L8" s="19" t="s">
        <v>17</v>
      </c>
      <c r="M8" s="19" t="s">
        <v>18</v>
      </c>
      <c r="N8" s="19" t="s">
        <v>19</v>
      </c>
      <c r="O8" s="19" t="s">
        <v>20</v>
      </c>
    </row>
    <row r="9" ht="15.75" customHeight="1">
      <c r="A9" s="19" t="s">
        <v>21</v>
      </c>
      <c r="B9" s="20">
        <f t="shared" ref="B9:G9" si="1">B4*12</f>
        <v>12</v>
      </c>
      <c r="C9" s="20">
        <f t="shared" si="1"/>
        <v>24</v>
      </c>
      <c r="D9" s="20">
        <f t="shared" si="1"/>
        <v>36</v>
      </c>
      <c r="E9" s="20">
        <f t="shared" si="1"/>
        <v>60</v>
      </c>
      <c r="F9" s="20">
        <f t="shared" si="1"/>
        <v>84</v>
      </c>
      <c r="G9" s="20">
        <f t="shared" si="1"/>
        <v>120</v>
      </c>
      <c r="H9" s="22"/>
      <c r="I9" s="19" t="s">
        <v>21</v>
      </c>
      <c r="J9" s="20">
        <f t="shared" ref="J9:O9" si="2">B9*0.25</f>
        <v>3</v>
      </c>
      <c r="K9" s="20">
        <f t="shared" si="2"/>
        <v>6</v>
      </c>
      <c r="L9" s="20">
        <f t="shared" si="2"/>
        <v>9</v>
      </c>
      <c r="M9" s="20">
        <f t="shared" si="2"/>
        <v>15</v>
      </c>
      <c r="N9" s="20">
        <f t="shared" si="2"/>
        <v>21</v>
      </c>
      <c r="O9" s="20">
        <f t="shared" si="2"/>
        <v>30</v>
      </c>
    </row>
    <row r="10" ht="15.75" customHeight="1">
      <c r="A10" s="19" t="s">
        <v>22</v>
      </c>
      <c r="B10" s="20">
        <f t="shared" ref="B10:G10" si="3">B5*12</f>
        <v>12</v>
      </c>
      <c r="C10" s="20">
        <f t="shared" si="3"/>
        <v>36</v>
      </c>
      <c r="D10" s="20">
        <f t="shared" si="3"/>
        <v>48</v>
      </c>
      <c r="E10" s="20">
        <f t="shared" si="3"/>
        <v>72</v>
      </c>
      <c r="F10" s="20">
        <f t="shared" si="3"/>
        <v>96</v>
      </c>
      <c r="G10" s="20">
        <f t="shared" si="3"/>
        <v>180</v>
      </c>
      <c r="H10" s="23"/>
      <c r="I10" s="19" t="s">
        <v>22</v>
      </c>
      <c r="J10" s="20">
        <f t="shared" ref="J10:O10" si="4">B10*0.25</f>
        <v>3</v>
      </c>
      <c r="K10" s="20">
        <f t="shared" si="4"/>
        <v>9</v>
      </c>
      <c r="L10" s="20">
        <f t="shared" si="4"/>
        <v>12</v>
      </c>
      <c r="M10" s="20">
        <f t="shared" si="4"/>
        <v>18</v>
      </c>
      <c r="N10" s="20">
        <f t="shared" si="4"/>
        <v>24</v>
      </c>
      <c r="O10" s="20">
        <f t="shared" si="4"/>
        <v>45</v>
      </c>
    </row>
    <row r="11" ht="15.75" customHeight="1">
      <c r="H11" s="23"/>
    </row>
    <row r="12" ht="15.75" customHeight="1">
      <c r="A12" s="16" t="s">
        <v>25</v>
      </c>
      <c r="H12" s="23"/>
      <c r="I12" s="16" t="s">
        <v>26</v>
      </c>
    </row>
    <row r="13" ht="15.75" customHeight="1">
      <c r="A13" s="18"/>
      <c r="B13" s="19" t="s">
        <v>15</v>
      </c>
      <c r="C13" s="19" t="s">
        <v>16</v>
      </c>
      <c r="D13" s="19" t="s">
        <v>17</v>
      </c>
      <c r="E13" s="19" t="s">
        <v>18</v>
      </c>
      <c r="F13" s="19" t="s">
        <v>19</v>
      </c>
      <c r="G13" s="19" t="s">
        <v>20</v>
      </c>
      <c r="H13" s="23"/>
      <c r="I13" s="18"/>
      <c r="J13" s="19" t="s">
        <v>15</v>
      </c>
      <c r="K13" s="19" t="s">
        <v>16</v>
      </c>
      <c r="L13" s="19" t="s">
        <v>17</v>
      </c>
      <c r="M13" s="19" t="s">
        <v>18</v>
      </c>
      <c r="N13" s="19" t="s">
        <v>19</v>
      </c>
      <c r="O13" s="19" t="s">
        <v>20</v>
      </c>
    </row>
    <row r="14" ht="15.75" customHeight="1">
      <c r="A14" s="19" t="s">
        <v>21</v>
      </c>
      <c r="B14" s="20">
        <f t="shared" ref="B14:G14" si="5">B9*4</f>
        <v>48</v>
      </c>
      <c r="C14" s="20">
        <f t="shared" si="5"/>
        <v>96</v>
      </c>
      <c r="D14" s="20">
        <f t="shared" si="5"/>
        <v>144</v>
      </c>
      <c r="E14" s="20">
        <f t="shared" si="5"/>
        <v>240</v>
      </c>
      <c r="F14" s="20">
        <f t="shared" si="5"/>
        <v>336</v>
      </c>
      <c r="G14" s="20">
        <f t="shared" si="5"/>
        <v>480</v>
      </c>
      <c r="H14" s="23"/>
      <c r="I14" s="19" t="s">
        <v>21</v>
      </c>
      <c r="J14" s="20">
        <f t="shared" ref="J14:O14" si="6">B14*0.25</f>
        <v>12</v>
      </c>
      <c r="K14" s="20">
        <f t="shared" si="6"/>
        <v>24</v>
      </c>
      <c r="L14" s="20">
        <f t="shared" si="6"/>
        <v>36</v>
      </c>
      <c r="M14" s="20">
        <f t="shared" si="6"/>
        <v>60</v>
      </c>
      <c r="N14" s="20">
        <f t="shared" si="6"/>
        <v>84</v>
      </c>
      <c r="O14" s="20">
        <f t="shared" si="6"/>
        <v>120</v>
      </c>
    </row>
    <row r="15" ht="15.75" customHeight="1">
      <c r="A15" s="19" t="s">
        <v>22</v>
      </c>
      <c r="B15" s="20">
        <f t="shared" ref="B15:G15" si="7">B10*4</f>
        <v>48</v>
      </c>
      <c r="C15" s="20">
        <f t="shared" si="7"/>
        <v>144</v>
      </c>
      <c r="D15" s="20">
        <f t="shared" si="7"/>
        <v>192</v>
      </c>
      <c r="E15" s="20">
        <f t="shared" si="7"/>
        <v>288</v>
      </c>
      <c r="F15" s="20">
        <f t="shared" si="7"/>
        <v>384</v>
      </c>
      <c r="G15" s="20">
        <f t="shared" si="7"/>
        <v>720</v>
      </c>
      <c r="H15" s="23"/>
      <c r="I15" s="19" t="s">
        <v>22</v>
      </c>
      <c r="J15" s="20">
        <f t="shared" ref="J15:O15" si="8">B15*0.25</f>
        <v>12</v>
      </c>
      <c r="K15" s="20">
        <f t="shared" si="8"/>
        <v>36</v>
      </c>
      <c r="L15" s="20">
        <f t="shared" si="8"/>
        <v>48</v>
      </c>
      <c r="M15" s="20">
        <f t="shared" si="8"/>
        <v>72</v>
      </c>
      <c r="N15" s="20">
        <f t="shared" si="8"/>
        <v>96</v>
      </c>
      <c r="O15" s="20">
        <f t="shared" si="8"/>
        <v>180</v>
      </c>
    </row>
    <row r="16" ht="15.75" customHeight="1">
      <c r="H16" s="23"/>
    </row>
    <row r="17" ht="15.75" customHeight="1">
      <c r="A17" s="16" t="s">
        <v>27</v>
      </c>
      <c r="H17" s="23"/>
      <c r="I17" s="16" t="s">
        <v>28</v>
      </c>
    </row>
    <row r="18" ht="15.75" customHeight="1">
      <c r="A18" s="18"/>
      <c r="B18" s="19" t="s">
        <v>15</v>
      </c>
      <c r="C18" s="19" t="s">
        <v>16</v>
      </c>
      <c r="D18" s="19" t="s">
        <v>17</v>
      </c>
      <c r="E18" s="19" t="s">
        <v>18</v>
      </c>
      <c r="F18" s="19" t="s">
        <v>19</v>
      </c>
      <c r="G18" s="19" t="s">
        <v>20</v>
      </c>
      <c r="H18" s="23"/>
      <c r="I18" s="18"/>
      <c r="J18" s="19" t="s">
        <v>15</v>
      </c>
      <c r="K18" s="19" t="s">
        <v>16</v>
      </c>
      <c r="L18" s="19" t="s">
        <v>17</v>
      </c>
      <c r="M18" s="19" t="s">
        <v>18</v>
      </c>
      <c r="N18" s="19" t="s">
        <v>19</v>
      </c>
      <c r="O18" s="19" t="s">
        <v>20</v>
      </c>
    </row>
    <row r="19" ht="15.75" customHeight="1">
      <c r="A19" s="19" t="s">
        <v>21</v>
      </c>
      <c r="B19" s="20">
        <f t="shared" ref="B19:G19" si="9">B14*73</f>
        <v>3504</v>
      </c>
      <c r="C19" s="20">
        <f t="shared" si="9"/>
        <v>7008</v>
      </c>
      <c r="D19" s="20">
        <f t="shared" si="9"/>
        <v>10512</v>
      </c>
      <c r="E19" s="20">
        <f t="shared" si="9"/>
        <v>17520</v>
      </c>
      <c r="F19" s="20">
        <f t="shared" si="9"/>
        <v>24528</v>
      </c>
      <c r="G19" s="20">
        <f t="shared" si="9"/>
        <v>35040</v>
      </c>
      <c r="H19" s="23"/>
      <c r="I19" s="19" t="s">
        <v>21</v>
      </c>
      <c r="J19" s="20">
        <f t="shared" ref="J19:O19" si="10">B19*0.25</f>
        <v>876</v>
      </c>
      <c r="K19" s="20">
        <f t="shared" si="10"/>
        <v>1752</v>
      </c>
      <c r="L19" s="20">
        <f t="shared" si="10"/>
        <v>2628</v>
      </c>
      <c r="M19" s="20">
        <f t="shared" si="10"/>
        <v>4380</v>
      </c>
      <c r="N19" s="20">
        <f t="shared" si="10"/>
        <v>6132</v>
      </c>
      <c r="O19" s="20">
        <f t="shared" si="10"/>
        <v>8760</v>
      </c>
    </row>
    <row r="20" ht="15.75" customHeight="1">
      <c r="A20" s="19" t="s">
        <v>22</v>
      </c>
      <c r="B20" s="20">
        <f t="shared" ref="B20:G20" si="11">B15*73</f>
        <v>3504</v>
      </c>
      <c r="C20" s="20">
        <f t="shared" si="11"/>
        <v>10512</v>
      </c>
      <c r="D20" s="20">
        <f t="shared" si="11"/>
        <v>14016</v>
      </c>
      <c r="E20" s="20">
        <f t="shared" si="11"/>
        <v>21024</v>
      </c>
      <c r="F20" s="20">
        <f t="shared" si="11"/>
        <v>28032</v>
      </c>
      <c r="G20" s="20">
        <f t="shared" si="11"/>
        <v>52560</v>
      </c>
      <c r="H20" s="23"/>
      <c r="I20" s="19" t="s">
        <v>22</v>
      </c>
      <c r="J20" s="20">
        <f t="shared" ref="J20:O20" si="12">B20*0.25</f>
        <v>876</v>
      </c>
      <c r="K20" s="20">
        <f t="shared" si="12"/>
        <v>2628</v>
      </c>
      <c r="L20" s="20">
        <f t="shared" si="12"/>
        <v>3504</v>
      </c>
      <c r="M20" s="20">
        <f t="shared" si="12"/>
        <v>5256</v>
      </c>
      <c r="N20" s="20">
        <f t="shared" si="12"/>
        <v>7008</v>
      </c>
      <c r="O20" s="20">
        <f t="shared" si="12"/>
        <v>13140</v>
      </c>
    </row>
    <row r="21" ht="15.75" customHeight="1">
      <c r="H21" s="23"/>
    </row>
    <row r="22" ht="15.75" customHeight="1">
      <c r="A22" s="16" t="s">
        <v>29</v>
      </c>
      <c r="H22" s="23"/>
      <c r="I22" s="16" t="s">
        <v>30</v>
      </c>
    </row>
    <row r="23" ht="15.75" customHeight="1">
      <c r="A23" s="18"/>
      <c r="B23" s="19" t="s">
        <v>15</v>
      </c>
      <c r="C23" s="19" t="s">
        <v>16</v>
      </c>
      <c r="D23" s="19" t="s">
        <v>17</v>
      </c>
      <c r="E23" s="19" t="s">
        <v>18</v>
      </c>
      <c r="F23" s="19" t="s">
        <v>19</v>
      </c>
      <c r="G23" s="19" t="s">
        <v>20</v>
      </c>
      <c r="H23" s="23"/>
      <c r="I23" s="18"/>
      <c r="J23" s="19" t="s">
        <v>15</v>
      </c>
      <c r="K23" s="19" t="s">
        <v>16</v>
      </c>
      <c r="L23" s="19" t="s">
        <v>17</v>
      </c>
      <c r="M23" s="19" t="s">
        <v>18</v>
      </c>
      <c r="N23" s="19" t="s">
        <v>19</v>
      </c>
      <c r="O23" s="19" t="s">
        <v>20</v>
      </c>
    </row>
    <row r="24" ht="15.75" customHeight="1">
      <c r="A24" s="19" t="s">
        <v>21</v>
      </c>
      <c r="B24" s="24">
        <f t="shared" ref="B24:G24" si="13">(B19*73)/50/10/10</f>
        <v>51.1584</v>
      </c>
      <c r="C24" s="24">
        <f t="shared" si="13"/>
        <v>102.3168</v>
      </c>
      <c r="D24" s="24">
        <f t="shared" si="13"/>
        <v>153.4752</v>
      </c>
      <c r="E24" s="24">
        <f t="shared" si="13"/>
        <v>255.792</v>
      </c>
      <c r="F24" s="24">
        <f t="shared" si="13"/>
        <v>358.1088</v>
      </c>
      <c r="G24" s="24">
        <f t="shared" si="13"/>
        <v>511.584</v>
      </c>
      <c r="H24" s="23"/>
      <c r="I24" s="19" t="s">
        <v>21</v>
      </c>
      <c r="J24" s="24">
        <f t="shared" ref="J24:O24" si="14">B24*0.25</f>
        <v>12.7896</v>
      </c>
      <c r="K24" s="24">
        <f t="shared" si="14"/>
        <v>25.5792</v>
      </c>
      <c r="L24" s="24">
        <f t="shared" si="14"/>
        <v>38.3688</v>
      </c>
      <c r="M24" s="24">
        <f t="shared" si="14"/>
        <v>63.948</v>
      </c>
      <c r="N24" s="24">
        <f t="shared" si="14"/>
        <v>89.5272</v>
      </c>
      <c r="O24" s="24">
        <f t="shared" si="14"/>
        <v>127.896</v>
      </c>
    </row>
    <row r="25" ht="15.75" customHeight="1">
      <c r="A25" s="19" t="s">
        <v>22</v>
      </c>
      <c r="B25" s="24">
        <f t="shared" ref="B25:G25" si="15">(B20*73)/50/10/10</f>
        <v>51.1584</v>
      </c>
      <c r="C25" s="24">
        <f t="shared" si="15"/>
        <v>153.4752</v>
      </c>
      <c r="D25" s="24">
        <f t="shared" si="15"/>
        <v>204.6336</v>
      </c>
      <c r="E25" s="24">
        <f t="shared" si="15"/>
        <v>306.9504</v>
      </c>
      <c r="F25" s="24">
        <f t="shared" si="15"/>
        <v>409.2672</v>
      </c>
      <c r="G25" s="24">
        <f t="shared" si="15"/>
        <v>767.376</v>
      </c>
      <c r="H25" s="23"/>
      <c r="I25" s="19" t="s">
        <v>22</v>
      </c>
      <c r="J25" s="24">
        <f t="shared" ref="J25:O25" si="16">B25*0.25</f>
        <v>12.7896</v>
      </c>
      <c r="K25" s="24">
        <f t="shared" si="16"/>
        <v>38.3688</v>
      </c>
      <c r="L25" s="24">
        <f t="shared" si="16"/>
        <v>51.1584</v>
      </c>
      <c r="M25" s="24">
        <f t="shared" si="16"/>
        <v>76.7376</v>
      </c>
      <c r="N25" s="24">
        <f t="shared" si="16"/>
        <v>102.3168</v>
      </c>
      <c r="O25" s="24">
        <f t="shared" si="16"/>
        <v>191.844</v>
      </c>
    </row>
    <row r="26" ht="15.75" customHeight="1">
      <c r="H26" s="23"/>
    </row>
    <row r="27" ht="15.75" customHeight="1">
      <c r="H27" s="23"/>
    </row>
    <row r="28" ht="15.75" customHeight="1">
      <c r="H28" s="23"/>
    </row>
    <row r="29" ht="15.75" customHeight="1">
      <c r="H29" s="23"/>
    </row>
    <row r="30" ht="15.75" customHeight="1">
      <c r="H30" s="23"/>
    </row>
    <row r="31" ht="15.75" customHeight="1">
      <c r="H31" s="23"/>
    </row>
    <row r="32" ht="15.75" customHeight="1">
      <c r="H32" s="23"/>
    </row>
    <row r="33" ht="15.75" customHeight="1">
      <c r="H33" s="23">
        <v>1.0</v>
      </c>
    </row>
    <row r="34" ht="15.75" customHeight="1">
      <c r="H34" s="23"/>
    </row>
    <row r="35" ht="15.75" customHeight="1">
      <c r="H35" s="23"/>
    </row>
    <row r="36" ht="15.75" customHeight="1">
      <c r="H36" s="23"/>
    </row>
    <row r="37" ht="15.75" customHeight="1">
      <c r="H37" s="23"/>
    </row>
    <row r="38" ht="15.75" customHeight="1">
      <c r="H38" s="15"/>
    </row>
    <row r="39" ht="15.75" customHeight="1">
      <c r="H39" s="15"/>
    </row>
    <row r="40" ht="15.75" customHeight="1">
      <c r="H40" s="15"/>
    </row>
    <row r="41" ht="15.75" customHeight="1">
      <c r="H41" s="15"/>
    </row>
    <row r="42" ht="15.75" customHeight="1">
      <c r="H42" s="15"/>
    </row>
    <row r="43" ht="15.75" customHeight="1">
      <c r="H43" s="15"/>
    </row>
    <row r="44" ht="15.75" customHeight="1">
      <c r="H44" s="15"/>
    </row>
    <row r="45" ht="15.75" customHeight="1">
      <c r="H45" s="15"/>
    </row>
    <row r="46" ht="15.75" customHeight="1">
      <c r="H46" s="15"/>
    </row>
    <row r="47" ht="15.75" customHeight="1">
      <c r="H47" s="15"/>
    </row>
    <row r="48" ht="15.75" customHeight="1">
      <c r="H48" s="15"/>
    </row>
    <row r="49" ht="15.75" customHeight="1">
      <c r="H49" s="15"/>
    </row>
    <row r="50" ht="15.75" customHeight="1">
      <c r="H50" s="15"/>
    </row>
    <row r="51" ht="15.75" customHeight="1">
      <c r="H51" s="15"/>
    </row>
    <row r="52" ht="15.75" customHeight="1">
      <c r="H52" s="15"/>
    </row>
    <row r="53" ht="15.75" customHeight="1">
      <c r="H53" s="15"/>
    </row>
    <row r="54" ht="15.75" customHeight="1">
      <c r="H54" s="15"/>
    </row>
    <row r="55" ht="15.75" customHeight="1">
      <c r="H55" s="15"/>
    </row>
    <row r="56" ht="15.75" customHeight="1">
      <c r="H56" s="15"/>
    </row>
    <row r="57" ht="15.75" customHeight="1">
      <c r="H57" s="15"/>
    </row>
    <row r="58" ht="15.75" customHeight="1">
      <c r="H58" s="15"/>
    </row>
    <row r="59" ht="15.75" customHeight="1">
      <c r="H59" s="15"/>
    </row>
    <row r="60" ht="15.75" customHeight="1">
      <c r="H60" s="15"/>
    </row>
    <row r="61" ht="15.75" customHeight="1">
      <c r="H61" s="15"/>
    </row>
    <row r="62" ht="15.75" customHeight="1">
      <c r="H62" s="15"/>
    </row>
    <row r="63" ht="15.75" customHeight="1">
      <c r="H63" s="15"/>
    </row>
    <row r="64" ht="15.75" customHeight="1">
      <c r="H64" s="15"/>
    </row>
    <row r="65" ht="15.75" customHeight="1">
      <c r="H65" s="15"/>
    </row>
    <row r="66" ht="15.75" customHeight="1">
      <c r="H66" s="15"/>
    </row>
    <row r="67" ht="15.75" customHeight="1">
      <c r="H67" s="15"/>
    </row>
    <row r="68" ht="15.75" customHeight="1">
      <c r="H68" s="15"/>
    </row>
    <row r="69" ht="15.75" customHeight="1">
      <c r="H69" s="15"/>
    </row>
    <row r="70" ht="15.75" customHeight="1">
      <c r="H70" s="15"/>
    </row>
    <row r="71" ht="15.75" customHeight="1">
      <c r="H71" s="15"/>
    </row>
    <row r="72" ht="15.75" customHeight="1">
      <c r="H72" s="15"/>
    </row>
    <row r="73" ht="15.75" customHeight="1">
      <c r="H73" s="15"/>
    </row>
    <row r="74" ht="15.75" customHeight="1">
      <c r="H74" s="15"/>
    </row>
    <row r="75" ht="15.75" customHeight="1">
      <c r="H75" s="15"/>
    </row>
    <row r="76" ht="15.75" customHeight="1">
      <c r="H76" s="15"/>
    </row>
    <row r="77" ht="15.75" customHeight="1">
      <c r="H77" s="15"/>
    </row>
    <row r="78" ht="15.75" customHeight="1">
      <c r="H78" s="15"/>
    </row>
    <row r="79" ht="15.75" customHeight="1">
      <c r="H79" s="15"/>
    </row>
    <row r="80" ht="15.75" customHeight="1">
      <c r="H80" s="15"/>
    </row>
    <row r="81" ht="15.75" customHeight="1">
      <c r="H81" s="15"/>
    </row>
    <row r="82" ht="15.75" customHeight="1">
      <c r="H82" s="15"/>
    </row>
    <row r="83" ht="15.75" customHeight="1">
      <c r="H83" s="15"/>
    </row>
    <row r="84" ht="15.75" customHeight="1">
      <c r="H84" s="15"/>
    </row>
    <row r="85" ht="15.75" customHeight="1">
      <c r="H85" s="15"/>
    </row>
    <row r="86" ht="15.75" customHeight="1">
      <c r="H86" s="15"/>
    </row>
    <row r="87" ht="15.75" customHeight="1">
      <c r="H87" s="15"/>
    </row>
    <row r="88" ht="15.75" customHeight="1">
      <c r="H88" s="15"/>
    </row>
    <row r="89" ht="15.75" customHeight="1">
      <c r="H89" s="15"/>
    </row>
    <row r="90" ht="15.75" customHeight="1">
      <c r="H90" s="15"/>
    </row>
    <row r="91" ht="15.75" customHeight="1">
      <c r="H91" s="15"/>
    </row>
    <row r="92" ht="15.75" customHeight="1">
      <c r="H92" s="15"/>
    </row>
    <row r="93" ht="15.75" customHeight="1">
      <c r="H93" s="15"/>
    </row>
    <row r="94" ht="15.75" customHeight="1">
      <c r="H94" s="15"/>
    </row>
    <row r="95" ht="15.75" customHeight="1">
      <c r="H95" s="15"/>
    </row>
    <row r="96" ht="15.75" customHeight="1">
      <c r="H96" s="15"/>
    </row>
    <row r="97" ht="15.75" customHeight="1">
      <c r="H97" s="15"/>
    </row>
    <row r="98" ht="15.75" customHeight="1">
      <c r="H98" s="15"/>
    </row>
    <row r="99" ht="15.75" customHeight="1">
      <c r="H99" s="15"/>
    </row>
    <row r="100" ht="15.75" customHeight="1">
      <c r="H100" s="15"/>
    </row>
    <row r="101" ht="15.75" customHeight="1">
      <c r="H101" s="15"/>
    </row>
    <row r="102" ht="15.75" customHeight="1">
      <c r="H102" s="15"/>
    </row>
    <row r="103" ht="15.75" customHeight="1">
      <c r="H103" s="15"/>
    </row>
    <row r="104" ht="15.75" customHeight="1">
      <c r="H104" s="15"/>
    </row>
    <row r="105" ht="15.75" customHeight="1">
      <c r="H105" s="15"/>
    </row>
    <row r="106" ht="15.75" customHeight="1">
      <c r="H106" s="15"/>
    </row>
    <row r="107" ht="15.75" customHeight="1">
      <c r="H107" s="15"/>
    </row>
    <row r="108" ht="15.75" customHeight="1">
      <c r="H108" s="15"/>
    </row>
    <row r="109" ht="15.75" customHeight="1">
      <c r="H109" s="15"/>
    </row>
    <row r="110" ht="15.75" customHeight="1">
      <c r="H110" s="15"/>
    </row>
    <row r="111" ht="15.75" customHeight="1">
      <c r="H111" s="15"/>
    </row>
    <row r="112" ht="15.75" customHeight="1">
      <c r="H112" s="15"/>
    </row>
    <row r="113" ht="15.75" customHeight="1">
      <c r="H113" s="15"/>
    </row>
    <row r="114" ht="15.75" customHeight="1">
      <c r="H114" s="15"/>
    </row>
    <row r="115" ht="15.75" customHeight="1">
      <c r="H115" s="15"/>
    </row>
    <row r="116" ht="15.75" customHeight="1">
      <c r="H116" s="15"/>
    </row>
    <row r="117" ht="15.75" customHeight="1">
      <c r="H117" s="15"/>
    </row>
    <row r="118" ht="15.75" customHeight="1">
      <c r="H118" s="15"/>
    </row>
    <row r="119" ht="15.75" customHeight="1">
      <c r="H119" s="15"/>
    </row>
    <row r="120" ht="15.75" customHeight="1">
      <c r="H120" s="15"/>
    </row>
    <row r="121" ht="15.75" customHeight="1">
      <c r="H121" s="15"/>
    </row>
    <row r="122" ht="15.75" customHeight="1">
      <c r="H122" s="15"/>
    </row>
    <row r="123" ht="15.75" customHeight="1">
      <c r="H123" s="15"/>
    </row>
    <row r="124" ht="15.75" customHeight="1">
      <c r="H124" s="15"/>
    </row>
    <row r="125" ht="15.75" customHeight="1">
      <c r="H125" s="15"/>
    </row>
    <row r="126" ht="15.75" customHeight="1">
      <c r="H126" s="15"/>
    </row>
    <row r="127" ht="15.75" customHeight="1">
      <c r="H127" s="15"/>
    </row>
    <row r="128" ht="15.75" customHeight="1">
      <c r="H128" s="15"/>
    </row>
    <row r="129" ht="15.75" customHeight="1">
      <c r="H129" s="15"/>
    </row>
    <row r="130" ht="15.75" customHeight="1">
      <c r="H130" s="15"/>
    </row>
    <row r="131" ht="15.75" customHeight="1">
      <c r="H131" s="15"/>
    </row>
    <row r="132" ht="15.75" customHeight="1">
      <c r="H132" s="15"/>
    </row>
    <row r="133" ht="15.75" customHeight="1">
      <c r="H133" s="15"/>
    </row>
    <row r="134" ht="15.75" customHeight="1">
      <c r="H134" s="15"/>
    </row>
    <row r="135" ht="15.75" customHeight="1">
      <c r="H135" s="15"/>
    </row>
    <row r="136" ht="15.75" customHeight="1">
      <c r="H136" s="15"/>
    </row>
    <row r="137" ht="15.75" customHeight="1">
      <c r="H137" s="15"/>
    </row>
    <row r="138" ht="15.75" customHeight="1">
      <c r="H138" s="15"/>
    </row>
    <row r="139" ht="15.75" customHeight="1">
      <c r="H139" s="15"/>
    </row>
    <row r="140" ht="15.75" customHeight="1">
      <c r="H140" s="15"/>
    </row>
    <row r="141" ht="15.75" customHeight="1">
      <c r="H141" s="15"/>
    </row>
    <row r="142" ht="15.75" customHeight="1">
      <c r="H142" s="15"/>
    </row>
    <row r="143" ht="15.75" customHeight="1">
      <c r="H143" s="15"/>
    </row>
    <row r="144" ht="15.75" customHeight="1">
      <c r="H144" s="15"/>
    </row>
    <row r="145" ht="15.75" customHeight="1">
      <c r="H145" s="15"/>
    </row>
    <row r="146" ht="15.75" customHeight="1">
      <c r="H146" s="15"/>
    </row>
    <row r="147" ht="15.75" customHeight="1">
      <c r="H147" s="15"/>
    </row>
    <row r="148" ht="15.75" customHeight="1">
      <c r="H148" s="15"/>
    </row>
    <row r="149" ht="15.75" customHeight="1">
      <c r="H149" s="15"/>
    </row>
    <row r="150" ht="15.75" customHeight="1">
      <c r="H150" s="15"/>
    </row>
    <row r="151" ht="15.75" customHeight="1">
      <c r="H151" s="15"/>
    </row>
    <row r="152" ht="15.75" customHeight="1">
      <c r="H152" s="15"/>
    </row>
    <row r="153" ht="15.75" customHeight="1">
      <c r="H153" s="15"/>
    </row>
    <row r="154" ht="15.75" customHeight="1">
      <c r="H154" s="15"/>
    </row>
    <row r="155" ht="15.75" customHeight="1">
      <c r="H155" s="15"/>
    </row>
    <row r="156" ht="15.75" customHeight="1">
      <c r="H156" s="15"/>
    </row>
    <row r="157" ht="15.75" customHeight="1">
      <c r="H157" s="15"/>
    </row>
    <row r="158" ht="15.75" customHeight="1">
      <c r="H158" s="15"/>
    </row>
    <row r="159" ht="15.75" customHeight="1">
      <c r="H159" s="15"/>
    </row>
    <row r="160" ht="15.75" customHeight="1">
      <c r="H160" s="15"/>
    </row>
    <row r="161" ht="15.75" customHeight="1">
      <c r="H161" s="15"/>
    </row>
    <row r="162" ht="15.75" customHeight="1">
      <c r="H162" s="15"/>
    </row>
    <row r="163" ht="15.75" customHeight="1">
      <c r="H163" s="15"/>
    </row>
    <row r="164" ht="15.75" customHeight="1">
      <c r="H164" s="15"/>
    </row>
    <row r="165" ht="15.75" customHeight="1">
      <c r="H165" s="15"/>
    </row>
    <row r="166" ht="15.75" customHeight="1">
      <c r="H166" s="15"/>
    </row>
    <row r="167" ht="15.75" customHeight="1">
      <c r="H167" s="15"/>
    </row>
    <row r="168" ht="15.75" customHeight="1">
      <c r="H168" s="15"/>
    </row>
    <row r="169" ht="15.75" customHeight="1">
      <c r="H169" s="15"/>
    </row>
    <row r="170" ht="15.75" customHeight="1">
      <c r="H170" s="15"/>
    </row>
    <row r="171" ht="15.75" customHeight="1">
      <c r="H171" s="15"/>
    </row>
    <row r="172" ht="15.75" customHeight="1">
      <c r="H172" s="15"/>
    </row>
    <row r="173" ht="15.75" customHeight="1">
      <c r="H173" s="15"/>
    </row>
    <row r="174" ht="15.75" customHeight="1">
      <c r="H174" s="15"/>
    </row>
    <row r="175" ht="15.75" customHeight="1">
      <c r="H175" s="15"/>
    </row>
    <row r="176" ht="15.75" customHeight="1">
      <c r="H176" s="15"/>
    </row>
    <row r="177" ht="15.75" customHeight="1">
      <c r="H177" s="15"/>
    </row>
    <row r="178" ht="15.75" customHeight="1">
      <c r="H178" s="15"/>
    </row>
    <row r="179" ht="15.75" customHeight="1">
      <c r="H179" s="15"/>
    </row>
    <row r="180" ht="15.75" customHeight="1">
      <c r="H180" s="15"/>
    </row>
    <row r="181" ht="15.75" customHeight="1">
      <c r="H181" s="15"/>
    </row>
    <row r="182" ht="15.75" customHeight="1">
      <c r="H182" s="15"/>
    </row>
    <row r="183" ht="15.75" customHeight="1">
      <c r="H183" s="15"/>
    </row>
    <row r="184" ht="15.75" customHeight="1">
      <c r="H184" s="15"/>
    </row>
    <row r="185" ht="15.75" customHeight="1">
      <c r="H185" s="15"/>
    </row>
    <row r="186" ht="15.75" customHeight="1">
      <c r="H186" s="15"/>
    </row>
    <row r="187" ht="15.75" customHeight="1">
      <c r="H187" s="15"/>
    </row>
    <row r="188" ht="15.75" customHeight="1">
      <c r="H188" s="15"/>
    </row>
    <row r="189" ht="15.75" customHeight="1">
      <c r="H189" s="15"/>
    </row>
    <row r="190" ht="15.75" customHeight="1">
      <c r="H190" s="15"/>
    </row>
    <row r="191" ht="15.75" customHeight="1">
      <c r="H191" s="15"/>
    </row>
    <row r="192" ht="15.75" customHeight="1">
      <c r="H192" s="15"/>
    </row>
    <row r="193" ht="15.75" customHeight="1">
      <c r="H193" s="15"/>
    </row>
    <row r="194" ht="15.75" customHeight="1">
      <c r="H194" s="15"/>
    </row>
    <row r="195" ht="15.75" customHeight="1">
      <c r="H195" s="15"/>
    </row>
    <row r="196" ht="15.75" customHeight="1">
      <c r="H196" s="15"/>
    </row>
    <row r="197" ht="15.75" customHeight="1">
      <c r="H197" s="15"/>
    </row>
    <row r="198" ht="15.75" customHeight="1">
      <c r="H198" s="15"/>
    </row>
    <row r="199" ht="15.75" customHeight="1">
      <c r="H199" s="15"/>
    </row>
    <row r="200" ht="15.75" customHeight="1">
      <c r="H200" s="15"/>
    </row>
    <row r="201" ht="15.75" customHeight="1">
      <c r="H201" s="15"/>
    </row>
    <row r="202" ht="15.75" customHeight="1">
      <c r="H202" s="15"/>
    </row>
    <row r="203" ht="15.75" customHeight="1">
      <c r="H203" s="15"/>
    </row>
    <row r="204" ht="15.75" customHeight="1">
      <c r="H204" s="15"/>
    </row>
    <row r="205" ht="15.75" customHeight="1">
      <c r="H205" s="15"/>
    </row>
    <row r="206" ht="15.75" customHeight="1">
      <c r="H206" s="15"/>
    </row>
    <row r="207" ht="15.75" customHeight="1">
      <c r="H207" s="15"/>
    </row>
    <row r="208" ht="15.75" customHeight="1">
      <c r="H208" s="15"/>
    </row>
    <row r="209" ht="15.75" customHeight="1">
      <c r="H209" s="15"/>
    </row>
    <row r="210" ht="15.75" customHeight="1">
      <c r="H210" s="15"/>
    </row>
    <row r="211" ht="15.75" customHeight="1">
      <c r="H211" s="15"/>
    </row>
    <row r="212" ht="15.75" customHeight="1">
      <c r="H212" s="15"/>
    </row>
    <row r="213" ht="15.75" customHeight="1">
      <c r="H213" s="15"/>
    </row>
    <row r="214" ht="15.75" customHeight="1">
      <c r="H214" s="15"/>
    </row>
    <row r="215" ht="15.75" customHeight="1">
      <c r="H215" s="15"/>
    </row>
    <row r="216" ht="15.75" customHeight="1">
      <c r="H216" s="15"/>
    </row>
    <row r="217" ht="15.75" customHeight="1">
      <c r="H217" s="15"/>
    </row>
    <row r="218" ht="15.75" customHeight="1">
      <c r="H218" s="15"/>
    </row>
    <row r="219" ht="15.75" customHeight="1">
      <c r="H219" s="15"/>
    </row>
    <row r="220" ht="15.75" customHeight="1">
      <c r="H220" s="15"/>
    </row>
    <row r="221" ht="15.75" customHeight="1">
      <c r="H221" s="15"/>
    </row>
    <row r="222" ht="15.75" customHeight="1">
      <c r="H222" s="15"/>
    </row>
    <row r="223" ht="15.75" customHeight="1">
      <c r="H223" s="15"/>
    </row>
    <row r="224" ht="15.75" customHeight="1">
      <c r="H224" s="15"/>
    </row>
    <row r="225" ht="15.75" customHeight="1">
      <c r="H225" s="15"/>
    </row>
    <row r="226" ht="15.75" customHeight="1">
      <c r="H226" s="15"/>
    </row>
    <row r="227" ht="15.75" customHeight="1">
      <c r="H227" s="15"/>
    </row>
    <row r="228" ht="15.75" customHeight="1">
      <c r="H228" s="15"/>
    </row>
    <row r="229" ht="15.75" customHeight="1">
      <c r="H229" s="15"/>
    </row>
    <row r="230" ht="15.75" customHeight="1">
      <c r="H230" s="15"/>
    </row>
    <row r="231" ht="15.75" customHeight="1">
      <c r="H231" s="15"/>
    </row>
    <row r="232" ht="15.75" customHeight="1">
      <c r="H232" s="15"/>
    </row>
    <row r="233" ht="15.75" customHeight="1">
      <c r="H233" s="15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7:G17"/>
    <mergeCell ref="I17:O17"/>
    <mergeCell ref="A22:G22"/>
    <mergeCell ref="I22:O22"/>
    <mergeCell ref="A1:G1"/>
    <mergeCell ref="I1:O1"/>
    <mergeCell ref="A2:G2"/>
    <mergeCell ref="A7:G7"/>
    <mergeCell ref="I7:O7"/>
    <mergeCell ref="A12:G12"/>
    <mergeCell ref="I12:O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3.0"/>
    <col customWidth="1" min="2" max="2" width="12.63"/>
    <col customWidth="1" min="3" max="3" width="19.75"/>
    <col customWidth="1" min="4" max="4" width="1.88"/>
    <col customWidth="1" min="5" max="5" width="23.0"/>
    <col customWidth="1" min="6" max="12" width="8.88"/>
    <col customWidth="1" min="13" max="13" width="21.0"/>
    <col customWidth="1" min="14" max="18" width="8.88"/>
  </cols>
  <sheetData>
    <row r="1" ht="15.75" customHeight="1">
      <c r="A1" s="25" t="s">
        <v>31</v>
      </c>
      <c r="B1" s="26"/>
      <c r="C1" s="27"/>
      <c r="D1" s="15"/>
      <c r="E1" s="25" t="s">
        <v>32</v>
      </c>
      <c r="F1" s="26"/>
      <c r="G1" s="26"/>
      <c r="H1" s="26"/>
      <c r="I1" s="26"/>
      <c r="J1" s="26"/>
      <c r="K1" s="26"/>
      <c r="L1" s="26"/>
      <c r="M1" s="26"/>
      <c r="N1" s="26"/>
      <c r="O1" s="27"/>
      <c r="P1" s="28"/>
      <c r="Q1" s="28"/>
      <c r="R1" s="28"/>
      <c r="S1" s="11"/>
      <c r="T1" s="11"/>
      <c r="U1" s="11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ht="15.75" customHeight="1">
      <c r="A2" s="2" t="s">
        <v>33</v>
      </c>
      <c r="B2" s="29">
        <v>120.0</v>
      </c>
      <c r="C2" s="30" t="s">
        <v>34</v>
      </c>
      <c r="D2" s="15"/>
      <c r="E2" s="5" t="s">
        <v>35</v>
      </c>
      <c r="F2" s="5" t="s">
        <v>36</v>
      </c>
      <c r="G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5" t="s">
        <v>42</v>
      </c>
      <c r="P2" s="31"/>
      <c r="Q2" s="31"/>
      <c r="R2" s="31"/>
      <c r="S2" s="1"/>
      <c r="T2" s="1"/>
      <c r="U2" s="1"/>
    </row>
    <row r="3" ht="15.75" customHeight="1">
      <c r="A3" s="2" t="s">
        <v>43</v>
      </c>
      <c r="B3" s="29">
        <f t="shared" ref="B3:B4" si="1">B2*0.7</f>
        <v>84</v>
      </c>
      <c r="C3" s="30" t="s">
        <v>34</v>
      </c>
      <c r="D3" s="15"/>
      <c r="E3" s="2" t="s">
        <v>33</v>
      </c>
      <c r="F3" s="32">
        <f t="shared" ref="F3:F6" si="2">(200/$B2)*$B$10</f>
        <v>250</v>
      </c>
      <c r="G3" s="32">
        <f t="shared" ref="G3:G6" si="3">(400/$B2)*$B$10</f>
        <v>500</v>
      </c>
      <c r="H3" s="32">
        <f t="shared" ref="H3:H6" si="4">(600/$B2)*$B$10</f>
        <v>750</v>
      </c>
      <c r="I3" s="32">
        <f t="shared" ref="I3:I6" si="5">(800/$B2)*$B$10</f>
        <v>1000</v>
      </c>
      <c r="J3" s="32">
        <f t="shared" ref="J3:J6" si="6">(1000/$B2)*$B$10</f>
        <v>1250</v>
      </c>
      <c r="K3" s="32">
        <f t="shared" ref="K3:K6" si="7">(1500/$B2)*$B$10</f>
        <v>1875</v>
      </c>
      <c r="L3" s="32">
        <f t="shared" ref="L3:L6" si="8">(2000/$B2)*$B$10</f>
        <v>2500</v>
      </c>
      <c r="P3" s="33"/>
      <c r="Q3" s="33"/>
      <c r="R3" s="33"/>
      <c r="S3" s="1"/>
      <c r="T3" s="1"/>
      <c r="U3" s="1"/>
    </row>
    <row r="4" ht="15.75" customHeight="1">
      <c r="A4" s="2" t="s">
        <v>44</v>
      </c>
      <c r="B4" s="29">
        <f t="shared" si="1"/>
        <v>58.8</v>
      </c>
      <c r="C4" s="30" t="s">
        <v>34</v>
      </c>
      <c r="D4" s="15"/>
      <c r="E4" s="2" t="s">
        <v>43</v>
      </c>
      <c r="F4" s="32">
        <f t="shared" si="2"/>
        <v>357.1428571</v>
      </c>
      <c r="G4" s="32">
        <f t="shared" si="3"/>
        <v>714.2857143</v>
      </c>
      <c r="H4" s="32">
        <f t="shared" si="4"/>
        <v>1071.428571</v>
      </c>
      <c r="I4" s="32">
        <f t="shared" si="5"/>
        <v>1428.571429</v>
      </c>
      <c r="J4" s="32">
        <f t="shared" si="6"/>
        <v>1785.714286</v>
      </c>
      <c r="K4" s="32">
        <f t="shared" si="7"/>
        <v>2678.571429</v>
      </c>
      <c r="L4" s="32">
        <f t="shared" si="8"/>
        <v>3571.428571</v>
      </c>
      <c r="P4" s="33"/>
      <c r="Q4" s="33"/>
      <c r="R4" s="33"/>
      <c r="S4" s="1"/>
      <c r="T4" s="1"/>
      <c r="U4" s="1"/>
    </row>
    <row r="5" ht="15.75" customHeight="1">
      <c r="A5" s="2" t="s">
        <v>45</v>
      </c>
      <c r="B5" s="29">
        <f>B4*0.5</f>
        <v>29.4</v>
      </c>
      <c r="C5" s="30" t="s">
        <v>34</v>
      </c>
      <c r="D5" s="15"/>
      <c r="E5" s="2" t="s">
        <v>44</v>
      </c>
      <c r="F5" s="32">
        <f t="shared" si="2"/>
        <v>510.2040816</v>
      </c>
      <c r="G5" s="32">
        <f t="shared" si="3"/>
        <v>1020.408163</v>
      </c>
      <c r="H5" s="32">
        <f t="shared" si="4"/>
        <v>1530.612245</v>
      </c>
      <c r="I5" s="32">
        <f t="shared" si="5"/>
        <v>2040.816327</v>
      </c>
      <c r="J5" s="32">
        <f t="shared" si="6"/>
        <v>2551.020408</v>
      </c>
      <c r="K5" s="32">
        <f t="shared" si="7"/>
        <v>3826.530612</v>
      </c>
      <c r="L5" s="32">
        <f t="shared" si="8"/>
        <v>5102.040816</v>
      </c>
      <c r="P5" s="33"/>
      <c r="Q5" s="33"/>
      <c r="R5" s="33"/>
      <c r="S5" s="1"/>
      <c r="T5" s="1"/>
      <c r="U5" s="1"/>
    </row>
    <row r="6" ht="15.75" customHeight="1">
      <c r="A6" s="34" t="s">
        <v>46</v>
      </c>
      <c r="B6" s="1"/>
      <c r="C6" s="1"/>
      <c r="D6" s="15"/>
      <c r="E6" s="2" t="s">
        <v>45</v>
      </c>
      <c r="F6" s="32">
        <f t="shared" si="2"/>
        <v>1020.408163</v>
      </c>
      <c r="G6" s="32">
        <f t="shared" si="3"/>
        <v>2040.816327</v>
      </c>
      <c r="H6" s="32">
        <f t="shared" si="4"/>
        <v>3061.22449</v>
      </c>
      <c r="I6" s="32">
        <f t="shared" si="5"/>
        <v>4081.632653</v>
      </c>
      <c r="J6" s="32">
        <f t="shared" si="6"/>
        <v>5102.040816</v>
      </c>
      <c r="K6" s="32">
        <f t="shared" si="7"/>
        <v>7653.061224</v>
      </c>
      <c r="L6" s="32">
        <f t="shared" si="8"/>
        <v>10204.08163</v>
      </c>
      <c r="P6" s="33"/>
      <c r="Q6" s="33"/>
      <c r="R6" s="33"/>
      <c r="S6" s="1"/>
      <c r="T6" s="1"/>
      <c r="U6" s="1"/>
    </row>
    <row r="7" ht="15.75" customHeight="1">
      <c r="A7" s="25" t="s">
        <v>47</v>
      </c>
      <c r="B7" s="26"/>
      <c r="C7" s="27"/>
      <c r="D7" s="15"/>
      <c r="K7" s="1"/>
      <c r="L7" s="1"/>
      <c r="P7" s="1"/>
      <c r="Q7" s="1"/>
      <c r="R7" s="1"/>
      <c r="S7" s="1"/>
      <c r="T7" s="1"/>
      <c r="U7" s="1"/>
    </row>
    <row r="8" ht="15.75" customHeight="1">
      <c r="A8" s="2" t="s">
        <v>48</v>
      </c>
      <c r="B8" s="35">
        <v>65.0</v>
      </c>
      <c r="C8" s="2" t="s">
        <v>49</v>
      </c>
      <c r="D8" s="21"/>
      <c r="E8" s="5" t="s">
        <v>50</v>
      </c>
      <c r="F8" s="5" t="s">
        <v>36</v>
      </c>
      <c r="G8" s="5" t="s">
        <v>37</v>
      </c>
      <c r="H8" s="5" t="s">
        <v>38</v>
      </c>
      <c r="I8" s="5" t="s">
        <v>39</v>
      </c>
      <c r="J8" s="5" t="s">
        <v>40</v>
      </c>
      <c r="K8" s="5" t="s">
        <v>41</v>
      </c>
      <c r="L8" s="5" t="s">
        <v>42</v>
      </c>
      <c r="P8" s="31"/>
      <c r="Q8" s="31"/>
      <c r="R8" s="31"/>
      <c r="S8" s="1"/>
      <c r="T8" s="1"/>
      <c r="U8" s="1"/>
    </row>
    <row r="9" ht="15.75" customHeight="1">
      <c r="A9" s="2" t="s">
        <v>51</v>
      </c>
      <c r="B9" s="35">
        <v>30.0</v>
      </c>
      <c r="C9" s="2" t="s">
        <v>49</v>
      </c>
      <c r="D9" s="22"/>
      <c r="E9" s="2" t="s">
        <v>52</v>
      </c>
      <c r="F9" s="36">
        <f>200/$B$8</f>
        <v>3.076923077</v>
      </c>
      <c r="G9" s="36">
        <f>400/$B$8</f>
        <v>6.153846154</v>
      </c>
      <c r="H9" s="36">
        <f>600/$B$8</f>
        <v>9.230769231</v>
      </c>
      <c r="I9" s="36">
        <f>800/$B$8</f>
        <v>12.30769231</v>
      </c>
      <c r="J9" s="36">
        <f>1000/$B$8</f>
        <v>15.38461538</v>
      </c>
      <c r="K9" s="36">
        <f>1500/$B$8</f>
        <v>23.07692308</v>
      </c>
      <c r="L9" s="36">
        <f>2000/$B$8</f>
        <v>30.76923077</v>
      </c>
      <c r="P9" s="37"/>
      <c r="Q9" s="37"/>
      <c r="R9" s="37"/>
      <c r="S9" s="1"/>
      <c r="T9" s="1"/>
      <c r="U9" s="1"/>
    </row>
    <row r="10" ht="15.75" customHeight="1">
      <c r="A10" s="2" t="s">
        <v>53</v>
      </c>
      <c r="B10" s="38">
        <v>150.0</v>
      </c>
      <c r="C10" s="2" t="s">
        <v>54</v>
      </c>
      <c r="D10" s="2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5.75" customHeight="1">
      <c r="A11" s="39"/>
      <c r="B11" s="31"/>
      <c r="C11" s="31"/>
      <c r="D11" s="2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5.75" customHeight="1">
      <c r="A12" s="1"/>
      <c r="B12" s="31"/>
      <c r="C12" s="31"/>
      <c r="D12" s="2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5.75" customHeight="1">
      <c r="A13" s="25" t="s">
        <v>55</v>
      </c>
      <c r="B13" s="26"/>
      <c r="C13" s="27"/>
      <c r="D13" s="23"/>
      <c r="E13" s="11"/>
      <c r="F13" s="11"/>
      <c r="G13" s="11"/>
      <c r="H13" s="11"/>
      <c r="I13" s="11"/>
      <c r="J13" s="11"/>
      <c r="K13" s="11"/>
      <c r="L13" s="11"/>
      <c r="M13" s="11"/>
      <c r="N13" s="40"/>
      <c r="O13" s="11"/>
      <c r="P13" s="11"/>
      <c r="Q13" s="11"/>
      <c r="R13" s="11"/>
      <c r="S13" s="11"/>
      <c r="T13" s="11"/>
      <c r="U13" s="11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ht="15.75" customHeight="1">
      <c r="A14" s="41" t="s">
        <v>56</v>
      </c>
      <c r="B14" s="42">
        <v>1.0</v>
      </c>
      <c r="C14" s="41" t="s">
        <v>57</v>
      </c>
      <c r="D14" s="23"/>
      <c r="E14" s="43" t="s">
        <v>58</v>
      </c>
      <c r="F14" s="26"/>
      <c r="G14" s="26"/>
      <c r="H14" s="26"/>
      <c r="I14" s="26"/>
      <c r="J14" s="26"/>
      <c r="K14" s="26"/>
      <c r="L14" s="27"/>
      <c r="M14" s="43" t="s">
        <v>59</v>
      </c>
      <c r="N14" s="26"/>
      <c r="O14" s="26"/>
      <c r="P14" s="26"/>
      <c r="Q14" s="26"/>
      <c r="R14" s="26"/>
      <c r="S14" s="26"/>
      <c r="T14" s="27"/>
      <c r="U14" s="1"/>
    </row>
    <row r="15" ht="15.75" customHeight="1">
      <c r="A15" s="41" t="s">
        <v>60</v>
      </c>
      <c r="B15" s="42">
        <v>120.0</v>
      </c>
      <c r="C15" s="30" t="s">
        <v>34</v>
      </c>
      <c r="D15" s="23"/>
      <c r="E15" s="5" t="s">
        <v>61</v>
      </c>
      <c r="F15" s="44" t="s">
        <v>62</v>
      </c>
      <c r="G15" s="45" t="s">
        <v>63</v>
      </c>
      <c r="H15" s="45" t="s">
        <v>64</v>
      </c>
      <c r="I15" s="45" t="s">
        <v>65</v>
      </c>
      <c r="J15" s="45" t="s">
        <v>66</v>
      </c>
      <c r="K15" s="44" t="s">
        <v>67</v>
      </c>
      <c r="L15" s="44" t="s">
        <v>68</v>
      </c>
      <c r="M15" s="5" t="s">
        <v>61</v>
      </c>
      <c r="N15" s="44" t="s">
        <v>62</v>
      </c>
      <c r="O15" s="45" t="s">
        <v>63</v>
      </c>
      <c r="P15" s="45" t="s">
        <v>64</v>
      </c>
      <c r="Q15" s="45" t="s">
        <v>65</v>
      </c>
      <c r="R15" s="45" t="s">
        <v>66</v>
      </c>
      <c r="S15" s="44" t="s">
        <v>67</v>
      </c>
      <c r="T15" s="44" t="s">
        <v>68</v>
      </c>
      <c r="U15" s="1"/>
    </row>
    <row r="16" ht="15.75" customHeight="1">
      <c r="A16" s="46" t="s">
        <v>69</v>
      </c>
      <c r="B16" s="47">
        <f>ROUNDUP(B14/B10,0)</f>
        <v>1</v>
      </c>
      <c r="C16" s="48">
        <f>B16*B10</f>
        <v>150</v>
      </c>
      <c r="D16" s="23"/>
      <c r="E16" s="2" t="s">
        <v>59</v>
      </c>
      <c r="F16" s="5">
        <v>3293.0</v>
      </c>
      <c r="G16" s="49">
        <f t="shared" ref="G16:G18" si="9">ROUNDUP(($F16/$B$2)*$B$14,0)</f>
        <v>28</v>
      </c>
      <c r="H16" s="49">
        <f t="shared" ref="H16:H18" si="10">ROUNDUP(($F16/$B$3)*$B$14,0)</f>
        <v>40</v>
      </c>
      <c r="I16" s="49">
        <f t="shared" ref="I16:I18" si="11">ROUNDUP(($F16/$B$4)*$B$14,0)</f>
        <v>57</v>
      </c>
      <c r="J16" s="49">
        <f t="shared" ref="J16:J18" si="12">ROUNDUP(($F16/$B$5)*$B$14,0)</f>
        <v>113</v>
      </c>
      <c r="K16" s="50">
        <f t="shared" ref="K16:K18" si="13">$F16/$B$8</f>
        <v>50.66153846</v>
      </c>
      <c r="L16" s="50">
        <f t="shared" ref="L16:L18" si="14">$F16/$B$9</f>
        <v>109.7666667</v>
      </c>
      <c r="M16" s="20" t="s">
        <v>58</v>
      </c>
      <c r="N16" s="5">
        <v>3293.0</v>
      </c>
      <c r="O16" s="49">
        <f>ROUNDUP(($N16/$B$2)*$B$14,0)</f>
        <v>28</v>
      </c>
      <c r="P16" s="49">
        <f t="shared" ref="P16:P18" si="15">ROUNDUP(($N16/$B$3)*$B$14,0)</f>
        <v>40</v>
      </c>
      <c r="Q16" s="49">
        <f t="shared" ref="Q16:Q18" si="16">ROUNDUP(($N16/$B$4)*$B$14,0)</f>
        <v>57</v>
      </c>
      <c r="R16" s="49">
        <f t="shared" ref="R16:R18" si="17">ROUNDUP(($N16/$B$5)*$B$14,0)</f>
        <v>113</v>
      </c>
      <c r="S16" s="50">
        <f t="shared" ref="S16:S18" si="18">$F16/$B$8</f>
        <v>50.66153846</v>
      </c>
      <c r="T16" s="50">
        <f t="shared" ref="T16:T18" si="19">$F16/$B$9</f>
        <v>109.7666667</v>
      </c>
      <c r="U16" s="1"/>
    </row>
    <row r="17" ht="15.75" customHeight="1">
      <c r="A17" s="51" t="s">
        <v>70</v>
      </c>
      <c r="B17" s="31"/>
      <c r="C17" s="31"/>
      <c r="D17" s="23"/>
      <c r="E17" s="20" t="s">
        <v>71</v>
      </c>
      <c r="F17" s="5">
        <v>2000.0</v>
      </c>
      <c r="G17" s="49">
        <f t="shared" si="9"/>
        <v>17</v>
      </c>
      <c r="H17" s="49">
        <f t="shared" si="10"/>
        <v>24</v>
      </c>
      <c r="I17" s="49">
        <f t="shared" si="11"/>
        <v>35</v>
      </c>
      <c r="J17" s="49">
        <f t="shared" si="12"/>
        <v>69</v>
      </c>
      <c r="K17" s="50">
        <f t="shared" si="13"/>
        <v>30.76923077</v>
      </c>
      <c r="L17" s="50">
        <f t="shared" si="14"/>
        <v>66.66666667</v>
      </c>
      <c r="M17" s="20" t="s">
        <v>71</v>
      </c>
      <c r="N17" s="5">
        <v>3000.0</v>
      </c>
      <c r="O17" s="49">
        <f t="shared" ref="O17:O18" si="20">ROUNDUP((N17/$B$15)*$B$14,0)</f>
        <v>25</v>
      </c>
      <c r="P17" s="49">
        <f t="shared" si="15"/>
        <v>36</v>
      </c>
      <c r="Q17" s="49">
        <f t="shared" si="16"/>
        <v>52</v>
      </c>
      <c r="R17" s="49">
        <f t="shared" si="17"/>
        <v>103</v>
      </c>
      <c r="S17" s="50">
        <f t="shared" si="18"/>
        <v>30.76923077</v>
      </c>
      <c r="T17" s="50">
        <f t="shared" si="19"/>
        <v>66.66666667</v>
      </c>
      <c r="U17" s="1"/>
    </row>
    <row r="18" ht="15.75" customHeight="1">
      <c r="A18" s="1"/>
      <c r="B18" s="31"/>
      <c r="C18" s="31"/>
      <c r="D18" s="23"/>
      <c r="E18" s="2" t="s">
        <v>72</v>
      </c>
      <c r="F18" s="5">
        <v>3000.0</v>
      </c>
      <c r="G18" s="49">
        <f t="shared" si="9"/>
        <v>25</v>
      </c>
      <c r="H18" s="49">
        <f t="shared" si="10"/>
        <v>36</v>
      </c>
      <c r="I18" s="49">
        <f t="shared" si="11"/>
        <v>52</v>
      </c>
      <c r="J18" s="49">
        <f t="shared" si="12"/>
        <v>103</v>
      </c>
      <c r="K18" s="50">
        <f t="shared" si="13"/>
        <v>46.15384615</v>
      </c>
      <c r="L18" s="50">
        <f t="shared" si="14"/>
        <v>100</v>
      </c>
      <c r="M18" s="2" t="s">
        <v>72</v>
      </c>
      <c r="N18" s="5">
        <v>4000.0</v>
      </c>
      <c r="O18" s="49">
        <f t="shared" si="20"/>
        <v>34</v>
      </c>
      <c r="P18" s="49">
        <f t="shared" si="15"/>
        <v>48</v>
      </c>
      <c r="Q18" s="49">
        <f t="shared" si="16"/>
        <v>69</v>
      </c>
      <c r="R18" s="49">
        <f t="shared" si="17"/>
        <v>137</v>
      </c>
      <c r="S18" s="50">
        <f t="shared" si="18"/>
        <v>46.15384615</v>
      </c>
      <c r="T18" s="50">
        <f t="shared" si="19"/>
        <v>100</v>
      </c>
      <c r="U18" s="1"/>
    </row>
    <row r="19" ht="15.75" customHeight="1">
      <c r="A19" s="1"/>
      <c r="B19" s="31"/>
      <c r="C19" s="31"/>
      <c r="D19" s="23"/>
      <c r="E19" s="43" t="s">
        <v>71</v>
      </c>
      <c r="F19" s="26"/>
      <c r="G19" s="26"/>
      <c r="H19" s="26"/>
      <c r="I19" s="26"/>
      <c r="J19" s="26"/>
      <c r="K19" s="26"/>
      <c r="L19" s="27"/>
      <c r="M19" s="43" t="s">
        <v>72</v>
      </c>
      <c r="N19" s="26"/>
      <c r="O19" s="26"/>
      <c r="P19" s="26"/>
      <c r="Q19" s="26"/>
      <c r="R19" s="26"/>
      <c r="S19" s="26"/>
      <c r="T19" s="27"/>
      <c r="U19" s="1"/>
    </row>
    <row r="20" ht="15.75" customHeight="1">
      <c r="A20" s="1"/>
      <c r="B20" s="1"/>
      <c r="C20" s="1"/>
      <c r="D20" s="23"/>
      <c r="E20" s="5" t="s">
        <v>61</v>
      </c>
      <c r="F20" s="44" t="s">
        <v>62</v>
      </c>
      <c r="G20" s="45" t="s">
        <v>63</v>
      </c>
      <c r="H20" s="45" t="s">
        <v>64</v>
      </c>
      <c r="I20" s="45" t="s">
        <v>65</v>
      </c>
      <c r="J20" s="45" t="s">
        <v>66</v>
      </c>
      <c r="K20" s="44" t="s">
        <v>67</v>
      </c>
      <c r="L20" s="44" t="s">
        <v>68</v>
      </c>
      <c r="M20" s="5" t="s">
        <v>61</v>
      </c>
      <c r="N20" s="44" t="s">
        <v>62</v>
      </c>
      <c r="O20" s="45" t="s">
        <v>63</v>
      </c>
      <c r="P20" s="45" t="s">
        <v>64</v>
      </c>
      <c r="Q20" s="45" t="s">
        <v>65</v>
      </c>
      <c r="R20" s="45" t="s">
        <v>66</v>
      </c>
      <c r="S20" s="44" t="s">
        <v>67</v>
      </c>
      <c r="T20" s="44" t="s">
        <v>68</v>
      </c>
      <c r="U20" s="1"/>
    </row>
    <row r="21" ht="15.75" customHeight="1">
      <c r="A21" s="1"/>
      <c r="B21" s="1"/>
      <c r="C21" s="1"/>
      <c r="D21" s="23"/>
      <c r="E21" s="20" t="s">
        <v>58</v>
      </c>
      <c r="F21" s="5">
        <v>2000.0</v>
      </c>
      <c r="G21" s="49">
        <f t="shared" ref="G21:G23" si="21">ROUNDUP(($F21/$B$2)*$B$14,0)</f>
        <v>17</v>
      </c>
      <c r="H21" s="49">
        <f t="shared" ref="H21:H23" si="22">ROUNDUP(($F21/$B$3)*$B$14,0)</f>
        <v>24</v>
      </c>
      <c r="I21" s="49">
        <f t="shared" ref="I21:I23" si="23">ROUNDUP(($F21/$B$4)*$B$14,0)</f>
        <v>35</v>
      </c>
      <c r="J21" s="49">
        <f t="shared" ref="J21:J23" si="24">ROUNDUP(($F21/$B$5)*$B$14,0)</f>
        <v>69</v>
      </c>
      <c r="K21" s="50">
        <f t="shared" ref="K21:K23" si="25">$F21/$B$8</f>
        <v>30.76923077</v>
      </c>
      <c r="L21" s="50">
        <f t="shared" ref="L21:L23" si="26">$F21/$B$9</f>
        <v>66.66666667</v>
      </c>
      <c r="M21" s="20" t="s">
        <v>58</v>
      </c>
      <c r="N21" s="5">
        <v>3000.0</v>
      </c>
      <c r="O21" s="49">
        <f>ROUNDUP(($N21/$B$2)*$B$14,0)</f>
        <v>25</v>
      </c>
      <c r="P21" s="49">
        <f t="shared" ref="P21:P23" si="27">ROUNDUP(($N21/$B$3)*$B$14,0)</f>
        <v>36</v>
      </c>
      <c r="Q21" s="49">
        <f t="shared" ref="Q21:Q23" si="28">ROUNDUP(($N21/$B$4)*$B$14,0)</f>
        <v>52</v>
      </c>
      <c r="R21" s="49">
        <f t="shared" ref="R21:R23" si="29">ROUNDUP(($N21/$B$5)*$B$14,0)</f>
        <v>103</v>
      </c>
      <c r="S21" s="50">
        <f t="shared" ref="S21:S23" si="30">$F21/$B$8</f>
        <v>30.76923077</v>
      </c>
      <c r="T21" s="50">
        <f t="shared" ref="T21:T23" si="31">$F21/$B$9</f>
        <v>66.66666667</v>
      </c>
      <c r="U21" s="1"/>
    </row>
    <row r="22" ht="15.75" customHeight="1">
      <c r="A22" s="1"/>
      <c r="B22" s="1"/>
      <c r="C22" s="1"/>
      <c r="D22" s="23"/>
      <c r="E22" s="2" t="s">
        <v>59</v>
      </c>
      <c r="F22" s="5">
        <v>3000.0</v>
      </c>
      <c r="G22" s="49">
        <f t="shared" si="21"/>
        <v>25</v>
      </c>
      <c r="H22" s="49">
        <f t="shared" si="22"/>
        <v>36</v>
      </c>
      <c r="I22" s="49">
        <f t="shared" si="23"/>
        <v>52</v>
      </c>
      <c r="J22" s="49">
        <f t="shared" si="24"/>
        <v>103</v>
      </c>
      <c r="K22" s="50">
        <f t="shared" si="25"/>
        <v>46.15384615</v>
      </c>
      <c r="L22" s="50">
        <f t="shared" si="26"/>
        <v>100</v>
      </c>
      <c r="M22" s="2" t="s">
        <v>59</v>
      </c>
      <c r="N22" s="5">
        <v>4000.0</v>
      </c>
      <c r="O22" s="49">
        <f t="shared" ref="O22:O23" si="32">ROUNDUP((N22/$B$15)*$B$14,0)</f>
        <v>34</v>
      </c>
      <c r="P22" s="49">
        <f t="shared" si="27"/>
        <v>48</v>
      </c>
      <c r="Q22" s="49">
        <f t="shared" si="28"/>
        <v>69</v>
      </c>
      <c r="R22" s="49">
        <f t="shared" si="29"/>
        <v>137</v>
      </c>
      <c r="S22" s="50">
        <f t="shared" si="30"/>
        <v>46.15384615</v>
      </c>
      <c r="T22" s="50">
        <f t="shared" si="31"/>
        <v>100</v>
      </c>
      <c r="U22" s="1"/>
    </row>
    <row r="23" ht="15.75" customHeight="1">
      <c r="A23" s="1"/>
      <c r="B23" s="31"/>
      <c r="C23" s="31"/>
      <c r="D23" s="23"/>
      <c r="E23" s="2" t="s">
        <v>72</v>
      </c>
      <c r="F23" s="5">
        <v>1000.0</v>
      </c>
      <c r="G23" s="49">
        <f t="shared" si="21"/>
        <v>9</v>
      </c>
      <c r="H23" s="49">
        <f t="shared" si="22"/>
        <v>12</v>
      </c>
      <c r="I23" s="49">
        <f t="shared" si="23"/>
        <v>18</v>
      </c>
      <c r="J23" s="49">
        <f t="shared" si="24"/>
        <v>35</v>
      </c>
      <c r="K23" s="50">
        <f t="shared" si="25"/>
        <v>15.38461538</v>
      </c>
      <c r="L23" s="50">
        <f t="shared" si="26"/>
        <v>33.33333333</v>
      </c>
      <c r="M23" s="20" t="s">
        <v>71</v>
      </c>
      <c r="N23" s="5">
        <v>1000.0</v>
      </c>
      <c r="O23" s="49">
        <f t="shared" si="32"/>
        <v>9</v>
      </c>
      <c r="P23" s="49">
        <f t="shared" si="27"/>
        <v>12</v>
      </c>
      <c r="Q23" s="49">
        <f t="shared" si="28"/>
        <v>18</v>
      </c>
      <c r="R23" s="49">
        <f t="shared" si="29"/>
        <v>35</v>
      </c>
      <c r="S23" s="50">
        <f t="shared" si="30"/>
        <v>15.38461538</v>
      </c>
      <c r="T23" s="50">
        <f t="shared" si="31"/>
        <v>33.33333333</v>
      </c>
      <c r="U23" s="1"/>
    </row>
    <row r="24" ht="15.75" customHeight="1">
      <c r="A24" s="25"/>
      <c r="B24" s="26"/>
      <c r="C24" s="27"/>
      <c r="D24" s="23"/>
      <c r="E24" s="11"/>
      <c r="F24" s="11"/>
      <c r="G24" s="11"/>
      <c r="H24" s="11"/>
      <c r="I24" s="11"/>
      <c r="J24" s="11"/>
      <c r="K24" s="11"/>
      <c r="L24" s="11"/>
      <c r="M24" s="11"/>
      <c r="N24" s="40"/>
      <c r="O24" s="11"/>
      <c r="P24" s="11"/>
      <c r="Q24" s="11"/>
      <c r="R24" s="11"/>
      <c r="S24" s="11"/>
      <c r="T24" s="11"/>
      <c r="U24" s="11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ht="15.75" customHeight="1">
      <c r="A25" s="1"/>
      <c r="B25" s="31"/>
      <c r="C25" s="31"/>
      <c r="D25" s="23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23"/>
      <c r="E26" s="5" t="s">
        <v>61</v>
      </c>
      <c r="F26" s="44" t="s">
        <v>62</v>
      </c>
      <c r="G26" s="45" t="s">
        <v>63</v>
      </c>
      <c r="H26" s="45" t="s">
        <v>64</v>
      </c>
      <c r="I26" s="45" t="s">
        <v>65</v>
      </c>
      <c r="J26" s="45" t="s">
        <v>66</v>
      </c>
      <c r="K26" s="44" t="s">
        <v>67</v>
      </c>
      <c r="L26" s="44" t="s">
        <v>68</v>
      </c>
      <c r="M26" s="5" t="s">
        <v>73</v>
      </c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23"/>
      <c r="E27" s="2" t="s">
        <v>74</v>
      </c>
      <c r="F27" s="5">
        <v>648.0</v>
      </c>
      <c r="G27" s="49">
        <f t="shared" ref="G27:G30" si="33">ROUNDUP(($F27/$B$2)*$B$14,0)</f>
        <v>6</v>
      </c>
      <c r="H27" s="49">
        <f t="shared" ref="H27:H30" si="34">ROUNDUP(($F27/$B$3)*$B$14,0)</f>
        <v>8</v>
      </c>
      <c r="I27" s="49">
        <f t="shared" ref="I27:I30" si="35">ROUNDUP(($F27/$B$4)*$B$14,0)</f>
        <v>12</v>
      </c>
      <c r="J27" s="49">
        <f t="shared" ref="J27:J30" si="36">ROUNDUP(($F27/$B$5)*$B$14,0)</f>
        <v>23</v>
      </c>
      <c r="K27" s="50">
        <f t="shared" ref="K27:K30" si="37">$F27/$B$8</f>
        <v>9.969230769</v>
      </c>
      <c r="L27" s="50">
        <f t="shared" ref="L27:L30" si="38">$F27/$B$9</f>
        <v>21.6</v>
      </c>
      <c r="M27" s="5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23"/>
      <c r="E28" s="2" t="s">
        <v>75</v>
      </c>
      <c r="F28" s="5">
        <v>2000.0</v>
      </c>
      <c r="G28" s="49">
        <f t="shared" si="33"/>
        <v>17</v>
      </c>
      <c r="H28" s="49">
        <f t="shared" si="34"/>
        <v>24</v>
      </c>
      <c r="I28" s="49">
        <f t="shared" si="35"/>
        <v>35</v>
      </c>
      <c r="J28" s="49">
        <f t="shared" si="36"/>
        <v>69</v>
      </c>
      <c r="K28" s="50">
        <f t="shared" si="37"/>
        <v>30.76923077</v>
      </c>
      <c r="L28" s="50">
        <f t="shared" si="38"/>
        <v>66.66666667</v>
      </c>
      <c r="M28" s="5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52"/>
      <c r="C29" s="1"/>
      <c r="D29" s="23"/>
      <c r="E29" s="2" t="s">
        <v>76</v>
      </c>
      <c r="F29" s="5">
        <v>957.0</v>
      </c>
      <c r="G29" s="49">
        <f t="shared" si="33"/>
        <v>8</v>
      </c>
      <c r="H29" s="49">
        <f t="shared" si="34"/>
        <v>12</v>
      </c>
      <c r="I29" s="49">
        <f t="shared" si="35"/>
        <v>17</v>
      </c>
      <c r="J29" s="49">
        <f t="shared" si="36"/>
        <v>33</v>
      </c>
      <c r="K29" s="50">
        <f t="shared" si="37"/>
        <v>14.72307692</v>
      </c>
      <c r="L29" s="50">
        <f t="shared" si="38"/>
        <v>31.9</v>
      </c>
      <c r="M29" s="5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23"/>
      <c r="E30" s="2" t="s">
        <v>77</v>
      </c>
      <c r="F30" s="5">
        <v>1035.0</v>
      </c>
      <c r="G30" s="49">
        <f t="shared" si="33"/>
        <v>9</v>
      </c>
      <c r="H30" s="49">
        <f t="shared" si="34"/>
        <v>13</v>
      </c>
      <c r="I30" s="49">
        <f t="shared" si="35"/>
        <v>18</v>
      </c>
      <c r="J30" s="49">
        <f t="shared" si="36"/>
        <v>36</v>
      </c>
      <c r="K30" s="50">
        <f t="shared" si="37"/>
        <v>15.92307692</v>
      </c>
      <c r="L30" s="50">
        <f t="shared" si="38"/>
        <v>34.5</v>
      </c>
      <c r="M30" s="2" t="s">
        <v>78</v>
      </c>
      <c r="O30" s="1"/>
      <c r="P30" s="1"/>
      <c r="Q30" s="1"/>
      <c r="R30" s="1"/>
      <c r="S30" s="1"/>
      <c r="T30" s="1"/>
      <c r="U30" s="1"/>
    </row>
    <row r="31" ht="15.75" customHeight="1">
      <c r="A31" s="1"/>
      <c r="B31" s="53"/>
      <c r="C31" s="1"/>
      <c r="D31" s="23"/>
      <c r="E31" s="1"/>
      <c r="F31" s="31"/>
      <c r="G31" s="31"/>
      <c r="H31" s="31"/>
      <c r="I31" s="31"/>
      <c r="J31" s="31"/>
      <c r="K31" s="1"/>
      <c r="L31" s="1"/>
      <c r="M31" s="3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23"/>
      <c r="E32" s="5" t="s">
        <v>61</v>
      </c>
      <c r="F32" s="44" t="s">
        <v>62</v>
      </c>
      <c r="G32" s="45" t="s">
        <v>63</v>
      </c>
      <c r="H32" s="45" t="s">
        <v>64</v>
      </c>
      <c r="I32" s="45" t="s">
        <v>65</v>
      </c>
      <c r="J32" s="45" t="s">
        <v>66</v>
      </c>
      <c r="K32" s="44" t="s">
        <v>67</v>
      </c>
      <c r="L32" s="44" t="s">
        <v>68</v>
      </c>
      <c r="M32" s="5" t="s">
        <v>73</v>
      </c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23">
        <v>1.0</v>
      </c>
      <c r="E33" s="2" t="s">
        <v>79</v>
      </c>
      <c r="F33" s="5">
        <v>3035.0</v>
      </c>
      <c r="G33" s="49">
        <f t="shared" ref="G33:G36" si="39">ROUNDUP(($F33/$B$2)*$B$14,0)</f>
        <v>26</v>
      </c>
      <c r="H33" s="49">
        <f t="shared" ref="H33:H36" si="40">ROUNDUP(($F33/$B$3)*$B$14,0)</f>
        <v>37</v>
      </c>
      <c r="I33" s="49">
        <f t="shared" ref="I33:I36" si="41">ROUNDUP(($F33/$B$4)*$B$14,0)</f>
        <v>52</v>
      </c>
      <c r="J33" s="49">
        <f t="shared" ref="J33:J36" si="42">ROUNDUP(($F33/$B$5)*$B$14,0)</f>
        <v>104</v>
      </c>
      <c r="K33" s="50">
        <f t="shared" ref="K33:K36" si="43">$F33/$B$8</f>
        <v>46.69230769</v>
      </c>
      <c r="L33" s="50">
        <f t="shared" ref="L33:L36" si="44">$F33/$B$9</f>
        <v>101.1666667</v>
      </c>
      <c r="M33" s="5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23"/>
      <c r="E34" s="2" t="s">
        <v>80</v>
      </c>
      <c r="F34" s="5">
        <v>6564.0</v>
      </c>
      <c r="G34" s="49">
        <f t="shared" si="39"/>
        <v>55</v>
      </c>
      <c r="H34" s="49">
        <f t="shared" si="40"/>
        <v>79</v>
      </c>
      <c r="I34" s="49">
        <f t="shared" si="41"/>
        <v>112</v>
      </c>
      <c r="J34" s="49">
        <f t="shared" si="42"/>
        <v>224</v>
      </c>
      <c r="K34" s="50">
        <f t="shared" si="43"/>
        <v>100.9846154</v>
      </c>
      <c r="L34" s="50">
        <f t="shared" si="44"/>
        <v>218.8</v>
      </c>
      <c r="M34" s="2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23"/>
      <c r="E35" s="2"/>
      <c r="F35" s="5"/>
      <c r="G35" s="49">
        <f t="shared" si="39"/>
        <v>0</v>
      </c>
      <c r="H35" s="49">
        <f t="shared" si="40"/>
        <v>0</v>
      </c>
      <c r="I35" s="49">
        <f t="shared" si="41"/>
        <v>0</v>
      </c>
      <c r="J35" s="49">
        <f t="shared" si="42"/>
        <v>0</v>
      </c>
      <c r="K35" s="50">
        <f t="shared" si="43"/>
        <v>0</v>
      </c>
      <c r="L35" s="50">
        <f t="shared" si="44"/>
        <v>0</v>
      </c>
      <c r="M35" s="2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23"/>
      <c r="E36" s="2"/>
      <c r="F36" s="5"/>
      <c r="G36" s="49">
        <f t="shared" si="39"/>
        <v>0</v>
      </c>
      <c r="H36" s="49">
        <f t="shared" si="40"/>
        <v>0</v>
      </c>
      <c r="I36" s="49">
        <f t="shared" si="41"/>
        <v>0</v>
      </c>
      <c r="J36" s="49">
        <f t="shared" si="42"/>
        <v>0</v>
      </c>
      <c r="K36" s="50">
        <f t="shared" si="43"/>
        <v>0</v>
      </c>
      <c r="L36" s="50">
        <f t="shared" si="44"/>
        <v>0</v>
      </c>
      <c r="M36" s="2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2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5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5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5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5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5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5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3:C13"/>
    <mergeCell ref="A24:C24"/>
    <mergeCell ref="A1:C1"/>
    <mergeCell ref="E1:O1"/>
    <mergeCell ref="A7:C7"/>
    <mergeCell ref="E14:L14"/>
    <mergeCell ref="M14:T14"/>
    <mergeCell ref="E19:L19"/>
    <mergeCell ref="M19:T19"/>
  </mergeCells>
  <dataValidations>
    <dataValidation type="list" allowBlank="1" sqref="B15">
      <formula1>'Distance Cost Calculator'!$B$2:$B$5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6.0"/>
    <col customWidth="1" min="3" max="3" width="7.5"/>
    <col customWidth="1" min="4" max="4" width="1.88"/>
    <col customWidth="1" min="5" max="5" width="5.13"/>
    <col customWidth="1" min="6" max="6" width="6.88"/>
    <col customWidth="1" min="7" max="7" width="6.0"/>
    <col customWidth="1" min="8" max="8" width="6.88"/>
    <col customWidth="1" min="9" max="9" width="8.25"/>
    <col customWidth="1" min="10" max="10" width="6.88"/>
    <col customWidth="1" min="11" max="12" width="7.5"/>
    <col customWidth="1" min="13" max="13" width="6.88"/>
    <col customWidth="1" min="14" max="14" width="8.75"/>
    <col customWidth="1" min="15" max="15" width="8.5"/>
    <col customWidth="1" min="16" max="16" width="1.88"/>
    <col customWidth="1" min="17" max="17" width="6.25"/>
    <col customWidth="1" min="18" max="18" width="7.25"/>
    <col customWidth="1" min="19" max="19" width="1.88"/>
    <col customWidth="1" min="20" max="20" width="7.25"/>
    <col customWidth="1" min="21" max="21" width="6.75"/>
    <col customWidth="1" min="22" max="22" width="1.88"/>
    <col customWidth="1" min="23" max="23" width="8.75"/>
    <col customWidth="1" min="24" max="24" width="1.88"/>
  </cols>
  <sheetData>
    <row r="1" ht="15.75" customHeight="1">
      <c r="A1" s="54" t="s">
        <v>81</v>
      </c>
    </row>
    <row r="2" ht="15.75" customHeight="1">
      <c r="D2" s="15"/>
      <c r="P2" s="15"/>
      <c r="Q2" s="55" t="s">
        <v>82</v>
      </c>
      <c r="R2" s="20">
        <f>'Distance Cost Calculator'!$B$10</f>
        <v>150</v>
      </c>
      <c r="S2" s="15"/>
      <c r="T2" s="56" t="s">
        <v>83</v>
      </c>
      <c r="U2" s="57">
        <f>'Distance Cost Calculator'!$B$9</f>
        <v>30</v>
      </c>
      <c r="V2" s="15"/>
      <c r="W2" s="56" t="s">
        <v>84</v>
      </c>
      <c r="X2" s="15"/>
    </row>
    <row r="3" ht="15.75" customHeight="1">
      <c r="D3" s="15"/>
      <c r="P3" s="15"/>
      <c r="Q3" s="56" t="s">
        <v>84</v>
      </c>
      <c r="R3" s="58">
        <v>0.2</v>
      </c>
      <c r="S3" s="15"/>
      <c r="T3" s="59" t="s">
        <v>85</v>
      </c>
      <c r="U3" s="60">
        <f>'Distance Cost Calculator'!F9</f>
        <v>3.076923077</v>
      </c>
      <c r="V3" s="15"/>
      <c r="W3" s="57">
        <v>4.0</v>
      </c>
      <c r="X3" s="15"/>
    </row>
    <row r="4" ht="16.5" customHeight="1">
      <c r="A4" s="61" t="s">
        <v>86</v>
      </c>
      <c r="D4" s="15"/>
      <c r="P4" s="15"/>
      <c r="S4" s="15"/>
      <c r="T4" s="62"/>
      <c r="U4" s="62"/>
      <c r="V4" s="15"/>
      <c r="X4" s="15"/>
    </row>
    <row r="5" ht="15.75" customHeight="1">
      <c r="D5" s="15"/>
      <c r="P5" s="15"/>
      <c r="S5" s="15"/>
      <c r="T5" s="63"/>
      <c r="V5" s="15"/>
      <c r="X5" s="15"/>
    </row>
    <row r="6" ht="15.75" customHeight="1">
      <c r="D6" s="15"/>
      <c r="N6" s="64" t="s">
        <v>87</v>
      </c>
      <c r="P6" s="15"/>
      <c r="S6" s="15"/>
      <c r="T6" s="63"/>
      <c r="U6" s="63"/>
      <c r="V6" s="15"/>
      <c r="X6" s="15"/>
    </row>
    <row r="7" ht="16.5" customHeight="1">
      <c r="A7" s="65" t="s">
        <v>88</v>
      </c>
      <c r="D7" s="15"/>
      <c r="E7" s="66" t="s">
        <v>89</v>
      </c>
      <c r="F7" s="67"/>
      <c r="G7" s="67"/>
      <c r="H7" s="67"/>
      <c r="I7" s="67"/>
      <c r="J7" s="67"/>
      <c r="K7" s="67"/>
      <c r="L7" s="67"/>
      <c r="M7" s="67"/>
      <c r="N7" s="67"/>
      <c r="O7" s="67"/>
      <c r="P7" s="15"/>
      <c r="Q7" s="65" t="s">
        <v>90</v>
      </c>
      <c r="S7" s="15"/>
      <c r="T7" s="68" t="s">
        <v>91</v>
      </c>
      <c r="V7" s="15"/>
      <c r="W7" s="69" t="s">
        <v>92</v>
      </c>
      <c r="X7" s="15"/>
    </row>
    <row r="8" ht="15.0" customHeight="1">
      <c r="A8" s="67"/>
      <c r="B8" s="67"/>
      <c r="C8" s="67"/>
      <c r="D8" s="21"/>
      <c r="E8" s="65" t="s">
        <v>93</v>
      </c>
      <c r="F8" s="70"/>
      <c r="G8" s="65" t="s">
        <v>94</v>
      </c>
      <c r="H8" s="70"/>
      <c r="I8" s="65" t="s">
        <v>95</v>
      </c>
      <c r="J8" s="70"/>
      <c r="K8" s="65" t="s">
        <v>96</v>
      </c>
      <c r="M8" s="70"/>
      <c r="N8" s="65" t="s">
        <v>97</v>
      </c>
      <c r="P8" s="21"/>
      <c r="S8" s="21"/>
      <c r="V8" s="21"/>
      <c r="X8" s="21"/>
    </row>
    <row r="9" ht="41.25" customHeight="1">
      <c r="A9" s="71" t="s">
        <v>98</v>
      </c>
      <c r="B9" s="71" t="s">
        <v>99</v>
      </c>
      <c r="C9" s="71" t="s">
        <v>100</v>
      </c>
      <c r="D9" s="22"/>
      <c r="E9" s="71" t="s">
        <v>101</v>
      </c>
      <c r="F9" s="72" t="s">
        <v>99</v>
      </c>
      <c r="G9" s="71" t="s">
        <v>101</v>
      </c>
      <c r="H9" s="72" t="s">
        <v>99</v>
      </c>
      <c r="I9" s="71" t="s">
        <v>102</v>
      </c>
      <c r="J9" s="72" t="s">
        <v>103</v>
      </c>
      <c r="K9" s="71" t="s">
        <v>101</v>
      </c>
      <c r="L9" s="71" t="s">
        <v>99</v>
      </c>
      <c r="M9" s="73" t="s">
        <v>104</v>
      </c>
      <c r="N9" s="71" t="s">
        <v>105</v>
      </c>
      <c r="O9" s="71" t="s">
        <v>106</v>
      </c>
      <c r="P9" s="22"/>
      <c r="Q9" s="74" t="s">
        <v>107</v>
      </c>
      <c r="R9" s="71" t="s">
        <v>108</v>
      </c>
      <c r="S9" s="22"/>
      <c r="T9" s="71" t="s">
        <v>36</v>
      </c>
      <c r="U9" s="75" t="s">
        <v>109</v>
      </c>
      <c r="V9" s="22"/>
      <c r="W9" s="73" t="s">
        <v>104</v>
      </c>
      <c r="X9" s="22"/>
    </row>
    <row r="10" ht="15.75" customHeight="1">
      <c r="A10" s="76" t="s">
        <v>110</v>
      </c>
      <c r="B10" s="76">
        <v>150.0</v>
      </c>
      <c r="C10" s="76">
        <v>750.0</v>
      </c>
      <c r="D10" s="23"/>
      <c r="E10" s="77">
        <v>0.6</v>
      </c>
      <c r="F10" s="78">
        <f t="shared" ref="F10:F37" si="2">E10*$B10</f>
        <v>90</v>
      </c>
      <c r="G10" s="77">
        <v>0.08</v>
      </c>
      <c r="H10" s="78">
        <f t="shared" ref="H10:H37" si="3">G10*$B10</f>
        <v>12</v>
      </c>
      <c r="I10" s="77">
        <v>0.03</v>
      </c>
      <c r="J10" s="78">
        <f t="shared" ref="J10:J37" si="4">I10*$B10</f>
        <v>4.5</v>
      </c>
      <c r="K10" s="79">
        <f t="shared" ref="K10:L10" si="1">I10+G10+E10</f>
        <v>0.71</v>
      </c>
      <c r="L10" s="80">
        <f t="shared" si="1"/>
        <v>106.5</v>
      </c>
      <c r="M10" s="81">
        <f t="shared" ref="M10:M37" si="6">ROUNDUP((1/(F10+H10+J10))*($C10*K10),0)</f>
        <v>5</v>
      </c>
      <c r="N10" s="82">
        <f t="shared" ref="N10:N37" si="7">1-(I10+G10+E10)</f>
        <v>0.29</v>
      </c>
      <c r="O10" s="83">
        <f t="shared" ref="O10:O37" si="8">N10*$B10</f>
        <v>43.5</v>
      </c>
      <c r="P10" s="23"/>
      <c r="Q10" s="84">
        <f>'Distance Cost Calculator'!$B$10/L10</f>
        <v>1.408450704</v>
      </c>
      <c r="R10" s="85">
        <f t="shared" ref="R10:R37" si="9">(C10*$Q10)*($R$3+1)</f>
        <v>1267.605634</v>
      </c>
      <c r="S10" s="23"/>
      <c r="T10" s="86">
        <f>($R10-'Distance Cost Calculator'!F$3)</f>
        <v>1017.605634</v>
      </c>
      <c r="U10" s="86">
        <f>T10/'Distance Cost Calculator'!$F$9</f>
        <v>330.721831</v>
      </c>
      <c r="V10" s="23"/>
      <c r="W10" s="85">
        <f>ROUNDUP((T10/'Distance Cost Calculator'!$B$10)+$W$3,0)</f>
        <v>11</v>
      </c>
      <c r="X10" s="23"/>
    </row>
    <row r="11" ht="15.75" customHeight="1">
      <c r="A11" s="76" t="s">
        <v>111</v>
      </c>
      <c r="B11" s="76">
        <v>0.6</v>
      </c>
      <c r="C11" s="76">
        <v>2.0</v>
      </c>
      <c r="D11" s="23"/>
      <c r="E11" s="77">
        <v>0.4</v>
      </c>
      <c r="F11" s="78">
        <f t="shared" si="2"/>
        <v>0.24</v>
      </c>
      <c r="G11" s="77">
        <v>0.05</v>
      </c>
      <c r="H11" s="78">
        <f t="shared" si="3"/>
        <v>0.03</v>
      </c>
      <c r="I11" s="77">
        <v>0.2</v>
      </c>
      <c r="J11" s="78">
        <f t="shared" si="4"/>
        <v>0.12</v>
      </c>
      <c r="K11" s="79">
        <f t="shared" ref="K11:L11" si="5">I11+G11+E11</f>
        <v>0.65</v>
      </c>
      <c r="L11" s="80">
        <f t="shared" si="5"/>
        <v>0.39</v>
      </c>
      <c r="M11" s="81">
        <f t="shared" si="6"/>
        <v>4</v>
      </c>
      <c r="N11" s="82">
        <f t="shared" si="7"/>
        <v>0.35</v>
      </c>
      <c r="O11" s="83">
        <f t="shared" si="8"/>
        <v>0.21</v>
      </c>
      <c r="P11" s="23"/>
      <c r="Q11" s="84">
        <f>'Distance Cost Calculator'!$B$10/L11</f>
        <v>384.6153846</v>
      </c>
      <c r="R11" s="85">
        <f t="shared" si="9"/>
        <v>923.0769231</v>
      </c>
      <c r="S11" s="23"/>
      <c r="T11" s="86">
        <f>($R11-'Distance Cost Calculator'!F$3)</f>
        <v>673.0769231</v>
      </c>
      <c r="U11" s="86">
        <f>T11/'Distance Cost Calculator'!$F$9</f>
        <v>218.75</v>
      </c>
      <c r="V11" s="23"/>
      <c r="W11" s="85">
        <f>ROUNDUP((T11/'Distance Cost Calculator'!$B$10)+$W$3,0)</f>
        <v>9</v>
      </c>
      <c r="X11" s="23"/>
    </row>
    <row r="12" ht="15.75" customHeight="1">
      <c r="A12" s="76" t="s">
        <v>112</v>
      </c>
      <c r="B12" s="76">
        <v>40.0</v>
      </c>
      <c r="C12" s="76">
        <v>300.0</v>
      </c>
      <c r="D12" s="23"/>
      <c r="E12" s="77">
        <v>0.4</v>
      </c>
      <c r="F12" s="78">
        <f t="shared" si="2"/>
        <v>16</v>
      </c>
      <c r="G12" s="77">
        <v>0.12</v>
      </c>
      <c r="H12" s="78">
        <f t="shared" si="3"/>
        <v>4.8</v>
      </c>
      <c r="I12" s="77">
        <v>0.08</v>
      </c>
      <c r="J12" s="78">
        <f t="shared" si="4"/>
        <v>3.2</v>
      </c>
      <c r="K12" s="79">
        <f t="shared" ref="K12:L12" si="10">I12+G12+E12</f>
        <v>0.6</v>
      </c>
      <c r="L12" s="80">
        <f t="shared" si="10"/>
        <v>24</v>
      </c>
      <c r="M12" s="81">
        <f t="shared" si="6"/>
        <v>8</v>
      </c>
      <c r="N12" s="82">
        <f t="shared" si="7"/>
        <v>0.4</v>
      </c>
      <c r="O12" s="83">
        <f t="shared" si="8"/>
        <v>16</v>
      </c>
      <c r="P12" s="23"/>
      <c r="Q12" s="84">
        <f>'Distance Cost Calculator'!$B$10/L12</f>
        <v>6.25</v>
      </c>
      <c r="R12" s="85">
        <f t="shared" si="9"/>
        <v>2250</v>
      </c>
      <c r="S12" s="23"/>
      <c r="T12" s="86">
        <f>($R12-'Distance Cost Calculator'!F$3)</f>
        <v>2000</v>
      </c>
      <c r="U12" s="86">
        <f>T12/'Distance Cost Calculator'!$F$9</f>
        <v>650</v>
      </c>
      <c r="V12" s="23"/>
      <c r="W12" s="85">
        <f>ROUNDUP((T12/'Distance Cost Calculator'!$B$10)+$W$3,0)</f>
        <v>18</v>
      </c>
      <c r="X12" s="23"/>
    </row>
    <row r="13" ht="15.75" customHeight="1">
      <c r="A13" s="76" t="s">
        <v>113</v>
      </c>
      <c r="B13" s="76">
        <v>70.0</v>
      </c>
      <c r="C13" s="76">
        <v>350.0</v>
      </c>
      <c r="D13" s="23"/>
      <c r="E13" s="77">
        <v>0.55</v>
      </c>
      <c r="F13" s="78">
        <f t="shared" si="2"/>
        <v>38.5</v>
      </c>
      <c r="G13" s="77">
        <v>0.17</v>
      </c>
      <c r="H13" s="78">
        <f t="shared" si="3"/>
        <v>11.9</v>
      </c>
      <c r="I13" s="77">
        <v>0.07</v>
      </c>
      <c r="J13" s="78">
        <f t="shared" si="4"/>
        <v>4.9</v>
      </c>
      <c r="K13" s="79">
        <f t="shared" ref="K13:L13" si="11">I13+G13+E13</f>
        <v>0.79</v>
      </c>
      <c r="L13" s="80">
        <f t="shared" si="11"/>
        <v>55.3</v>
      </c>
      <c r="M13" s="81">
        <f t="shared" si="6"/>
        <v>5</v>
      </c>
      <c r="N13" s="82">
        <f t="shared" si="7"/>
        <v>0.21</v>
      </c>
      <c r="O13" s="83">
        <f t="shared" si="8"/>
        <v>14.7</v>
      </c>
      <c r="P13" s="23"/>
      <c r="Q13" s="84">
        <f>'Distance Cost Calculator'!$B$10/L13</f>
        <v>2.712477396</v>
      </c>
      <c r="R13" s="85">
        <f t="shared" si="9"/>
        <v>1139.240506</v>
      </c>
      <c r="S13" s="23"/>
      <c r="T13" s="86">
        <f>($R13-'Distance Cost Calculator'!F$3)</f>
        <v>889.2405063</v>
      </c>
      <c r="U13" s="86">
        <f>T13/'Distance Cost Calculator'!$F$9</f>
        <v>289.0031646</v>
      </c>
      <c r="V13" s="23"/>
      <c r="W13" s="85">
        <f>ROUNDUP((T13/'Distance Cost Calculator'!$B$10)+$W$3,0)</f>
        <v>10</v>
      </c>
      <c r="X13" s="23"/>
    </row>
    <row r="14" ht="15.75" customHeight="1">
      <c r="A14" s="76" t="s">
        <v>114</v>
      </c>
      <c r="B14" s="76">
        <v>45.0</v>
      </c>
      <c r="C14" s="76">
        <v>145.0</v>
      </c>
      <c r="D14" s="23"/>
      <c r="E14" s="77">
        <v>0.55</v>
      </c>
      <c r="F14" s="78">
        <f t="shared" si="2"/>
        <v>24.75</v>
      </c>
      <c r="G14" s="77">
        <v>0.05</v>
      </c>
      <c r="H14" s="78">
        <f t="shared" si="3"/>
        <v>2.25</v>
      </c>
      <c r="I14" s="77">
        <v>0.2</v>
      </c>
      <c r="J14" s="78">
        <f t="shared" si="4"/>
        <v>9</v>
      </c>
      <c r="K14" s="79">
        <f t="shared" ref="K14:L14" si="12">I14+G14+E14</f>
        <v>0.8</v>
      </c>
      <c r="L14" s="80">
        <f t="shared" si="12"/>
        <v>36</v>
      </c>
      <c r="M14" s="81">
        <f t="shared" si="6"/>
        <v>4</v>
      </c>
      <c r="N14" s="82">
        <f t="shared" si="7"/>
        <v>0.2</v>
      </c>
      <c r="O14" s="83">
        <f t="shared" si="8"/>
        <v>9</v>
      </c>
      <c r="P14" s="23"/>
      <c r="Q14" s="84">
        <f>'Distance Cost Calculator'!$B$10/L14</f>
        <v>4.166666667</v>
      </c>
      <c r="R14" s="85">
        <f t="shared" si="9"/>
        <v>725</v>
      </c>
      <c r="S14" s="23"/>
      <c r="T14" s="86">
        <f>($R14-'Distance Cost Calculator'!F$3)</f>
        <v>475</v>
      </c>
      <c r="U14" s="86">
        <f>T14/'Distance Cost Calculator'!$F$9</f>
        <v>154.375</v>
      </c>
      <c r="V14" s="23"/>
      <c r="W14" s="85">
        <f>ROUNDUP((T14/'Distance Cost Calculator'!$B$10)+$W$3,0)</f>
        <v>8</v>
      </c>
      <c r="X14" s="23"/>
    </row>
    <row r="15" ht="15.75" customHeight="1">
      <c r="A15" s="76" t="s">
        <v>115</v>
      </c>
      <c r="B15" s="76">
        <v>900.0</v>
      </c>
      <c r="C15" s="76">
        <v>4000.0</v>
      </c>
      <c r="D15" s="23"/>
      <c r="E15" s="77">
        <v>0.57</v>
      </c>
      <c r="F15" s="78">
        <f t="shared" si="2"/>
        <v>513</v>
      </c>
      <c r="G15" s="77">
        <v>0.2</v>
      </c>
      <c r="H15" s="78">
        <f t="shared" si="3"/>
        <v>180</v>
      </c>
      <c r="I15" s="77">
        <v>0.06</v>
      </c>
      <c r="J15" s="78">
        <f t="shared" si="4"/>
        <v>54</v>
      </c>
      <c r="K15" s="79">
        <f t="shared" ref="K15:L15" si="13">I15+G15+E15</f>
        <v>0.83</v>
      </c>
      <c r="L15" s="80">
        <f t="shared" si="13"/>
        <v>747</v>
      </c>
      <c r="M15" s="81">
        <f t="shared" si="6"/>
        <v>5</v>
      </c>
      <c r="N15" s="82">
        <f t="shared" si="7"/>
        <v>0.17</v>
      </c>
      <c r="O15" s="83">
        <f t="shared" si="8"/>
        <v>153</v>
      </c>
      <c r="P15" s="23"/>
      <c r="Q15" s="84">
        <f>'Distance Cost Calculator'!$B$10/L15</f>
        <v>0.2008032129</v>
      </c>
      <c r="R15" s="85">
        <f t="shared" si="9"/>
        <v>963.8554217</v>
      </c>
      <c r="S15" s="23"/>
      <c r="T15" s="86">
        <f>($R15-'Distance Cost Calculator'!F$3)</f>
        <v>713.8554217</v>
      </c>
      <c r="U15" s="86">
        <f>T15/'Distance Cost Calculator'!$F$9</f>
        <v>232.003012</v>
      </c>
      <c r="V15" s="23"/>
      <c r="W15" s="85">
        <f>ROUNDUP((T15/'Distance Cost Calculator'!$B$10)+$W$3,0)</f>
        <v>9</v>
      </c>
      <c r="X15" s="23"/>
    </row>
    <row r="16" ht="15.75" customHeight="1">
      <c r="A16" s="76" t="s">
        <v>116</v>
      </c>
      <c r="B16" s="76">
        <v>6.2</v>
      </c>
      <c r="C16" s="76">
        <v>35.0</v>
      </c>
      <c r="D16" s="23"/>
      <c r="E16" s="77">
        <v>0.64</v>
      </c>
      <c r="F16" s="78">
        <f t="shared" si="2"/>
        <v>3.968</v>
      </c>
      <c r="G16" s="77">
        <v>0.06</v>
      </c>
      <c r="H16" s="78">
        <f t="shared" si="3"/>
        <v>0.372</v>
      </c>
      <c r="I16" s="77">
        <v>0.04</v>
      </c>
      <c r="J16" s="78">
        <f t="shared" si="4"/>
        <v>0.248</v>
      </c>
      <c r="K16" s="79">
        <f t="shared" ref="K16:L16" si="14">I16+G16+E16</f>
        <v>0.74</v>
      </c>
      <c r="L16" s="80">
        <f t="shared" si="14"/>
        <v>4.588</v>
      </c>
      <c r="M16" s="81">
        <f t="shared" si="6"/>
        <v>6</v>
      </c>
      <c r="N16" s="82">
        <f t="shared" si="7"/>
        <v>0.26</v>
      </c>
      <c r="O16" s="83">
        <f t="shared" si="8"/>
        <v>1.612</v>
      </c>
      <c r="P16" s="23"/>
      <c r="Q16" s="84">
        <f>'Distance Cost Calculator'!$B$10/L16</f>
        <v>32.69398431</v>
      </c>
      <c r="R16" s="85">
        <f t="shared" si="9"/>
        <v>1373.147341</v>
      </c>
      <c r="S16" s="23"/>
      <c r="T16" s="86">
        <f>($R16-'Distance Cost Calculator'!F$3)</f>
        <v>1123.147341</v>
      </c>
      <c r="U16" s="86">
        <f>T16/'Distance Cost Calculator'!$F$9</f>
        <v>365.0228858</v>
      </c>
      <c r="V16" s="23"/>
      <c r="W16" s="85">
        <f>ROUNDUP((T16/'Distance Cost Calculator'!$B$10)+$W$3,0)</f>
        <v>12</v>
      </c>
      <c r="X16" s="23"/>
    </row>
    <row r="17" ht="15.75" customHeight="1">
      <c r="A17" s="76" t="s">
        <v>117</v>
      </c>
      <c r="B17" s="76">
        <v>30.0</v>
      </c>
      <c r="C17" s="76">
        <v>80.0</v>
      </c>
      <c r="D17" s="23"/>
      <c r="E17" s="77">
        <v>0.35</v>
      </c>
      <c r="F17" s="78">
        <f t="shared" si="2"/>
        <v>10.5</v>
      </c>
      <c r="G17" s="77">
        <v>0.15</v>
      </c>
      <c r="H17" s="78">
        <f t="shared" si="3"/>
        <v>4.5</v>
      </c>
      <c r="I17" s="77">
        <v>0.25</v>
      </c>
      <c r="J17" s="78">
        <f t="shared" si="4"/>
        <v>7.5</v>
      </c>
      <c r="K17" s="79">
        <f t="shared" ref="K17:L17" si="15">I17+G17+E17</f>
        <v>0.75</v>
      </c>
      <c r="L17" s="80">
        <f t="shared" si="15"/>
        <v>22.5</v>
      </c>
      <c r="M17" s="81">
        <f t="shared" si="6"/>
        <v>3</v>
      </c>
      <c r="N17" s="82">
        <f t="shared" si="7"/>
        <v>0.25</v>
      </c>
      <c r="O17" s="83">
        <f t="shared" si="8"/>
        <v>7.5</v>
      </c>
      <c r="P17" s="23"/>
      <c r="Q17" s="84">
        <f>'Distance Cost Calculator'!$B$10/L17</f>
        <v>6.666666667</v>
      </c>
      <c r="R17" s="85">
        <f t="shared" si="9"/>
        <v>640</v>
      </c>
      <c r="S17" s="23"/>
      <c r="T17" s="86">
        <f>($R17-'Distance Cost Calculator'!F$3)</f>
        <v>390</v>
      </c>
      <c r="U17" s="86">
        <f>T17/'Distance Cost Calculator'!$F$9</f>
        <v>126.75</v>
      </c>
      <c r="V17" s="23"/>
      <c r="W17" s="85">
        <f>ROUNDUP((T17/'Distance Cost Calculator'!$B$10)+$W$3,0)</f>
        <v>7</v>
      </c>
      <c r="X17" s="23"/>
    </row>
    <row r="18" ht="15.75" customHeight="1">
      <c r="A18" s="76" t="s">
        <v>118</v>
      </c>
      <c r="B18" s="76">
        <v>13.0</v>
      </c>
      <c r="C18" s="76">
        <v>35.0</v>
      </c>
      <c r="D18" s="23"/>
      <c r="E18" s="77">
        <v>0.55</v>
      </c>
      <c r="F18" s="78">
        <f t="shared" si="2"/>
        <v>7.15</v>
      </c>
      <c r="G18" s="77">
        <v>0.07</v>
      </c>
      <c r="H18" s="78">
        <f t="shared" si="3"/>
        <v>0.91</v>
      </c>
      <c r="I18" s="77">
        <v>0.04</v>
      </c>
      <c r="J18" s="78">
        <f t="shared" si="4"/>
        <v>0.52</v>
      </c>
      <c r="K18" s="79">
        <f t="shared" ref="K18:L18" si="16">I18+G18+E18</f>
        <v>0.66</v>
      </c>
      <c r="L18" s="80">
        <f t="shared" si="16"/>
        <v>8.58</v>
      </c>
      <c r="M18" s="81">
        <f t="shared" si="6"/>
        <v>3</v>
      </c>
      <c r="N18" s="82">
        <f t="shared" si="7"/>
        <v>0.34</v>
      </c>
      <c r="O18" s="83">
        <f t="shared" si="8"/>
        <v>4.42</v>
      </c>
      <c r="P18" s="23"/>
      <c r="Q18" s="84">
        <f>'Distance Cost Calculator'!$B$10/L18</f>
        <v>17.48251748</v>
      </c>
      <c r="R18" s="85">
        <f t="shared" si="9"/>
        <v>734.2657343</v>
      </c>
      <c r="S18" s="23"/>
      <c r="T18" s="86">
        <f>($R18-'Distance Cost Calculator'!F$3)</f>
        <v>484.2657343</v>
      </c>
      <c r="U18" s="86">
        <f>T18/'Distance Cost Calculator'!$F$9</f>
        <v>157.3863636</v>
      </c>
      <c r="V18" s="23"/>
      <c r="W18" s="85">
        <f>ROUNDUP((T18/'Distance Cost Calculator'!$B$10)+$W$3,0)</f>
        <v>8</v>
      </c>
      <c r="X18" s="23"/>
    </row>
    <row r="19" ht="15.75" customHeight="1">
      <c r="A19" s="76" t="s">
        <v>119</v>
      </c>
      <c r="B19" s="76">
        <v>100.0</v>
      </c>
      <c r="C19" s="76">
        <v>1000.0</v>
      </c>
      <c r="D19" s="23"/>
      <c r="E19" s="77">
        <v>0.42</v>
      </c>
      <c r="F19" s="78">
        <f t="shared" si="2"/>
        <v>42</v>
      </c>
      <c r="G19" s="77">
        <v>0.13</v>
      </c>
      <c r="H19" s="78">
        <f t="shared" si="3"/>
        <v>13</v>
      </c>
      <c r="I19" s="77">
        <v>0.09</v>
      </c>
      <c r="J19" s="78">
        <f t="shared" si="4"/>
        <v>9</v>
      </c>
      <c r="K19" s="79">
        <f t="shared" ref="K19:L19" si="17">I19+G19+E19</f>
        <v>0.64</v>
      </c>
      <c r="L19" s="80">
        <f t="shared" si="17"/>
        <v>64</v>
      </c>
      <c r="M19" s="81">
        <f t="shared" si="6"/>
        <v>10</v>
      </c>
      <c r="N19" s="82">
        <f t="shared" si="7"/>
        <v>0.36</v>
      </c>
      <c r="O19" s="83">
        <f t="shared" si="8"/>
        <v>36</v>
      </c>
      <c r="P19" s="23"/>
      <c r="Q19" s="84">
        <f>'Distance Cost Calculator'!$B$10/L19</f>
        <v>2.34375</v>
      </c>
      <c r="R19" s="85">
        <f t="shared" si="9"/>
        <v>2812.5</v>
      </c>
      <c r="S19" s="23"/>
      <c r="T19" s="86">
        <f>($R19-'Distance Cost Calculator'!F$3)</f>
        <v>2562.5</v>
      </c>
      <c r="U19" s="86">
        <f>T19/'Distance Cost Calculator'!$F$9</f>
        <v>832.8125</v>
      </c>
      <c r="V19" s="23"/>
      <c r="W19" s="85">
        <f>ROUNDUP((T19/'Distance Cost Calculator'!$B$10)+$W$3,0)</f>
        <v>22</v>
      </c>
      <c r="X19" s="23"/>
    </row>
    <row r="20" ht="15.75" customHeight="1">
      <c r="A20" s="76" t="s">
        <v>120</v>
      </c>
      <c r="B20" s="76">
        <v>200.0</v>
      </c>
      <c r="C20" s="76">
        <v>650.0</v>
      </c>
      <c r="D20" s="23"/>
      <c r="E20" s="77">
        <v>0.6</v>
      </c>
      <c r="F20" s="78">
        <f t="shared" si="2"/>
        <v>120</v>
      </c>
      <c r="G20" s="77">
        <v>0.08</v>
      </c>
      <c r="H20" s="78">
        <f t="shared" si="3"/>
        <v>16</v>
      </c>
      <c r="I20" s="77">
        <v>0.02</v>
      </c>
      <c r="J20" s="78">
        <f t="shared" si="4"/>
        <v>4</v>
      </c>
      <c r="K20" s="79">
        <f t="shared" ref="K20:L20" si="18">I20+G20+E20</f>
        <v>0.7</v>
      </c>
      <c r="L20" s="80">
        <f t="shared" si="18"/>
        <v>140</v>
      </c>
      <c r="M20" s="81">
        <f t="shared" si="6"/>
        <v>4</v>
      </c>
      <c r="N20" s="82">
        <f t="shared" si="7"/>
        <v>0.3</v>
      </c>
      <c r="O20" s="83">
        <f t="shared" si="8"/>
        <v>60</v>
      </c>
      <c r="P20" s="23"/>
      <c r="Q20" s="84">
        <f>'Distance Cost Calculator'!$B$10/L20</f>
        <v>1.071428571</v>
      </c>
      <c r="R20" s="85">
        <f t="shared" si="9"/>
        <v>835.7142857</v>
      </c>
      <c r="S20" s="23"/>
      <c r="T20" s="86">
        <f>($R20-'Distance Cost Calculator'!F$3)</f>
        <v>585.7142857</v>
      </c>
      <c r="U20" s="86">
        <f>T20/'Distance Cost Calculator'!$F$9</f>
        <v>190.3571429</v>
      </c>
      <c r="V20" s="23"/>
      <c r="W20" s="85">
        <f>ROUNDUP((T20/'Distance Cost Calculator'!$B$10)+$W$3,0)</f>
        <v>8</v>
      </c>
      <c r="X20" s="23"/>
    </row>
    <row r="21" ht="15.75" customHeight="1">
      <c r="A21" s="76" t="s">
        <v>121</v>
      </c>
      <c r="B21" s="76">
        <v>5.0</v>
      </c>
      <c r="C21" s="76">
        <v>21.0</v>
      </c>
      <c r="D21" s="23"/>
      <c r="E21" s="77">
        <v>0.4</v>
      </c>
      <c r="F21" s="78">
        <f t="shared" si="2"/>
        <v>2</v>
      </c>
      <c r="G21" s="77">
        <v>0.09</v>
      </c>
      <c r="H21" s="78">
        <f t="shared" si="3"/>
        <v>0.45</v>
      </c>
      <c r="I21" s="77">
        <v>0.05</v>
      </c>
      <c r="J21" s="78">
        <f t="shared" si="4"/>
        <v>0.25</v>
      </c>
      <c r="K21" s="79">
        <f t="shared" ref="K21:L21" si="19">I21+G21+E21</f>
        <v>0.54</v>
      </c>
      <c r="L21" s="80">
        <f t="shared" si="19"/>
        <v>2.7</v>
      </c>
      <c r="M21" s="81">
        <f t="shared" si="6"/>
        <v>5</v>
      </c>
      <c r="N21" s="82">
        <f t="shared" si="7"/>
        <v>0.46</v>
      </c>
      <c r="O21" s="83">
        <f t="shared" si="8"/>
        <v>2.3</v>
      </c>
      <c r="P21" s="23"/>
      <c r="Q21" s="84">
        <f>'Distance Cost Calculator'!$B$10/L21</f>
        <v>55.55555556</v>
      </c>
      <c r="R21" s="85">
        <f t="shared" si="9"/>
        <v>1400</v>
      </c>
      <c r="S21" s="23"/>
      <c r="T21" s="86">
        <f>($R21-'Distance Cost Calculator'!F$3)</f>
        <v>1150</v>
      </c>
      <c r="U21" s="86">
        <f>T21/'Distance Cost Calculator'!$F$9</f>
        <v>373.75</v>
      </c>
      <c r="V21" s="23"/>
      <c r="W21" s="85">
        <f>ROUNDUP((T21/'Distance Cost Calculator'!$B$10)+$W$3,0)</f>
        <v>12</v>
      </c>
      <c r="X21" s="23"/>
    </row>
    <row r="22" ht="15.75" customHeight="1">
      <c r="A22" s="76" t="s">
        <v>122</v>
      </c>
      <c r="B22" s="76">
        <v>220.0</v>
      </c>
      <c r="C22" s="76">
        <v>1200.0</v>
      </c>
      <c r="D22" s="23"/>
      <c r="E22" s="77">
        <v>0.31</v>
      </c>
      <c r="F22" s="78">
        <f t="shared" si="2"/>
        <v>68.2</v>
      </c>
      <c r="G22" s="77">
        <v>0.0</v>
      </c>
      <c r="H22" s="78">
        <f t="shared" si="3"/>
        <v>0</v>
      </c>
      <c r="I22" s="77">
        <v>0.47</v>
      </c>
      <c r="J22" s="78">
        <f t="shared" si="4"/>
        <v>103.4</v>
      </c>
      <c r="K22" s="79">
        <f t="shared" ref="K22:L22" si="20">I22+G22+E22</f>
        <v>0.78</v>
      </c>
      <c r="L22" s="80">
        <f t="shared" si="20"/>
        <v>171.6</v>
      </c>
      <c r="M22" s="81">
        <f t="shared" si="6"/>
        <v>6</v>
      </c>
      <c r="N22" s="82">
        <f t="shared" si="7"/>
        <v>0.22</v>
      </c>
      <c r="O22" s="83">
        <f t="shared" si="8"/>
        <v>48.4</v>
      </c>
      <c r="P22" s="23"/>
      <c r="Q22" s="84">
        <f>'Distance Cost Calculator'!$B$10/L22</f>
        <v>0.8741258741</v>
      </c>
      <c r="R22" s="85">
        <f t="shared" si="9"/>
        <v>1258.741259</v>
      </c>
      <c r="S22" s="23"/>
      <c r="T22" s="86">
        <f>($R22-'Distance Cost Calculator'!F$3)</f>
        <v>1008.741259</v>
      </c>
      <c r="U22" s="86">
        <f>T22/'Distance Cost Calculator'!$F$9</f>
        <v>327.8409091</v>
      </c>
      <c r="V22" s="23"/>
      <c r="W22" s="85">
        <f>ROUNDUP((T22/'Distance Cost Calculator'!$B$10)+$W$3,0)</f>
        <v>11</v>
      </c>
      <c r="X22" s="23"/>
    </row>
    <row r="23" ht="15.75" customHeight="1">
      <c r="A23" s="76" t="s">
        <v>123</v>
      </c>
      <c r="B23" s="76">
        <v>25.0</v>
      </c>
      <c r="C23" s="76">
        <v>50.0</v>
      </c>
      <c r="D23" s="23"/>
      <c r="E23" s="77">
        <v>0.55</v>
      </c>
      <c r="F23" s="78">
        <f t="shared" si="2"/>
        <v>13.75</v>
      </c>
      <c r="G23" s="77">
        <v>0.07</v>
      </c>
      <c r="H23" s="78">
        <f t="shared" si="3"/>
        <v>1.75</v>
      </c>
      <c r="I23" s="77">
        <v>0.3</v>
      </c>
      <c r="J23" s="78">
        <f t="shared" si="4"/>
        <v>7.5</v>
      </c>
      <c r="K23" s="79">
        <f t="shared" ref="K23:L23" si="21">I23+G23+E23</f>
        <v>0.92</v>
      </c>
      <c r="L23" s="80">
        <f t="shared" si="21"/>
        <v>23</v>
      </c>
      <c r="M23" s="81">
        <f t="shared" si="6"/>
        <v>2</v>
      </c>
      <c r="N23" s="82">
        <f t="shared" si="7"/>
        <v>0.08</v>
      </c>
      <c r="O23" s="83">
        <f t="shared" si="8"/>
        <v>2</v>
      </c>
      <c r="P23" s="23"/>
      <c r="Q23" s="84">
        <f>'Distance Cost Calculator'!$B$10/L23</f>
        <v>6.52173913</v>
      </c>
      <c r="R23" s="85">
        <f t="shared" si="9"/>
        <v>391.3043478</v>
      </c>
      <c r="S23" s="23"/>
      <c r="T23" s="86">
        <f>($R23-'Distance Cost Calculator'!F$3)</f>
        <v>141.3043478</v>
      </c>
      <c r="U23" s="86">
        <f>T23/'Distance Cost Calculator'!$F$9</f>
        <v>45.92391304</v>
      </c>
      <c r="V23" s="23"/>
      <c r="W23" s="85">
        <f>ROUNDUP((T23/'Distance Cost Calculator'!$B$10)+$W$3,0)</f>
        <v>5</v>
      </c>
      <c r="X23" s="23"/>
    </row>
    <row r="24" ht="15.75" customHeight="1">
      <c r="A24" s="76" t="s">
        <v>124</v>
      </c>
      <c r="B24" s="76">
        <v>130.0</v>
      </c>
      <c r="C24" s="76">
        <v>200.0</v>
      </c>
      <c r="D24" s="23"/>
      <c r="E24" s="77">
        <v>0.35</v>
      </c>
      <c r="F24" s="78">
        <f t="shared" si="2"/>
        <v>45.5</v>
      </c>
      <c r="G24" s="77">
        <v>0.0</v>
      </c>
      <c r="H24" s="78">
        <f t="shared" si="3"/>
        <v>0</v>
      </c>
      <c r="I24" s="77">
        <v>0.45</v>
      </c>
      <c r="J24" s="78">
        <f t="shared" si="4"/>
        <v>58.5</v>
      </c>
      <c r="K24" s="79">
        <f t="shared" ref="K24:L24" si="22">I24+G24+E24</f>
        <v>0.8</v>
      </c>
      <c r="L24" s="80">
        <f t="shared" si="22"/>
        <v>104</v>
      </c>
      <c r="M24" s="81">
        <f t="shared" si="6"/>
        <v>2</v>
      </c>
      <c r="N24" s="82">
        <f t="shared" si="7"/>
        <v>0.2</v>
      </c>
      <c r="O24" s="83">
        <f t="shared" si="8"/>
        <v>26</v>
      </c>
      <c r="P24" s="23"/>
      <c r="Q24" s="84">
        <f>'Distance Cost Calculator'!$B$10/L24</f>
        <v>1.442307692</v>
      </c>
      <c r="R24" s="85">
        <f t="shared" si="9"/>
        <v>346.1538462</v>
      </c>
      <c r="S24" s="23"/>
      <c r="T24" s="86">
        <f>($R24-'Distance Cost Calculator'!F$3)</f>
        <v>96.15384615</v>
      </c>
      <c r="U24" s="86">
        <f>T24/'Distance Cost Calculator'!$F$9</f>
        <v>31.25</v>
      </c>
      <c r="V24" s="23"/>
      <c r="W24" s="85">
        <f>ROUNDUP((T24/'Distance Cost Calculator'!$B$10)+$W$3,0)</f>
        <v>5</v>
      </c>
      <c r="X24" s="23"/>
    </row>
    <row r="25" ht="15.75" customHeight="1">
      <c r="A25" s="76" t="s">
        <v>125</v>
      </c>
      <c r="B25" s="76">
        <v>3.0</v>
      </c>
      <c r="C25" s="76">
        <v>10.0</v>
      </c>
      <c r="D25" s="23"/>
      <c r="E25" s="77">
        <v>0.38</v>
      </c>
      <c r="F25" s="78">
        <f t="shared" si="2"/>
        <v>1.14</v>
      </c>
      <c r="G25" s="77">
        <v>0.11</v>
      </c>
      <c r="H25" s="78">
        <f t="shared" si="3"/>
        <v>0.33</v>
      </c>
      <c r="I25" s="77">
        <v>0.19</v>
      </c>
      <c r="J25" s="78">
        <f t="shared" si="4"/>
        <v>0.57</v>
      </c>
      <c r="K25" s="79">
        <f t="shared" ref="K25:L25" si="23">I25+G25+E25</f>
        <v>0.68</v>
      </c>
      <c r="L25" s="80">
        <f t="shared" si="23"/>
        <v>2.04</v>
      </c>
      <c r="M25" s="81">
        <f t="shared" si="6"/>
        <v>4</v>
      </c>
      <c r="N25" s="82">
        <f t="shared" si="7"/>
        <v>0.32</v>
      </c>
      <c r="O25" s="83">
        <f t="shared" si="8"/>
        <v>0.96</v>
      </c>
      <c r="P25" s="23"/>
      <c r="Q25" s="84">
        <f>'Distance Cost Calculator'!$B$10/L25</f>
        <v>73.52941176</v>
      </c>
      <c r="R25" s="85">
        <f t="shared" si="9"/>
        <v>882.3529412</v>
      </c>
      <c r="S25" s="23"/>
      <c r="T25" s="86">
        <f>($R25-'Distance Cost Calculator'!F$3)</f>
        <v>632.3529412</v>
      </c>
      <c r="U25" s="86">
        <f>T25/'Distance Cost Calculator'!$F$9</f>
        <v>205.5147059</v>
      </c>
      <c r="V25" s="23"/>
      <c r="W25" s="85">
        <f>ROUNDUP((T25/'Distance Cost Calculator'!$B$10)+$W$3,0)</f>
        <v>9</v>
      </c>
      <c r="X25" s="23"/>
    </row>
    <row r="26" ht="15.75" customHeight="1">
      <c r="A26" s="76" t="s">
        <v>126</v>
      </c>
      <c r="B26" s="76">
        <v>10.0</v>
      </c>
      <c r="C26" s="76">
        <v>84.0</v>
      </c>
      <c r="D26" s="23"/>
      <c r="E26" s="77">
        <v>0.0</v>
      </c>
      <c r="F26" s="78">
        <f t="shared" si="2"/>
        <v>0</v>
      </c>
      <c r="G26" s="77">
        <v>0.0</v>
      </c>
      <c r="H26" s="78">
        <f t="shared" si="3"/>
        <v>0</v>
      </c>
      <c r="I26" s="77">
        <v>1.0</v>
      </c>
      <c r="J26" s="78">
        <f t="shared" si="4"/>
        <v>10</v>
      </c>
      <c r="K26" s="79">
        <f t="shared" ref="K26:L26" si="24">I26+G26+E26</f>
        <v>1</v>
      </c>
      <c r="L26" s="80">
        <f t="shared" si="24"/>
        <v>10</v>
      </c>
      <c r="M26" s="81">
        <f t="shared" si="6"/>
        <v>9</v>
      </c>
      <c r="N26" s="82">
        <f t="shared" si="7"/>
        <v>0</v>
      </c>
      <c r="O26" s="83">
        <f t="shared" si="8"/>
        <v>0</v>
      </c>
      <c r="P26" s="23"/>
      <c r="Q26" s="84">
        <f>'Distance Cost Calculator'!$B$10/L26</f>
        <v>15</v>
      </c>
      <c r="R26" s="85">
        <f t="shared" si="9"/>
        <v>1512</v>
      </c>
      <c r="S26" s="23"/>
      <c r="T26" s="86">
        <f>($R26-'Distance Cost Calculator'!F$3)</f>
        <v>1262</v>
      </c>
      <c r="U26" s="86">
        <f>T26/'Distance Cost Calculator'!$F$9</f>
        <v>410.15</v>
      </c>
      <c r="V26" s="23"/>
      <c r="W26" s="85">
        <f>ROUNDUP((T26/'Distance Cost Calculator'!$B$10)+$W$3,0)</f>
        <v>13</v>
      </c>
      <c r="X26" s="23"/>
    </row>
    <row r="27" ht="15.75" customHeight="1">
      <c r="A27" s="76" t="s">
        <v>127</v>
      </c>
      <c r="B27" s="76">
        <v>2.0</v>
      </c>
      <c r="C27" s="76">
        <v>1.0</v>
      </c>
      <c r="D27" s="23"/>
      <c r="E27" s="77">
        <v>0.37</v>
      </c>
      <c r="F27" s="78">
        <f t="shared" si="2"/>
        <v>0.74</v>
      </c>
      <c r="G27" s="77">
        <v>0.15</v>
      </c>
      <c r="H27" s="78">
        <f t="shared" si="3"/>
        <v>0.3</v>
      </c>
      <c r="I27" s="77">
        <v>0.15</v>
      </c>
      <c r="J27" s="78">
        <f t="shared" si="4"/>
        <v>0.3</v>
      </c>
      <c r="K27" s="79">
        <f t="shared" ref="K27:L27" si="25">I27+G27+E27</f>
        <v>0.67</v>
      </c>
      <c r="L27" s="80">
        <f t="shared" si="25"/>
        <v>1.34</v>
      </c>
      <c r="M27" s="81">
        <f t="shared" si="6"/>
        <v>1</v>
      </c>
      <c r="N27" s="82">
        <f t="shared" si="7"/>
        <v>0.33</v>
      </c>
      <c r="O27" s="83">
        <f t="shared" si="8"/>
        <v>0.66</v>
      </c>
      <c r="P27" s="23"/>
      <c r="Q27" s="84">
        <f>'Distance Cost Calculator'!$B$10/L27</f>
        <v>111.9402985</v>
      </c>
      <c r="R27" s="85">
        <f t="shared" si="9"/>
        <v>134.3283582</v>
      </c>
      <c r="S27" s="23"/>
      <c r="T27" s="86">
        <f>($R27-'Distance Cost Calculator'!F$3)</f>
        <v>-115.6716418</v>
      </c>
      <c r="U27" s="86">
        <f>T27/'Distance Cost Calculator'!$F$9</f>
        <v>-37.59328358</v>
      </c>
      <c r="V27" s="23"/>
      <c r="W27" s="85">
        <f>ROUNDUP((T27/'Distance Cost Calculator'!$B$10)+$W$3,0)</f>
        <v>4</v>
      </c>
      <c r="X27" s="23"/>
    </row>
    <row r="28" ht="15.75" customHeight="1">
      <c r="A28" s="76" t="s">
        <v>128</v>
      </c>
      <c r="B28" s="76">
        <v>20.0</v>
      </c>
      <c r="C28" s="76">
        <v>60.0</v>
      </c>
      <c r="D28" s="23"/>
      <c r="E28" s="77">
        <v>0.41</v>
      </c>
      <c r="F28" s="78">
        <f t="shared" si="2"/>
        <v>8.2</v>
      </c>
      <c r="G28" s="77">
        <v>0.15</v>
      </c>
      <c r="H28" s="78">
        <f t="shared" si="3"/>
        <v>3</v>
      </c>
      <c r="I28" s="77">
        <v>0.15</v>
      </c>
      <c r="J28" s="78">
        <f t="shared" si="4"/>
        <v>3</v>
      </c>
      <c r="K28" s="79">
        <f t="shared" ref="K28:L28" si="26">I28+G28+E28</f>
        <v>0.71</v>
      </c>
      <c r="L28" s="80">
        <f t="shared" si="26"/>
        <v>14.2</v>
      </c>
      <c r="M28" s="81">
        <f t="shared" si="6"/>
        <v>3</v>
      </c>
      <c r="N28" s="82">
        <f t="shared" si="7"/>
        <v>0.29</v>
      </c>
      <c r="O28" s="83">
        <f t="shared" si="8"/>
        <v>5.8</v>
      </c>
      <c r="P28" s="23"/>
      <c r="Q28" s="84">
        <f>'Distance Cost Calculator'!$B$10/L28</f>
        <v>10.56338028</v>
      </c>
      <c r="R28" s="85">
        <f t="shared" si="9"/>
        <v>760.5633803</v>
      </c>
      <c r="S28" s="23"/>
      <c r="T28" s="86">
        <f>($R28-'Distance Cost Calculator'!F$3)</f>
        <v>510.5633803</v>
      </c>
      <c r="U28" s="86">
        <f>T28/'Distance Cost Calculator'!$F$9</f>
        <v>165.9330986</v>
      </c>
      <c r="V28" s="23"/>
      <c r="W28" s="85">
        <f>ROUNDUP((T28/'Distance Cost Calculator'!$B$10)+$W$3,0)</f>
        <v>8</v>
      </c>
      <c r="X28" s="23"/>
    </row>
    <row r="29" ht="15.75" customHeight="1">
      <c r="A29" s="76" t="s">
        <v>129</v>
      </c>
      <c r="B29" s="76">
        <v>3.0</v>
      </c>
      <c r="C29" s="76">
        <v>3.0</v>
      </c>
      <c r="D29" s="23"/>
      <c r="E29" s="77">
        <v>0.0</v>
      </c>
      <c r="F29" s="78">
        <f t="shared" si="2"/>
        <v>0</v>
      </c>
      <c r="G29" s="77">
        <v>0.0</v>
      </c>
      <c r="H29" s="78">
        <f t="shared" si="3"/>
        <v>0</v>
      </c>
      <c r="I29" s="77">
        <v>0.7</v>
      </c>
      <c r="J29" s="78">
        <f t="shared" si="4"/>
        <v>2.1</v>
      </c>
      <c r="K29" s="79">
        <f t="shared" ref="K29:L29" si="27">I29+G29+E29</f>
        <v>0.7</v>
      </c>
      <c r="L29" s="80">
        <f t="shared" si="27"/>
        <v>2.1</v>
      </c>
      <c r="M29" s="81">
        <f t="shared" si="6"/>
        <v>1</v>
      </c>
      <c r="N29" s="82">
        <f t="shared" si="7"/>
        <v>0.3</v>
      </c>
      <c r="O29" s="83">
        <f t="shared" si="8"/>
        <v>0.9</v>
      </c>
      <c r="P29" s="23"/>
      <c r="Q29" s="84">
        <f>'Distance Cost Calculator'!$B$10/L29</f>
        <v>71.42857143</v>
      </c>
      <c r="R29" s="85">
        <f t="shared" si="9"/>
        <v>257.1428571</v>
      </c>
      <c r="S29" s="23"/>
      <c r="T29" s="86">
        <f>($R29-'Distance Cost Calculator'!F$3)</f>
        <v>7.142857143</v>
      </c>
      <c r="U29" s="86">
        <f>T29/'Distance Cost Calculator'!$F$9</f>
        <v>2.321428571</v>
      </c>
      <c r="V29" s="23"/>
      <c r="W29" s="85">
        <f>ROUNDUP((T29/'Distance Cost Calculator'!$B$10)+$W$3,0)</f>
        <v>5</v>
      </c>
      <c r="X29" s="23"/>
    </row>
    <row r="30" ht="15.75" customHeight="1">
      <c r="A30" s="76" t="s">
        <v>130</v>
      </c>
      <c r="B30" s="76">
        <v>90.0</v>
      </c>
      <c r="C30" s="76">
        <v>930.0</v>
      </c>
      <c r="D30" s="23"/>
      <c r="E30" s="77">
        <v>0.2</v>
      </c>
      <c r="F30" s="78">
        <f t="shared" si="2"/>
        <v>18</v>
      </c>
      <c r="G30" s="77">
        <v>0.2</v>
      </c>
      <c r="H30" s="78">
        <f t="shared" si="3"/>
        <v>18</v>
      </c>
      <c r="I30" s="77">
        <v>0.3</v>
      </c>
      <c r="J30" s="78">
        <f t="shared" si="4"/>
        <v>27</v>
      </c>
      <c r="K30" s="79">
        <f t="shared" ref="K30:L30" si="28">I30+G30+E30</f>
        <v>0.7</v>
      </c>
      <c r="L30" s="80">
        <f t="shared" si="28"/>
        <v>63</v>
      </c>
      <c r="M30" s="81">
        <f t="shared" si="6"/>
        <v>11</v>
      </c>
      <c r="N30" s="82">
        <f t="shared" si="7"/>
        <v>0.3</v>
      </c>
      <c r="O30" s="83">
        <f t="shared" si="8"/>
        <v>27</v>
      </c>
      <c r="P30" s="23"/>
      <c r="Q30" s="84">
        <f>'Distance Cost Calculator'!$B$10/L30</f>
        <v>2.380952381</v>
      </c>
      <c r="R30" s="85">
        <f t="shared" si="9"/>
        <v>2657.142857</v>
      </c>
      <c r="S30" s="23"/>
      <c r="T30" s="86">
        <f>($R30-'Distance Cost Calculator'!F$3)</f>
        <v>2407.142857</v>
      </c>
      <c r="U30" s="86">
        <f>T30/'Distance Cost Calculator'!$F$9</f>
        <v>782.3214286</v>
      </c>
      <c r="V30" s="23"/>
      <c r="W30" s="85">
        <f>ROUNDUP((T30/'Distance Cost Calculator'!$B$10)+$W$3,0)</f>
        <v>21</v>
      </c>
      <c r="X30" s="23"/>
    </row>
    <row r="31" ht="15.75" customHeight="1">
      <c r="A31" s="76" t="s">
        <v>131</v>
      </c>
      <c r="B31" s="76">
        <v>120.0</v>
      </c>
      <c r="C31" s="76">
        <v>350.0</v>
      </c>
      <c r="D31" s="23"/>
      <c r="E31" s="77">
        <v>0.61</v>
      </c>
      <c r="F31" s="78">
        <f t="shared" si="2"/>
        <v>73.2</v>
      </c>
      <c r="G31" s="77">
        <v>0.14</v>
      </c>
      <c r="H31" s="78">
        <f t="shared" si="3"/>
        <v>16.8</v>
      </c>
      <c r="I31" s="77">
        <v>0.13</v>
      </c>
      <c r="J31" s="78">
        <f t="shared" si="4"/>
        <v>15.6</v>
      </c>
      <c r="K31" s="79">
        <f t="shared" ref="K31:L31" si="29">I31+G31+E31</f>
        <v>0.88</v>
      </c>
      <c r="L31" s="80">
        <f t="shared" si="29"/>
        <v>105.6</v>
      </c>
      <c r="M31" s="81">
        <f t="shared" si="6"/>
        <v>3</v>
      </c>
      <c r="N31" s="82">
        <f t="shared" si="7"/>
        <v>0.12</v>
      </c>
      <c r="O31" s="83">
        <f t="shared" si="8"/>
        <v>14.4</v>
      </c>
      <c r="P31" s="23"/>
      <c r="Q31" s="84">
        <f>'Distance Cost Calculator'!$B$10/L31</f>
        <v>1.420454545</v>
      </c>
      <c r="R31" s="85">
        <f t="shared" si="9"/>
        <v>596.5909091</v>
      </c>
      <c r="S31" s="23"/>
      <c r="T31" s="86">
        <f>($R31-'Distance Cost Calculator'!F$3)</f>
        <v>346.5909091</v>
      </c>
      <c r="U31" s="86">
        <f>T31/'Distance Cost Calculator'!$F$9</f>
        <v>112.6420455</v>
      </c>
      <c r="V31" s="23"/>
      <c r="W31" s="85">
        <f>ROUNDUP((T31/'Distance Cost Calculator'!$B$10)+$W$3,0)</f>
        <v>7</v>
      </c>
      <c r="X31" s="23"/>
    </row>
    <row r="32" ht="15.75" customHeight="1">
      <c r="A32" s="76" t="s">
        <v>132</v>
      </c>
      <c r="B32" s="76">
        <v>2.0</v>
      </c>
      <c r="C32" s="76">
        <v>4.0</v>
      </c>
      <c r="D32" s="23"/>
      <c r="E32" s="77">
        <v>0.4</v>
      </c>
      <c r="F32" s="78">
        <f t="shared" si="2"/>
        <v>0.8</v>
      </c>
      <c r="G32" s="77">
        <v>0.1</v>
      </c>
      <c r="H32" s="78">
        <f t="shared" si="3"/>
        <v>0.2</v>
      </c>
      <c r="I32" s="77">
        <v>0.07</v>
      </c>
      <c r="J32" s="78">
        <f t="shared" si="4"/>
        <v>0.14</v>
      </c>
      <c r="K32" s="79">
        <f t="shared" ref="K32:L32" si="30">I32+G32+E32</f>
        <v>0.57</v>
      </c>
      <c r="L32" s="80">
        <f t="shared" si="30"/>
        <v>1.14</v>
      </c>
      <c r="M32" s="81">
        <f t="shared" si="6"/>
        <v>2</v>
      </c>
      <c r="N32" s="82">
        <f t="shared" si="7"/>
        <v>0.43</v>
      </c>
      <c r="O32" s="83">
        <f t="shared" si="8"/>
        <v>0.86</v>
      </c>
      <c r="P32" s="23"/>
      <c r="Q32" s="84">
        <f>'Distance Cost Calculator'!$B$10/L32</f>
        <v>131.5789474</v>
      </c>
      <c r="R32" s="85">
        <f t="shared" si="9"/>
        <v>631.5789474</v>
      </c>
      <c r="S32" s="23"/>
      <c r="T32" s="86">
        <f>($R32-'Distance Cost Calculator'!F$3)</f>
        <v>381.5789474</v>
      </c>
      <c r="U32" s="86">
        <f>T32/'Distance Cost Calculator'!$F$9</f>
        <v>124.0131579</v>
      </c>
      <c r="V32" s="23"/>
      <c r="W32" s="85">
        <f>ROUNDUP((T32/'Distance Cost Calculator'!$B$10)+$W$3,0)</f>
        <v>7</v>
      </c>
      <c r="X32" s="23"/>
    </row>
    <row r="33" ht="15.75" customHeight="1">
      <c r="A33" s="76" t="s">
        <v>133</v>
      </c>
      <c r="B33" s="76">
        <v>2500.0</v>
      </c>
      <c r="C33" s="76">
        <v>3150.0</v>
      </c>
      <c r="D33" s="23">
        <v>1.0</v>
      </c>
      <c r="E33" s="77">
        <v>0.0</v>
      </c>
      <c r="F33" s="78">
        <f t="shared" si="2"/>
        <v>0</v>
      </c>
      <c r="G33" s="77">
        <v>0.0</v>
      </c>
      <c r="H33" s="78">
        <f t="shared" si="3"/>
        <v>0</v>
      </c>
      <c r="I33" s="77">
        <v>0.9</v>
      </c>
      <c r="J33" s="78">
        <f t="shared" si="4"/>
        <v>2250</v>
      </c>
      <c r="K33" s="79">
        <f t="shared" ref="K33:L33" si="31">I33+G33+E33</f>
        <v>0.9</v>
      </c>
      <c r="L33" s="80">
        <f t="shared" si="31"/>
        <v>2250</v>
      </c>
      <c r="M33" s="81">
        <f t="shared" si="6"/>
        <v>2</v>
      </c>
      <c r="N33" s="82">
        <f t="shared" si="7"/>
        <v>0.1</v>
      </c>
      <c r="O33" s="83">
        <f t="shared" si="8"/>
        <v>250</v>
      </c>
      <c r="P33" s="23"/>
      <c r="Q33" s="84">
        <f>'Distance Cost Calculator'!$B$10/L33</f>
        <v>0.06666666667</v>
      </c>
      <c r="R33" s="85">
        <f t="shared" si="9"/>
        <v>252</v>
      </c>
      <c r="S33" s="23"/>
      <c r="T33" s="86">
        <f>($R33-'Distance Cost Calculator'!F$3)</f>
        <v>2</v>
      </c>
      <c r="U33" s="86">
        <f>T33/'Distance Cost Calculator'!$F$9</f>
        <v>0.65</v>
      </c>
      <c r="V33" s="23"/>
      <c r="W33" s="85">
        <f>ROUNDUP((T33/'Distance Cost Calculator'!$B$10)+$W$3,0)</f>
        <v>5</v>
      </c>
      <c r="X33" s="23"/>
    </row>
    <row r="34" ht="15.75" customHeight="1">
      <c r="A34" s="76" t="s">
        <v>134</v>
      </c>
      <c r="B34" s="76">
        <v>1700.0</v>
      </c>
      <c r="C34" s="76">
        <v>15000.0</v>
      </c>
      <c r="D34" s="23"/>
      <c r="E34" s="77">
        <v>0.48</v>
      </c>
      <c r="F34" s="78">
        <f t="shared" si="2"/>
        <v>816</v>
      </c>
      <c r="G34" s="77">
        <v>0.09</v>
      </c>
      <c r="H34" s="78">
        <f t="shared" si="3"/>
        <v>153</v>
      </c>
      <c r="I34" s="77">
        <v>0.12</v>
      </c>
      <c r="J34" s="78">
        <f t="shared" si="4"/>
        <v>204</v>
      </c>
      <c r="K34" s="79">
        <f t="shared" ref="K34:L34" si="32">I34+G34+E34</f>
        <v>0.69</v>
      </c>
      <c r="L34" s="80">
        <f t="shared" si="32"/>
        <v>1173</v>
      </c>
      <c r="M34" s="81">
        <f t="shared" si="6"/>
        <v>9</v>
      </c>
      <c r="N34" s="82">
        <f t="shared" si="7"/>
        <v>0.31</v>
      </c>
      <c r="O34" s="83">
        <f t="shared" si="8"/>
        <v>527</v>
      </c>
      <c r="P34" s="23"/>
      <c r="Q34" s="84">
        <f>'Distance Cost Calculator'!$B$10/L34</f>
        <v>0.1278772379</v>
      </c>
      <c r="R34" s="85">
        <f t="shared" si="9"/>
        <v>2301.790281</v>
      </c>
      <c r="S34" s="23"/>
      <c r="T34" s="86">
        <f>($R34-'Distance Cost Calculator'!F$3)</f>
        <v>2051.790281</v>
      </c>
      <c r="U34" s="86">
        <f>T34/'Distance Cost Calculator'!$F$9</f>
        <v>666.8318414</v>
      </c>
      <c r="V34" s="23"/>
      <c r="W34" s="85">
        <f>ROUNDUP((T34/'Distance Cost Calculator'!$B$10)+$W$3,0)</f>
        <v>18</v>
      </c>
      <c r="X34" s="23"/>
    </row>
    <row r="35" ht="15.75" customHeight="1">
      <c r="A35" s="76" t="s">
        <v>135</v>
      </c>
      <c r="B35" s="76">
        <v>90.0</v>
      </c>
      <c r="C35" s="76">
        <v>600.0</v>
      </c>
      <c r="D35" s="23"/>
      <c r="E35" s="77">
        <v>0.55</v>
      </c>
      <c r="F35" s="78">
        <f t="shared" si="2"/>
        <v>49.5</v>
      </c>
      <c r="G35" s="77">
        <v>0.07</v>
      </c>
      <c r="H35" s="78">
        <f t="shared" si="3"/>
        <v>6.3</v>
      </c>
      <c r="I35" s="77">
        <v>0.03</v>
      </c>
      <c r="J35" s="78">
        <f t="shared" si="4"/>
        <v>2.7</v>
      </c>
      <c r="K35" s="79">
        <f t="shared" ref="K35:L35" si="33">I35+G35+E35</f>
        <v>0.65</v>
      </c>
      <c r="L35" s="80">
        <f t="shared" si="33"/>
        <v>58.5</v>
      </c>
      <c r="M35" s="81">
        <f t="shared" si="6"/>
        <v>7</v>
      </c>
      <c r="N35" s="82">
        <f t="shared" si="7"/>
        <v>0.35</v>
      </c>
      <c r="O35" s="83">
        <f t="shared" si="8"/>
        <v>31.5</v>
      </c>
      <c r="P35" s="23"/>
      <c r="Q35" s="84">
        <f>'Distance Cost Calculator'!$B$10/L35</f>
        <v>2.564102564</v>
      </c>
      <c r="R35" s="85">
        <f t="shared" si="9"/>
        <v>1846.153846</v>
      </c>
      <c r="S35" s="23"/>
      <c r="T35" s="86">
        <f>($R35-'Distance Cost Calculator'!F$3)</f>
        <v>1596.153846</v>
      </c>
      <c r="U35" s="86">
        <f>T35/'Distance Cost Calculator'!$F$9</f>
        <v>518.75</v>
      </c>
      <c r="V35" s="23"/>
      <c r="W35" s="85">
        <f>ROUNDUP((T35/'Distance Cost Calculator'!$B$10)+$W$3,0)</f>
        <v>15</v>
      </c>
      <c r="X35" s="23"/>
    </row>
    <row r="36" ht="15.75" customHeight="1">
      <c r="A36" s="76" t="s">
        <v>136</v>
      </c>
      <c r="B36" s="76">
        <v>0.01</v>
      </c>
      <c r="C36" s="76">
        <v>0.13</v>
      </c>
      <c r="D36" s="23"/>
      <c r="E36" s="77">
        <v>0.0</v>
      </c>
      <c r="F36" s="78">
        <f t="shared" si="2"/>
        <v>0</v>
      </c>
      <c r="G36" s="77">
        <v>0.0</v>
      </c>
      <c r="H36" s="78">
        <f t="shared" si="3"/>
        <v>0</v>
      </c>
      <c r="I36" s="77">
        <v>0.9</v>
      </c>
      <c r="J36" s="78">
        <f t="shared" si="4"/>
        <v>0.009</v>
      </c>
      <c r="K36" s="79">
        <f t="shared" ref="K36:L36" si="34">I36+G36+E36</f>
        <v>0.9</v>
      </c>
      <c r="L36" s="80">
        <f t="shared" si="34"/>
        <v>0.009</v>
      </c>
      <c r="M36" s="81">
        <f t="shared" si="6"/>
        <v>13</v>
      </c>
      <c r="N36" s="82">
        <f t="shared" si="7"/>
        <v>0.1</v>
      </c>
      <c r="O36" s="83">
        <f t="shared" si="8"/>
        <v>0.001</v>
      </c>
      <c r="P36" s="23"/>
      <c r="Q36" s="84">
        <f>'Distance Cost Calculator'!$B$10/L36</f>
        <v>16666.66667</v>
      </c>
      <c r="R36" s="85">
        <f t="shared" si="9"/>
        <v>2600</v>
      </c>
      <c r="S36" s="23"/>
      <c r="T36" s="86">
        <f>($R36-'Distance Cost Calculator'!F$3)</f>
        <v>2350</v>
      </c>
      <c r="U36" s="86">
        <f>T36/'Distance Cost Calculator'!$F$9</f>
        <v>763.75</v>
      </c>
      <c r="V36" s="23"/>
      <c r="W36" s="85">
        <f>ROUNDUP((T36/'Distance Cost Calculator'!$B$10)+$W$3,0)</f>
        <v>20</v>
      </c>
      <c r="X36" s="23"/>
    </row>
    <row r="37" ht="15.75" customHeight="1">
      <c r="A37" s="76" t="s">
        <v>137</v>
      </c>
      <c r="B37" s="76">
        <v>0.005</v>
      </c>
      <c r="C37" s="76">
        <v>0.01</v>
      </c>
      <c r="D37" s="23"/>
      <c r="E37" s="77">
        <v>0.0</v>
      </c>
      <c r="F37" s="78">
        <f t="shared" si="2"/>
        <v>0</v>
      </c>
      <c r="G37" s="77">
        <v>0.0</v>
      </c>
      <c r="H37" s="78">
        <f t="shared" si="3"/>
        <v>0</v>
      </c>
      <c r="I37" s="77">
        <v>0.92</v>
      </c>
      <c r="J37" s="78">
        <f t="shared" si="4"/>
        <v>0.0046</v>
      </c>
      <c r="K37" s="79">
        <f t="shared" ref="K37:L37" si="35">I37+G37+E37</f>
        <v>0.92</v>
      </c>
      <c r="L37" s="80">
        <f t="shared" si="35"/>
        <v>0.0046</v>
      </c>
      <c r="M37" s="81">
        <f t="shared" si="6"/>
        <v>2</v>
      </c>
      <c r="N37" s="82">
        <f t="shared" si="7"/>
        <v>0.08</v>
      </c>
      <c r="O37" s="83">
        <f t="shared" si="8"/>
        <v>0.0004</v>
      </c>
      <c r="P37" s="23"/>
      <c r="Q37" s="84">
        <f>'Distance Cost Calculator'!$B$10/L37</f>
        <v>32608.69565</v>
      </c>
      <c r="R37" s="85">
        <f t="shared" si="9"/>
        <v>391.3043478</v>
      </c>
      <c r="S37" s="23"/>
      <c r="T37" s="86">
        <f>($R37-'Distance Cost Calculator'!F$3)</f>
        <v>141.3043478</v>
      </c>
      <c r="U37" s="86">
        <f>T37/'Distance Cost Calculator'!$F$9</f>
        <v>45.92391304</v>
      </c>
      <c r="V37" s="23"/>
      <c r="W37" s="85">
        <f>ROUNDUP((T37/'Distance Cost Calculator'!$B$10)+$W$3,0)</f>
        <v>5</v>
      </c>
      <c r="X37" s="23"/>
    </row>
    <row r="38" ht="15.75" customHeight="1">
      <c r="D38" s="15"/>
      <c r="P38" s="15"/>
      <c r="S38" s="15"/>
      <c r="V38" s="15"/>
      <c r="X38" s="15"/>
    </row>
    <row r="39" ht="15.75" customHeight="1">
      <c r="D39" s="15"/>
      <c r="P39" s="15"/>
      <c r="S39" s="15"/>
      <c r="V39" s="15"/>
      <c r="X39" s="15"/>
    </row>
    <row r="40" ht="15.75" customHeight="1">
      <c r="D40" s="15"/>
      <c r="P40" s="15"/>
      <c r="S40" s="15"/>
      <c r="V40" s="15"/>
      <c r="X40" s="15"/>
    </row>
    <row r="41" ht="15.75" customHeight="1">
      <c r="D41" s="15"/>
      <c r="P41" s="15"/>
      <c r="S41" s="15"/>
      <c r="V41" s="15"/>
      <c r="X41" s="15"/>
    </row>
    <row r="42" ht="15.75" customHeight="1">
      <c r="D42" s="15"/>
      <c r="P42" s="15"/>
      <c r="S42" s="15"/>
      <c r="V42" s="15"/>
      <c r="X42" s="15"/>
    </row>
    <row r="43" ht="15.75" customHeight="1">
      <c r="D43" s="15"/>
      <c r="P43" s="15"/>
      <c r="S43" s="15"/>
      <c r="V43" s="15"/>
      <c r="X43" s="15"/>
    </row>
    <row r="44" ht="15.75" customHeight="1">
      <c r="D44" s="15"/>
      <c r="P44" s="15"/>
      <c r="S44" s="15"/>
      <c r="V44" s="15"/>
      <c r="X44" s="15"/>
    </row>
    <row r="45" ht="15.75" customHeight="1">
      <c r="D45" s="15"/>
      <c r="P45" s="15"/>
      <c r="S45" s="15"/>
      <c r="V45" s="15"/>
      <c r="X45" s="15"/>
    </row>
    <row r="46" ht="15.75" customHeight="1">
      <c r="D46" s="15"/>
      <c r="P46" s="15"/>
      <c r="S46" s="15"/>
      <c r="V46" s="15"/>
      <c r="X46" s="15"/>
    </row>
    <row r="47" ht="15.75" customHeight="1">
      <c r="D47" s="15"/>
      <c r="P47" s="15"/>
      <c r="S47" s="15"/>
      <c r="V47" s="15"/>
      <c r="X47" s="15"/>
    </row>
    <row r="48" ht="15.75" customHeight="1">
      <c r="D48" s="15"/>
      <c r="P48" s="15"/>
      <c r="S48" s="15"/>
      <c r="V48" s="15"/>
      <c r="X48" s="15"/>
    </row>
    <row r="49" ht="15.75" customHeight="1">
      <c r="D49" s="15"/>
      <c r="P49" s="15"/>
      <c r="S49" s="15"/>
      <c r="V49" s="15"/>
      <c r="X49" s="15"/>
    </row>
    <row r="50" ht="15.75" customHeight="1">
      <c r="D50" s="15"/>
      <c r="P50" s="15"/>
      <c r="S50" s="15"/>
      <c r="V50" s="15"/>
      <c r="X50" s="15"/>
    </row>
    <row r="51" ht="15.75" customHeight="1">
      <c r="D51" s="15"/>
      <c r="P51" s="15"/>
      <c r="S51" s="15"/>
      <c r="V51" s="15"/>
      <c r="X51" s="15"/>
    </row>
    <row r="52" ht="15.75" customHeight="1">
      <c r="D52" s="15"/>
      <c r="P52" s="15"/>
      <c r="S52" s="15"/>
      <c r="V52" s="15"/>
      <c r="X52" s="15"/>
    </row>
    <row r="53" ht="15.75" customHeight="1">
      <c r="D53" s="15"/>
      <c r="P53" s="15"/>
      <c r="S53" s="15"/>
      <c r="V53" s="15"/>
      <c r="X53" s="15"/>
    </row>
    <row r="54" ht="15.75" customHeight="1">
      <c r="D54" s="15"/>
      <c r="P54" s="15"/>
      <c r="S54" s="15"/>
      <c r="V54" s="15"/>
      <c r="X54" s="15"/>
    </row>
    <row r="55" ht="15.75" customHeight="1">
      <c r="D55" s="15"/>
      <c r="P55" s="15"/>
      <c r="S55" s="15"/>
      <c r="V55" s="15"/>
      <c r="X55" s="15"/>
    </row>
    <row r="56" ht="15.75" customHeight="1">
      <c r="D56" s="15"/>
      <c r="P56" s="15"/>
      <c r="S56" s="15"/>
      <c r="V56" s="15"/>
      <c r="X56" s="15"/>
    </row>
    <row r="57" ht="15.75" customHeight="1">
      <c r="D57" s="15"/>
      <c r="P57" s="15"/>
      <c r="S57" s="15"/>
      <c r="V57" s="15"/>
      <c r="X57" s="15"/>
    </row>
    <row r="58" ht="15.75" customHeight="1">
      <c r="D58" s="15"/>
      <c r="P58" s="15"/>
      <c r="S58" s="15"/>
      <c r="V58" s="15"/>
      <c r="X58" s="15"/>
    </row>
    <row r="59" ht="15.75" customHeight="1">
      <c r="D59" s="15"/>
      <c r="P59" s="15"/>
      <c r="S59" s="15"/>
      <c r="V59" s="15"/>
      <c r="X59" s="15"/>
    </row>
    <row r="60" ht="15.75" customHeight="1">
      <c r="D60" s="15"/>
      <c r="P60" s="15"/>
      <c r="S60" s="15"/>
      <c r="V60" s="15"/>
      <c r="X60" s="15"/>
    </row>
    <row r="61" ht="15.75" customHeight="1">
      <c r="D61" s="15"/>
      <c r="P61" s="15"/>
      <c r="S61" s="15"/>
      <c r="V61" s="15"/>
      <c r="X61" s="15"/>
    </row>
    <row r="62" ht="15.75" customHeight="1">
      <c r="D62" s="15"/>
      <c r="P62" s="15"/>
      <c r="S62" s="15"/>
      <c r="V62" s="15"/>
      <c r="X62" s="15"/>
    </row>
    <row r="63" ht="15.75" customHeight="1">
      <c r="D63" s="15"/>
      <c r="P63" s="15"/>
      <c r="S63" s="15"/>
      <c r="V63" s="15"/>
      <c r="X63" s="15"/>
    </row>
    <row r="64" ht="15.75" customHeight="1">
      <c r="D64" s="15"/>
      <c r="P64" s="15"/>
      <c r="S64" s="15"/>
      <c r="V64" s="15"/>
      <c r="X64" s="15"/>
    </row>
    <row r="65" ht="15.75" customHeight="1">
      <c r="D65" s="15"/>
      <c r="P65" s="15"/>
      <c r="S65" s="15"/>
      <c r="V65" s="15"/>
      <c r="X65" s="15"/>
    </row>
    <row r="66" ht="15.75" customHeight="1">
      <c r="D66" s="15"/>
      <c r="P66" s="15"/>
      <c r="S66" s="15"/>
      <c r="V66" s="15"/>
      <c r="X66" s="15"/>
    </row>
    <row r="67" ht="15.75" customHeight="1">
      <c r="D67" s="15"/>
      <c r="P67" s="15"/>
      <c r="S67" s="15"/>
      <c r="V67" s="15"/>
      <c r="X67" s="15"/>
    </row>
    <row r="68" ht="15.75" customHeight="1">
      <c r="D68" s="15"/>
      <c r="P68" s="15"/>
      <c r="S68" s="15"/>
      <c r="V68" s="15"/>
      <c r="X68" s="15"/>
    </row>
    <row r="69" ht="15.75" customHeight="1">
      <c r="D69" s="15"/>
      <c r="P69" s="15"/>
      <c r="S69" s="15"/>
      <c r="V69" s="15"/>
      <c r="X69" s="15"/>
    </row>
    <row r="70" ht="15.75" customHeight="1">
      <c r="D70" s="15"/>
      <c r="P70" s="15"/>
      <c r="S70" s="15"/>
      <c r="V70" s="15"/>
      <c r="X70" s="15"/>
    </row>
    <row r="71" ht="15.75" customHeight="1">
      <c r="D71" s="15"/>
      <c r="P71" s="15"/>
      <c r="S71" s="15"/>
      <c r="V71" s="15"/>
      <c r="X71" s="15"/>
    </row>
    <row r="72" ht="15.75" customHeight="1">
      <c r="D72" s="15"/>
      <c r="P72" s="15"/>
      <c r="S72" s="15"/>
      <c r="V72" s="15"/>
      <c r="X72" s="15"/>
    </row>
    <row r="73" ht="15.75" customHeight="1">
      <c r="D73" s="15"/>
      <c r="P73" s="15"/>
      <c r="S73" s="15"/>
      <c r="V73" s="15"/>
      <c r="X73" s="15"/>
    </row>
    <row r="74" ht="15.75" customHeight="1">
      <c r="D74" s="15"/>
      <c r="P74" s="15"/>
      <c r="S74" s="15"/>
      <c r="V74" s="15"/>
      <c r="X74" s="15"/>
    </row>
    <row r="75" ht="15.75" customHeight="1">
      <c r="D75" s="15"/>
      <c r="P75" s="15"/>
      <c r="S75" s="15"/>
      <c r="V75" s="15"/>
      <c r="X75" s="15"/>
    </row>
    <row r="76" ht="15.75" customHeight="1">
      <c r="D76" s="15"/>
      <c r="P76" s="15"/>
      <c r="S76" s="15"/>
      <c r="V76" s="15"/>
      <c r="X76" s="15"/>
    </row>
    <row r="77" ht="15.75" customHeight="1">
      <c r="D77" s="15"/>
      <c r="P77" s="15"/>
      <c r="S77" s="15"/>
      <c r="V77" s="15"/>
      <c r="X77" s="15"/>
    </row>
    <row r="78" ht="15.75" customHeight="1">
      <c r="D78" s="15"/>
      <c r="P78" s="15"/>
      <c r="S78" s="15"/>
      <c r="V78" s="15"/>
      <c r="X78" s="15"/>
    </row>
    <row r="79" ht="15.75" customHeight="1">
      <c r="D79" s="15"/>
      <c r="P79" s="15"/>
      <c r="S79" s="15"/>
      <c r="V79" s="15"/>
      <c r="X79" s="15"/>
    </row>
    <row r="80" ht="15.75" customHeight="1">
      <c r="D80" s="15"/>
      <c r="P80" s="15"/>
      <c r="S80" s="15"/>
      <c r="V80" s="15"/>
      <c r="X80" s="15"/>
    </row>
    <row r="81" ht="15.75" customHeight="1">
      <c r="D81" s="15"/>
      <c r="P81" s="15"/>
      <c r="S81" s="15"/>
      <c r="V81" s="15"/>
      <c r="X81" s="15"/>
    </row>
    <row r="82" ht="15.75" customHeight="1">
      <c r="D82" s="15"/>
      <c r="P82" s="15"/>
      <c r="S82" s="15"/>
      <c r="V82" s="15"/>
      <c r="X82" s="15"/>
    </row>
    <row r="83" ht="15.75" customHeight="1">
      <c r="D83" s="15"/>
      <c r="P83" s="15"/>
      <c r="S83" s="15"/>
      <c r="V83" s="15"/>
      <c r="X83" s="15"/>
    </row>
    <row r="84" ht="15.75" customHeight="1">
      <c r="D84" s="15"/>
      <c r="P84" s="15"/>
      <c r="S84" s="15"/>
      <c r="V84" s="15"/>
      <c r="X84" s="15"/>
    </row>
    <row r="85" ht="15.75" customHeight="1">
      <c r="D85" s="15"/>
      <c r="P85" s="15"/>
      <c r="S85" s="15"/>
      <c r="V85" s="15"/>
      <c r="X85" s="15"/>
    </row>
    <row r="86" ht="15.75" customHeight="1">
      <c r="D86" s="15"/>
      <c r="P86" s="15"/>
      <c r="S86" s="15"/>
      <c r="V86" s="15"/>
      <c r="X86" s="15"/>
    </row>
    <row r="87" ht="15.75" customHeight="1">
      <c r="D87" s="15"/>
      <c r="P87" s="15"/>
      <c r="S87" s="15"/>
      <c r="V87" s="15"/>
      <c r="X87" s="15"/>
    </row>
    <row r="88" ht="15.75" customHeight="1">
      <c r="D88" s="15"/>
      <c r="P88" s="15"/>
      <c r="S88" s="15"/>
      <c r="V88" s="15"/>
      <c r="X88" s="15"/>
    </row>
    <row r="89" ht="15.75" customHeight="1">
      <c r="D89" s="15"/>
      <c r="P89" s="15"/>
      <c r="S89" s="15"/>
      <c r="V89" s="15"/>
      <c r="X89" s="15"/>
    </row>
    <row r="90" ht="15.75" customHeight="1">
      <c r="D90" s="15"/>
      <c r="P90" s="15"/>
      <c r="S90" s="15"/>
      <c r="V90" s="15"/>
      <c r="X90" s="15"/>
    </row>
    <row r="91" ht="15.75" customHeight="1">
      <c r="D91" s="15"/>
      <c r="P91" s="15"/>
      <c r="S91" s="15"/>
      <c r="V91" s="15"/>
      <c r="X91" s="15"/>
    </row>
    <row r="92" ht="15.75" customHeight="1">
      <c r="D92" s="15"/>
      <c r="P92" s="15"/>
      <c r="S92" s="15"/>
      <c r="V92" s="15"/>
      <c r="X92" s="15"/>
    </row>
    <row r="93" ht="15.75" customHeight="1">
      <c r="D93" s="15"/>
      <c r="P93" s="15"/>
      <c r="S93" s="15"/>
      <c r="V93" s="15"/>
      <c r="X93" s="15"/>
    </row>
    <row r="94" ht="15.75" customHeight="1">
      <c r="D94" s="15"/>
      <c r="P94" s="15"/>
      <c r="S94" s="15"/>
      <c r="V94" s="15"/>
      <c r="X94" s="15"/>
    </row>
    <row r="95" ht="15.75" customHeight="1">
      <c r="D95" s="15"/>
      <c r="P95" s="15"/>
      <c r="S95" s="15"/>
      <c r="V95" s="15"/>
      <c r="X95" s="15"/>
    </row>
    <row r="96" ht="15.75" customHeight="1">
      <c r="D96" s="15"/>
      <c r="P96" s="15"/>
      <c r="S96" s="15"/>
      <c r="V96" s="15"/>
      <c r="X96" s="15"/>
    </row>
    <row r="97" ht="15.75" customHeight="1">
      <c r="D97" s="15"/>
      <c r="P97" s="15"/>
      <c r="S97" s="15"/>
      <c r="V97" s="15"/>
      <c r="X97" s="15"/>
    </row>
    <row r="98" ht="15.75" customHeight="1">
      <c r="D98" s="15"/>
      <c r="P98" s="15"/>
      <c r="S98" s="15"/>
      <c r="V98" s="15"/>
      <c r="X98" s="15"/>
    </row>
    <row r="99" ht="15.75" customHeight="1">
      <c r="D99" s="15"/>
      <c r="P99" s="15"/>
      <c r="S99" s="15"/>
      <c r="V99" s="15"/>
      <c r="X99" s="15"/>
    </row>
    <row r="100" ht="15.75" customHeight="1">
      <c r="D100" s="15"/>
      <c r="P100" s="15"/>
      <c r="S100" s="15"/>
      <c r="V100" s="15"/>
      <c r="X100" s="15"/>
    </row>
    <row r="101" ht="15.75" customHeight="1">
      <c r="D101" s="15"/>
      <c r="P101" s="15"/>
      <c r="S101" s="15"/>
      <c r="V101" s="15"/>
      <c r="X101" s="15"/>
    </row>
    <row r="102" ht="15.75" customHeight="1">
      <c r="D102" s="15"/>
      <c r="P102" s="15"/>
      <c r="S102" s="15"/>
      <c r="V102" s="15"/>
      <c r="X102" s="15"/>
    </row>
    <row r="103" ht="15.75" customHeight="1">
      <c r="D103" s="15"/>
      <c r="P103" s="15"/>
      <c r="S103" s="15"/>
      <c r="V103" s="15"/>
      <c r="X103" s="15"/>
    </row>
    <row r="104" ht="15.75" customHeight="1">
      <c r="D104" s="15"/>
      <c r="P104" s="15"/>
      <c r="S104" s="15"/>
      <c r="V104" s="15"/>
      <c r="X104" s="15"/>
    </row>
    <row r="105" ht="15.75" customHeight="1">
      <c r="D105" s="15"/>
      <c r="P105" s="15"/>
      <c r="S105" s="15"/>
      <c r="V105" s="15"/>
      <c r="X105" s="15"/>
    </row>
    <row r="106" ht="15.75" customHeight="1">
      <c r="D106" s="15"/>
      <c r="P106" s="15"/>
      <c r="S106" s="15"/>
      <c r="V106" s="15"/>
      <c r="X106" s="15"/>
    </row>
    <row r="107" ht="15.75" customHeight="1">
      <c r="D107" s="15"/>
      <c r="P107" s="15"/>
      <c r="S107" s="15"/>
      <c r="V107" s="15"/>
      <c r="X107" s="15"/>
    </row>
    <row r="108" ht="15.75" customHeight="1">
      <c r="D108" s="15"/>
      <c r="P108" s="15"/>
      <c r="S108" s="15"/>
      <c r="V108" s="15"/>
      <c r="X108" s="15"/>
    </row>
    <row r="109" ht="15.75" customHeight="1">
      <c r="D109" s="15"/>
      <c r="P109" s="15"/>
      <c r="S109" s="15"/>
      <c r="V109" s="15"/>
      <c r="X109" s="15"/>
    </row>
    <row r="110" ht="15.75" customHeight="1">
      <c r="D110" s="15"/>
      <c r="P110" s="15"/>
      <c r="S110" s="15"/>
      <c r="V110" s="15"/>
      <c r="X110" s="15"/>
    </row>
    <row r="111" ht="15.75" customHeight="1">
      <c r="D111" s="15"/>
      <c r="P111" s="15"/>
      <c r="S111" s="15"/>
      <c r="V111" s="15"/>
      <c r="X111" s="15"/>
    </row>
    <row r="112" ht="15.75" customHeight="1">
      <c r="D112" s="15"/>
      <c r="P112" s="15"/>
      <c r="S112" s="15"/>
      <c r="V112" s="15"/>
      <c r="X112" s="15"/>
    </row>
    <row r="113" ht="15.75" customHeight="1">
      <c r="D113" s="15"/>
      <c r="P113" s="15"/>
      <c r="S113" s="15"/>
      <c r="V113" s="15"/>
      <c r="X113" s="15"/>
    </row>
    <row r="114" ht="15.75" customHeight="1">
      <c r="D114" s="15"/>
      <c r="P114" s="15"/>
      <c r="S114" s="15"/>
      <c r="V114" s="15"/>
      <c r="X114" s="15"/>
    </row>
    <row r="115" ht="15.75" customHeight="1">
      <c r="D115" s="15"/>
      <c r="P115" s="15"/>
      <c r="S115" s="15"/>
      <c r="V115" s="15"/>
      <c r="X115" s="15"/>
    </row>
    <row r="116" ht="15.75" customHeight="1">
      <c r="D116" s="15"/>
      <c r="P116" s="15"/>
      <c r="S116" s="15"/>
      <c r="V116" s="15"/>
      <c r="X116" s="15"/>
    </row>
    <row r="117" ht="15.75" customHeight="1">
      <c r="D117" s="15"/>
      <c r="P117" s="15"/>
      <c r="S117" s="15"/>
      <c r="V117" s="15"/>
      <c r="X117" s="15"/>
    </row>
    <row r="118" ht="15.75" customHeight="1">
      <c r="D118" s="15"/>
      <c r="P118" s="15"/>
      <c r="S118" s="15"/>
      <c r="V118" s="15"/>
      <c r="X118" s="15"/>
    </row>
    <row r="119" ht="15.75" customHeight="1">
      <c r="D119" s="15"/>
      <c r="P119" s="15"/>
      <c r="S119" s="15"/>
      <c r="V119" s="15"/>
      <c r="X119" s="15"/>
    </row>
    <row r="120" ht="15.75" customHeight="1">
      <c r="D120" s="15"/>
      <c r="P120" s="15"/>
      <c r="S120" s="15"/>
      <c r="V120" s="15"/>
      <c r="X120" s="15"/>
    </row>
    <row r="121" ht="15.75" customHeight="1">
      <c r="D121" s="15"/>
      <c r="P121" s="15"/>
      <c r="S121" s="15"/>
      <c r="V121" s="15"/>
      <c r="X121" s="15"/>
    </row>
    <row r="122" ht="15.75" customHeight="1">
      <c r="D122" s="15"/>
      <c r="P122" s="15"/>
      <c r="S122" s="15"/>
      <c r="V122" s="15"/>
      <c r="X122" s="15"/>
    </row>
    <row r="123" ht="15.75" customHeight="1">
      <c r="D123" s="15"/>
      <c r="P123" s="15"/>
      <c r="S123" s="15"/>
      <c r="V123" s="15"/>
      <c r="X123" s="15"/>
    </row>
    <row r="124" ht="15.75" customHeight="1">
      <c r="D124" s="15"/>
      <c r="P124" s="15"/>
      <c r="S124" s="15"/>
      <c r="V124" s="15"/>
      <c r="X124" s="15"/>
    </row>
    <row r="125" ht="15.75" customHeight="1">
      <c r="D125" s="15"/>
      <c r="P125" s="15"/>
      <c r="S125" s="15"/>
      <c r="V125" s="15"/>
      <c r="X125" s="15"/>
    </row>
    <row r="126" ht="15.75" customHeight="1">
      <c r="D126" s="15"/>
      <c r="P126" s="15"/>
      <c r="S126" s="15"/>
      <c r="V126" s="15"/>
      <c r="X126" s="15"/>
    </row>
    <row r="127" ht="15.75" customHeight="1">
      <c r="D127" s="15"/>
      <c r="P127" s="15"/>
      <c r="S127" s="15"/>
      <c r="V127" s="15"/>
      <c r="X127" s="15"/>
    </row>
    <row r="128" ht="15.75" customHeight="1">
      <c r="D128" s="15"/>
      <c r="P128" s="15"/>
      <c r="S128" s="15"/>
      <c r="V128" s="15"/>
      <c r="X128" s="15"/>
    </row>
    <row r="129" ht="15.75" customHeight="1">
      <c r="D129" s="15"/>
      <c r="P129" s="15"/>
      <c r="S129" s="15"/>
      <c r="V129" s="15"/>
      <c r="X129" s="15"/>
    </row>
    <row r="130" ht="15.75" customHeight="1">
      <c r="D130" s="15"/>
      <c r="P130" s="15"/>
      <c r="S130" s="15"/>
      <c r="V130" s="15"/>
      <c r="X130" s="15"/>
    </row>
    <row r="131" ht="15.75" customHeight="1">
      <c r="D131" s="15"/>
      <c r="P131" s="15"/>
      <c r="S131" s="15"/>
      <c r="V131" s="15"/>
      <c r="X131" s="15"/>
    </row>
    <row r="132" ht="15.75" customHeight="1">
      <c r="D132" s="15"/>
      <c r="P132" s="15"/>
      <c r="S132" s="15"/>
      <c r="V132" s="15"/>
      <c r="X132" s="15"/>
    </row>
    <row r="133" ht="15.75" customHeight="1">
      <c r="D133" s="15"/>
      <c r="P133" s="15"/>
      <c r="S133" s="15"/>
      <c r="V133" s="15"/>
      <c r="X133" s="15"/>
    </row>
    <row r="134" ht="15.75" customHeight="1">
      <c r="D134" s="15"/>
      <c r="P134" s="15"/>
      <c r="S134" s="15"/>
      <c r="V134" s="15"/>
      <c r="X134" s="15"/>
    </row>
    <row r="135" ht="15.75" customHeight="1">
      <c r="D135" s="15"/>
      <c r="P135" s="15"/>
      <c r="S135" s="15"/>
      <c r="V135" s="15"/>
      <c r="X135" s="15"/>
    </row>
    <row r="136" ht="15.75" customHeight="1">
      <c r="D136" s="15"/>
      <c r="P136" s="15"/>
      <c r="S136" s="15"/>
      <c r="V136" s="15"/>
      <c r="X136" s="15"/>
    </row>
    <row r="137" ht="15.75" customHeight="1">
      <c r="D137" s="15"/>
      <c r="P137" s="15"/>
      <c r="S137" s="15"/>
      <c r="V137" s="15"/>
      <c r="X137" s="15"/>
    </row>
    <row r="138" ht="15.75" customHeight="1">
      <c r="D138" s="15"/>
      <c r="P138" s="15"/>
      <c r="S138" s="15"/>
      <c r="V138" s="15"/>
      <c r="X138" s="15"/>
    </row>
    <row r="139" ht="15.75" customHeight="1">
      <c r="D139" s="15"/>
      <c r="P139" s="15"/>
      <c r="S139" s="15"/>
      <c r="V139" s="15"/>
      <c r="X139" s="15"/>
    </row>
    <row r="140" ht="15.75" customHeight="1">
      <c r="D140" s="15"/>
      <c r="P140" s="15"/>
      <c r="S140" s="15"/>
      <c r="V140" s="15"/>
      <c r="X140" s="15"/>
    </row>
    <row r="141" ht="15.75" customHeight="1">
      <c r="D141" s="15"/>
      <c r="P141" s="15"/>
      <c r="S141" s="15"/>
      <c r="V141" s="15"/>
      <c r="X141" s="15"/>
    </row>
    <row r="142" ht="15.75" customHeight="1">
      <c r="D142" s="15"/>
      <c r="P142" s="15"/>
      <c r="S142" s="15"/>
      <c r="V142" s="15"/>
      <c r="X142" s="15"/>
    </row>
    <row r="143" ht="15.75" customHeight="1">
      <c r="D143" s="15"/>
      <c r="P143" s="15"/>
      <c r="S143" s="15"/>
      <c r="V143" s="15"/>
      <c r="X143" s="15"/>
    </row>
    <row r="144" ht="15.75" customHeight="1">
      <c r="D144" s="15"/>
      <c r="P144" s="15"/>
      <c r="S144" s="15"/>
      <c r="V144" s="15"/>
      <c r="X144" s="15"/>
    </row>
    <row r="145" ht="15.75" customHeight="1">
      <c r="D145" s="15"/>
      <c r="P145" s="15"/>
      <c r="S145" s="15"/>
      <c r="V145" s="15"/>
      <c r="X145" s="15"/>
    </row>
    <row r="146" ht="15.75" customHeight="1">
      <c r="D146" s="15"/>
      <c r="P146" s="15"/>
      <c r="S146" s="15"/>
      <c r="V146" s="15"/>
      <c r="X146" s="15"/>
    </row>
    <row r="147" ht="15.75" customHeight="1">
      <c r="D147" s="15"/>
      <c r="P147" s="15"/>
      <c r="S147" s="15"/>
      <c r="V147" s="15"/>
      <c r="X147" s="15"/>
    </row>
    <row r="148" ht="15.75" customHeight="1">
      <c r="D148" s="15"/>
      <c r="P148" s="15"/>
      <c r="S148" s="15"/>
      <c r="V148" s="15"/>
      <c r="X148" s="15"/>
    </row>
    <row r="149" ht="15.75" customHeight="1">
      <c r="D149" s="15"/>
      <c r="P149" s="15"/>
      <c r="S149" s="15"/>
      <c r="V149" s="15"/>
      <c r="X149" s="15"/>
    </row>
    <row r="150" ht="15.75" customHeight="1">
      <c r="D150" s="15"/>
      <c r="P150" s="15"/>
      <c r="S150" s="15"/>
      <c r="V150" s="15"/>
      <c r="X150" s="15"/>
    </row>
    <row r="151" ht="15.75" customHeight="1">
      <c r="D151" s="15"/>
      <c r="P151" s="15"/>
      <c r="S151" s="15"/>
      <c r="V151" s="15"/>
      <c r="X151" s="15"/>
    </row>
    <row r="152" ht="15.75" customHeight="1">
      <c r="D152" s="15"/>
      <c r="P152" s="15"/>
      <c r="S152" s="15"/>
      <c r="V152" s="15"/>
      <c r="X152" s="15"/>
    </row>
    <row r="153" ht="15.75" customHeight="1">
      <c r="D153" s="15"/>
      <c r="P153" s="15"/>
      <c r="S153" s="15"/>
      <c r="V153" s="15"/>
      <c r="X153" s="15"/>
    </row>
    <row r="154" ht="15.75" customHeight="1">
      <c r="D154" s="15"/>
      <c r="P154" s="15"/>
      <c r="S154" s="15"/>
      <c r="V154" s="15"/>
      <c r="X154" s="15"/>
    </row>
    <row r="155" ht="15.75" customHeight="1">
      <c r="D155" s="15"/>
      <c r="P155" s="15"/>
      <c r="S155" s="15"/>
      <c r="V155" s="15"/>
      <c r="X155" s="15"/>
    </row>
    <row r="156" ht="15.75" customHeight="1">
      <c r="D156" s="15"/>
      <c r="P156" s="15"/>
      <c r="S156" s="15"/>
      <c r="V156" s="15"/>
      <c r="X156" s="15"/>
    </row>
    <row r="157" ht="15.75" customHeight="1">
      <c r="D157" s="15"/>
      <c r="P157" s="15"/>
      <c r="S157" s="15"/>
      <c r="V157" s="15"/>
      <c r="X157" s="15"/>
    </row>
    <row r="158" ht="15.75" customHeight="1">
      <c r="D158" s="15"/>
      <c r="P158" s="15"/>
      <c r="S158" s="15"/>
      <c r="V158" s="15"/>
      <c r="X158" s="15"/>
    </row>
    <row r="159" ht="15.75" customHeight="1">
      <c r="D159" s="15"/>
      <c r="P159" s="15"/>
      <c r="S159" s="15"/>
      <c r="V159" s="15"/>
      <c r="X159" s="15"/>
    </row>
    <row r="160" ht="15.75" customHeight="1">
      <c r="D160" s="15"/>
      <c r="P160" s="15"/>
      <c r="S160" s="15"/>
      <c r="V160" s="15"/>
      <c r="X160" s="15"/>
    </row>
    <row r="161" ht="15.75" customHeight="1">
      <c r="D161" s="15"/>
      <c r="P161" s="15"/>
      <c r="S161" s="15"/>
      <c r="V161" s="15"/>
      <c r="X161" s="15"/>
    </row>
    <row r="162" ht="15.75" customHeight="1">
      <c r="D162" s="15"/>
      <c r="P162" s="15"/>
      <c r="S162" s="15"/>
      <c r="V162" s="15"/>
      <c r="X162" s="15"/>
    </row>
    <row r="163" ht="15.75" customHeight="1">
      <c r="D163" s="15"/>
      <c r="P163" s="15"/>
      <c r="S163" s="15"/>
      <c r="V163" s="15"/>
      <c r="X163" s="15"/>
    </row>
    <row r="164" ht="15.75" customHeight="1">
      <c r="D164" s="15"/>
      <c r="P164" s="15"/>
      <c r="S164" s="15"/>
      <c r="V164" s="15"/>
      <c r="X164" s="15"/>
    </row>
    <row r="165" ht="15.75" customHeight="1">
      <c r="D165" s="15"/>
      <c r="P165" s="15"/>
      <c r="S165" s="15"/>
      <c r="V165" s="15"/>
      <c r="X165" s="15"/>
    </row>
    <row r="166" ht="15.75" customHeight="1">
      <c r="D166" s="15"/>
      <c r="P166" s="15"/>
      <c r="S166" s="15"/>
      <c r="V166" s="15"/>
      <c r="X166" s="15"/>
    </row>
    <row r="167" ht="15.75" customHeight="1">
      <c r="D167" s="15"/>
      <c r="P167" s="15"/>
      <c r="S167" s="15"/>
      <c r="V167" s="15"/>
      <c r="X167" s="15"/>
    </row>
    <row r="168" ht="15.75" customHeight="1">
      <c r="D168" s="15"/>
      <c r="P168" s="15"/>
      <c r="S168" s="15"/>
      <c r="V168" s="15"/>
      <c r="X168" s="15"/>
    </row>
    <row r="169" ht="15.75" customHeight="1">
      <c r="D169" s="15"/>
      <c r="P169" s="15"/>
      <c r="S169" s="15"/>
      <c r="V169" s="15"/>
      <c r="X169" s="15"/>
    </row>
    <row r="170" ht="15.75" customHeight="1">
      <c r="D170" s="15"/>
      <c r="P170" s="15"/>
      <c r="S170" s="15"/>
      <c r="V170" s="15"/>
      <c r="X170" s="15"/>
    </row>
    <row r="171" ht="15.75" customHeight="1">
      <c r="D171" s="15"/>
      <c r="P171" s="15"/>
      <c r="S171" s="15"/>
      <c r="V171" s="15"/>
      <c r="X171" s="15"/>
    </row>
    <row r="172" ht="15.75" customHeight="1">
      <c r="D172" s="15"/>
      <c r="P172" s="15"/>
      <c r="S172" s="15"/>
      <c r="V172" s="15"/>
      <c r="X172" s="15"/>
    </row>
    <row r="173" ht="15.75" customHeight="1">
      <c r="D173" s="15"/>
      <c r="P173" s="15"/>
      <c r="S173" s="15"/>
      <c r="V173" s="15"/>
      <c r="X173" s="15"/>
    </row>
    <row r="174" ht="15.75" customHeight="1">
      <c r="D174" s="15"/>
      <c r="P174" s="15"/>
      <c r="S174" s="15"/>
      <c r="V174" s="15"/>
      <c r="X174" s="15"/>
    </row>
    <row r="175" ht="15.75" customHeight="1">
      <c r="D175" s="15"/>
      <c r="P175" s="15"/>
      <c r="S175" s="15"/>
      <c r="V175" s="15"/>
      <c r="X175" s="15"/>
    </row>
    <row r="176" ht="15.75" customHeight="1">
      <c r="D176" s="15"/>
      <c r="P176" s="15"/>
      <c r="S176" s="15"/>
      <c r="V176" s="15"/>
      <c r="X176" s="15"/>
    </row>
    <row r="177" ht="15.75" customHeight="1">
      <c r="D177" s="15"/>
      <c r="P177" s="15"/>
      <c r="S177" s="15"/>
      <c r="V177" s="15"/>
      <c r="X177" s="15"/>
    </row>
    <row r="178" ht="15.75" customHeight="1">
      <c r="D178" s="15"/>
      <c r="P178" s="15"/>
      <c r="S178" s="15"/>
      <c r="V178" s="15"/>
      <c r="X178" s="15"/>
    </row>
    <row r="179" ht="15.75" customHeight="1">
      <c r="D179" s="15"/>
      <c r="P179" s="15"/>
      <c r="S179" s="15"/>
      <c r="V179" s="15"/>
      <c r="X179" s="15"/>
    </row>
    <row r="180" ht="15.75" customHeight="1">
      <c r="D180" s="15"/>
      <c r="P180" s="15"/>
      <c r="S180" s="15"/>
      <c r="V180" s="15"/>
      <c r="X180" s="15"/>
    </row>
    <row r="181" ht="15.75" customHeight="1">
      <c r="D181" s="15"/>
      <c r="P181" s="15"/>
      <c r="S181" s="15"/>
      <c r="V181" s="15"/>
      <c r="X181" s="15"/>
    </row>
    <row r="182" ht="15.75" customHeight="1">
      <c r="D182" s="15"/>
      <c r="P182" s="15"/>
      <c r="S182" s="15"/>
      <c r="V182" s="15"/>
      <c r="X182" s="15"/>
    </row>
    <row r="183" ht="15.75" customHeight="1">
      <c r="D183" s="15"/>
      <c r="P183" s="15"/>
      <c r="S183" s="15"/>
      <c r="V183" s="15"/>
      <c r="X183" s="15"/>
    </row>
    <row r="184" ht="15.75" customHeight="1">
      <c r="D184" s="15"/>
      <c r="P184" s="15"/>
      <c r="S184" s="15"/>
      <c r="V184" s="15"/>
      <c r="X184" s="15"/>
    </row>
    <row r="185" ht="15.75" customHeight="1">
      <c r="D185" s="15"/>
      <c r="P185" s="15"/>
      <c r="S185" s="15"/>
      <c r="V185" s="15"/>
      <c r="X185" s="15"/>
    </row>
    <row r="186" ht="15.75" customHeight="1">
      <c r="D186" s="15"/>
      <c r="P186" s="15"/>
      <c r="S186" s="15"/>
      <c r="V186" s="15"/>
      <c r="X186" s="15"/>
    </row>
    <row r="187" ht="15.75" customHeight="1">
      <c r="D187" s="15"/>
      <c r="P187" s="15"/>
      <c r="S187" s="15"/>
      <c r="V187" s="15"/>
      <c r="X187" s="15"/>
    </row>
    <row r="188" ht="15.75" customHeight="1">
      <c r="D188" s="15"/>
      <c r="P188" s="15"/>
      <c r="S188" s="15"/>
      <c r="V188" s="15"/>
      <c r="X188" s="15"/>
    </row>
    <row r="189" ht="15.75" customHeight="1">
      <c r="D189" s="15"/>
      <c r="P189" s="15"/>
      <c r="S189" s="15"/>
      <c r="V189" s="15"/>
      <c r="X189" s="15"/>
    </row>
    <row r="190" ht="15.75" customHeight="1">
      <c r="D190" s="15"/>
      <c r="P190" s="15"/>
      <c r="S190" s="15"/>
      <c r="V190" s="15"/>
      <c r="X190" s="15"/>
    </row>
    <row r="191" ht="15.75" customHeight="1">
      <c r="D191" s="15"/>
      <c r="P191" s="15"/>
      <c r="S191" s="15"/>
      <c r="V191" s="15"/>
      <c r="X191" s="15"/>
    </row>
    <row r="192" ht="15.75" customHeight="1">
      <c r="D192" s="15"/>
      <c r="P192" s="15"/>
      <c r="S192" s="15"/>
      <c r="V192" s="15"/>
      <c r="X192" s="15"/>
    </row>
    <row r="193" ht="15.75" customHeight="1">
      <c r="D193" s="15"/>
      <c r="P193" s="15"/>
      <c r="S193" s="15"/>
      <c r="V193" s="15"/>
      <c r="X193" s="15"/>
    </row>
    <row r="194" ht="15.75" customHeight="1">
      <c r="D194" s="15"/>
      <c r="P194" s="15"/>
      <c r="S194" s="15"/>
      <c r="V194" s="15"/>
      <c r="X194" s="15"/>
    </row>
    <row r="195" ht="15.75" customHeight="1">
      <c r="D195" s="15"/>
      <c r="P195" s="15"/>
      <c r="S195" s="15"/>
      <c r="V195" s="15"/>
      <c r="X195" s="15"/>
    </row>
    <row r="196" ht="15.75" customHeight="1">
      <c r="D196" s="15"/>
      <c r="P196" s="15"/>
      <c r="S196" s="15"/>
      <c r="V196" s="15"/>
      <c r="X196" s="15"/>
    </row>
    <row r="197" ht="15.75" customHeight="1">
      <c r="D197" s="15"/>
      <c r="P197" s="15"/>
      <c r="S197" s="15"/>
      <c r="V197" s="15"/>
      <c r="X197" s="15"/>
    </row>
    <row r="198" ht="15.75" customHeight="1">
      <c r="D198" s="15"/>
      <c r="P198" s="15"/>
      <c r="S198" s="15"/>
      <c r="V198" s="15"/>
      <c r="X198" s="15"/>
    </row>
    <row r="199" ht="15.75" customHeight="1">
      <c r="D199" s="15"/>
      <c r="P199" s="15"/>
      <c r="S199" s="15"/>
      <c r="V199" s="15"/>
      <c r="X199" s="15"/>
    </row>
    <row r="200" ht="15.75" customHeight="1">
      <c r="D200" s="15"/>
      <c r="P200" s="15"/>
      <c r="S200" s="15"/>
      <c r="V200" s="15"/>
      <c r="X200" s="15"/>
    </row>
    <row r="201" ht="15.75" customHeight="1">
      <c r="D201" s="15"/>
      <c r="P201" s="15"/>
      <c r="S201" s="15"/>
      <c r="V201" s="15"/>
      <c r="X201" s="15"/>
    </row>
    <row r="202" ht="15.75" customHeight="1">
      <c r="D202" s="15"/>
      <c r="P202" s="15"/>
      <c r="S202" s="15"/>
      <c r="V202" s="15"/>
      <c r="X202" s="15"/>
    </row>
    <row r="203" ht="15.75" customHeight="1">
      <c r="D203" s="15"/>
      <c r="P203" s="15"/>
      <c r="S203" s="15"/>
      <c r="V203" s="15"/>
      <c r="X203" s="15"/>
    </row>
    <row r="204" ht="15.75" customHeight="1">
      <c r="D204" s="15"/>
      <c r="P204" s="15"/>
      <c r="S204" s="15"/>
      <c r="V204" s="15"/>
      <c r="X204" s="15"/>
    </row>
    <row r="205" ht="15.75" customHeight="1">
      <c r="D205" s="15"/>
      <c r="P205" s="15"/>
      <c r="S205" s="15"/>
      <c r="V205" s="15"/>
      <c r="X205" s="15"/>
    </row>
    <row r="206" ht="15.75" customHeight="1">
      <c r="D206" s="15"/>
      <c r="P206" s="15"/>
      <c r="S206" s="15"/>
      <c r="V206" s="15"/>
      <c r="X206" s="15"/>
    </row>
    <row r="207" ht="15.75" customHeight="1">
      <c r="D207" s="15"/>
      <c r="P207" s="15"/>
      <c r="S207" s="15"/>
      <c r="V207" s="15"/>
      <c r="X207" s="15"/>
    </row>
    <row r="208" ht="15.75" customHeight="1">
      <c r="D208" s="15"/>
      <c r="P208" s="15"/>
      <c r="S208" s="15"/>
      <c r="V208" s="15"/>
      <c r="X208" s="15"/>
    </row>
    <row r="209" ht="15.75" customHeight="1">
      <c r="D209" s="15"/>
      <c r="P209" s="15"/>
      <c r="S209" s="15"/>
      <c r="V209" s="15"/>
      <c r="X209" s="15"/>
    </row>
    <row r="210" ht="15.75" customHeight="1">
      <c r="D210" s="15"/>
      <c r="P210" s="15"/>
      <c r="S210" s="15"/>
      <c r="V210" s="15"/>
      <c r="X210" s="15"/>
    </row>
    <row r="211" ht="15.75" customHeight="1">
      <c r="D211" s="15"/>
      <c r="P211" s="15"/>
      <c r="S211" s="15"/>
      <c r="V211" s="15"/>
      <c r="X211" s="15"/>
    </row>
    <row r="212" ht="15.75" customHeight="1">
      <c r="D212" s="15"/>
      <c r="P212" s="15"/>
      <c r="S212" s="15"/>
      <c r="V212" s="15"/>
      <c r="X212" s="15"/>
    </row>
    <row r="213" ht="15.75" customHeight="1">
      <c r="D213" s="15"/>
      <c r="P213" s="15"/>
      <c r="S213" s="15"/>
      <c r="V213" s="15"/>
      <c r="X213" s="15"/>
    </row>
    <row r="214" ht="15.75" customHeight="1">
      <c r="D214" s="15"/>
      <c r="P214" s="15"/>
      <c r="S214" s="15"/>
      <c r="V214" s="15"/>
      <c r="X214" s="15"/>
    </row>
    <row r="215" ht="15.75" customHeight="1">
      <c r="D215" s="15"/>
      <c r="P215" s="15"/>
      <c r="S215" s="15"/>
      <c r="V215" s="15"/>
      <c r="X215" s="15"/>
    </row>
    <row r="216" ht="15.75" customHeight="1">
      <c r="D216" s="15"/>
      <c r="P216" s="15"/>
      <c r="S216" s="15"/>
      <c r="V216" s="15"/>
      <c r="X216" s="15"/>
    </row>
    <row r="217" ht="15.75" customHeight="1">
      <c r="D217" s="15"/>
      <c r="P217" s="15"/>
      <c r="S217" s="15"/>
      <c r="V217" s="15"/>
      <c r="X217" s="15"/>
    </row>
    <row r="218" ht="15.75" customHeight="1">
      <c r="D218" s="15"/>
      <c r="P218" s="15"/>
      <c r="S218" s="15"/>
      <c r="V218" s="15"/>
      <c r="X218" s="15"/>
    </row>
    <row r="219" ht="15.75" customHeight="1">
      <c r="D219" s="15"/>
      <c r="P219" s="15"/>
      <c r="S219" s="15"/>
      <c r="V219" s="15"/>
      <c r="X219" s="15"/>
    </row>
    <row r="220" ht="15.75" customHeight="1">
      <c r="D220" s="15"/>
      <c r="P220" s="15"/>
      <c r="S220" s="15"/>
      <c r="V220" s="15"/>
      <c r="X220" s="15"/>
    </row>
    <row r="221" ht="15.75" customHeight="1">
      <c r="D221" s="15"/>
      <c r="P221" s="15"/>
      <c r="S221" s="15"/>
      <c r="V221" s="15"/>
      <c r="X221" s="15"/>
    </row>
    <row r="222" ht="15.75" customHeight="1">
      <c r="D222" s="15"/>
      <c r="P222" s="15"/>
      <c r="S222" s="15"/>
      <c r="V222" s="15"/>
      <c r="X222" s="15"/>
    </row>
    <row r="223" ht="15.75" customHeight="1">
      <c r="D223" s="15"/>
      <c r="P223" s="15"/>
      <c r="S223" s="15"/>
      <c r="V223" s="15"/>
      <c r="X223" s="15"/>
    </row>
    <row r="224" ht="15.75" customHeight="1">
      <c r="D224" s="15"/>
      <c r="P224" s="15"/>
      <c r="S224" s="15"/>
      <c r="V224" s="15"/>
      <c r="X224" s="15"/>
    </row>
    <row r="225" ht="15.75" customHeight="1">
      <c r="D225" s="15"/>
      <c r="P225" s="15"/>
      <c r="S225" s="15"/>
      <c r="V225" s="15"/>
      <c r="X225" s="15"/>
    </row>
    <row r="226" ht="15.75" customHeight="1">
      <c r="D226" s="15"/>
      <c r="P226" s="15"/>
      <c r="S226" s="15"/>
      <c r="V226" s="15"/>
      <c r="X226" s="15"/>
    </row>
    <row r="227" ht="15.75" customHeight="1">
      <c r="D227" s="15"/>
      <c r="P227" s="15"/>
      <c r="S227" s="15"/>
      <c r="V227" s="15"/>
      <c r="X227" s="15"/>
    </row>
    <row r="228" ht="15.75" customHeight="1">
      <c r="D228" s="15"/>
      <c r="P228" s="15"/>
      <c r="S228" s="15"/>
      <c r="V228" s="15"/>
      <c r="X228" s="15"/>
    </row>
    <row r="229" ht="15.75" customHeight="1">
      <c r="D229" s="15"/>
      <c r="P229" s="15"/>
      <c r="S229" s="15"/>
      <c r="V229" s="15"/>
      <c r="X229" s="15"/>
    </row>
    <row r="230" ht="15.75" customHeight="1">
      <c r="D230" s="15"/>
      <c r="P230" s="15"/>
      <c r="S230" s="15"/>
      <c r="V230" s="15"/>
      <c r="X230" s="15"/>
    </row>
    <row r="231" ht="15.75" customHeight="1">
      <c r="D231" s="15"/>
      <c r="P231" s="15"/>
      <c r="S231" s="15"/>
      <c r="V231" s="15"/>
      <c r="X231" s="15"/>
    </row>
    <row r="232" ht="15.75" customHeight="1">
      <c r="D232" s="15"/>
      <c r="P232" s="15"/>
      <c r="S232" s="15"/>
      <c r="V232" s="15"/>
      <c r="X232" s="15"/>
    </row>
    <row r="233" ht="15.75" customHeight="1">
      <c r="D233" s="15"/>
      <c r="P233" s="15"/>
      <c r="S233" s="15"/>
      <c r="V233" s="15"/>
      <c r="X233" s="15"/>
    </row>
    <row r="234" ht="15.75" customHeight="1">
      <c r="D234" s="15"/>
      <c r="P234" s="15"/>
      <c r="S234" s="15"/>
      <c r="V234" s="15"/>
      <c r="X234" s="15"/>
    </row>
    <row r="235" ht="15.75" customHeight="1">
      <c r="D235" s="15"/>
      <c r="P235" s="15"/>
      <c r="S235" s="15"/>
      <c r="V235" s="15"/>
      <c r="X235" s="15"/>
    </row>
    <row r="236" ht="15.75" customHeight="1">
      <c r="D236" s="15"/>
      <c r="P236" s="15"/>
      <c r="S236" s="15"/>
      <c r="V236" s="15"/>
      <c r="X236" s="15"/>
    </row>
    <row r="237" ht="15.75" customHeight="1">
      <c r="D237" s="15"/>
      <c r="P237" s="15"/>
      <c r="S237" s="15"/>
      <c r="V237" s="15"/>
      <c r="X237" s="15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Q7:R8"/>
    <mergeCell ref="T7:U8"/>
    <mergeCell ref="A7:C8"/>
    <mergeCell ref="E8:F8"/>
    <mergeCell ref="G8:H8"/>
    <mergeCell ref="I8:J8"/>
    <mergeCell ref="K8:M8"/>
    <mergeCell ref="N8:O8"/>
    <mergeCell ref="A1:X1"/>
    <mergeCell ref="T3:T4"/>
    <mergeCell ref="U3:U4"/>
    <mergeCell ref="A4:C6"/>
    <mergeCell ref="N6:O6"/>
    <mergeCell ref="E7:O7"/>
    <mergeCell ref="W7:W8"/>
  </mergeCells>
  <conditionalFormatting sqref="T10:U37">
    <cfRule type="cellIs" dxfId="0" priority="1" operator="lessThan">
      <formula>0</formula>
    </cfRule>
  </conditionalFormatting>
  <conditionalFormatting sqref="W10:W37">
    <cfRule type="cellIs" dxfId="0" priority="2" operator="lessThanOrEqual">
      <formula>0</formula>
    </cfRule>
  </conditionalFormatting>
  <dataValidations>
    <dataValidation type="decimal" allowBlank="1" showDropDown="1" sqref="K10:K37">
      <formula1>0.0</formula1>
      <formula2>100.0</formula2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5.38"/>
    <col customWidth="1" min="3" max="3" width="1.88"/>
    <col customWidth="1" min="4" max="4" width="15.38"/>
    <col customWidth="1" min="5" max="5" width="9.0"/>
    <col customWidth="1" min="6" max="6" width="1.88"/>
    <col customWidth="1" min="17" max="17" width="1.88"/>
    <col customWidth="1" min="28" max="28" width="1.88"/>
    <col customWidth="1" min="39" max="39" width="1.75"/>
  </cols>
  <sheetData>
    <row r="1" ht="15.75" customHeight="1">
      <c r="A1" s="14" t="s">
        <v>138</v>
      </c>
      <c r="F1" s="15"/>
      <c r="G1" s="14" t="s">
        <v>139</v>
      </c>
      <c r="Q1" s="15"/>
      <c r="R1" s="14" t="s">
        <v>140</v>
      </c>
      <c r="AB1" s="15"/>
      <c r="AC1" s="14" t="s">
        <v>141</v>
      </c>
      <c r="AM1" s="15"/>
    </row>
    <row r="2" ht="15.75" customHeight="1">
      <c r="A2" s="43" t="s">
        <v>142</v>
      </c>
      <c r="B2" s="27"/>
      <c r="C2" s="15"/>
      <c r="D2" s="43" t="s">
        <v>143</v>
      </c>
      <c r="E2" s="27"/>
      <c r="F2" s="15"/>
      <c r="G2" s="16" t="s">
        <v>132</v>
      </c>
      <c r="Q2" s="15"/>
      <c r="R2" s="16" t="s">
        <v>123</v>
      </c>
      <c r="AB2" s="15"/>
      <c r="AC2" s="16" t="s">
        <v>127</v>
      </c>
      <c r="AM2" s="15"/>
    </row>
    <row r="3" ht="15.75" customHeight="1">
      <c r="A3" s="87" t="s">
        <v>144</v>
      </c>
      <c r="C3" s="15"/>
      <c r="D3" s="5" t="s">
        <v>61</v>
      </c>
      <c r="E3" s="44" t="s">
        <v>145</v>
      </c>
      <c r="F3" s="15"/>
      <c r="G3" s="88">
        <f>'BeastFauna Adventurer Calculato'!W32*$A$11</f>
        <v>7</v>
      </c>
      <c r="H3" s="89" t="s">
        <v>146</v>
      </c>
      <c r="I3" s="90" t="s">
        <v>147</v>
      </c>
      <c r="J3" s="90" t="s">
        <v>148</v>
      </c>
      <c r="K3" s="90" t="s">
        <v>149</v>
      </c>
      <c r="L3" s="90" t="s">
        <v>150</v>
      </c>
      <c r="M3" s="91" t="s">
        <v>151</v>
      </c>
      <c r="N3" s="90"/>
      <c r="O3" s="90"/>
      <c r="P3" s="90"/>
      <c r="Q3" s="15"/>
      <c r="R3" s="88">
        <v>6.0</v>
      </c>
      <c r="S3" s="89" t="s">
        <v>146</v>
      </c>
      <c r="T3" s="90" t="s">
        <v>147</v>
      </c>
      <c r="U3" s="90" t="s">
        <v>148</v>
      </c>
      <c r="V3" s="90" t="s">
        <v>149</v>
      </c>
      <c r="W3" s="90" t="s">
        <v>152</v>
      </c>
      <c r="X3" s="90"/>
      <c r="Y3" s="90"/>
      <c r="Z3" s="90"/>
      <c r="AA3" s="90"/>
      <c r="AB3" s="15"/>
      <c r="AC3" s="92">
        <f>'BeastFauna Adventurer Calculato'!W27</f>
        <v>4</v>
      </c>
      <c r="AD3" s="89" t="s">
        <v>146</v>
      </c>
      <c r="AE3" s="90" t="s">
        <v>147</v>
      </c>
      <c r="AF3" s="90" t="s">
        <v>149</v>
      </c>
      <c r="AG3" s="91" t="s">
        <v>151</v>
      </c>
      <c r="AH3" s="90"/>
      <c r="AI3" s="90"/>
      <c r="AJ3" s="90"/>
      <c r="AK3" s="90"/>
      <c r="AL3" s="90"/>
      <c r="AM3" s="15"/>
    </row>
    <row r="4" ht="15.75" customHeight="1">
      <c r="A4" s="93" t="s">
        <v>153</v>
      </c>
      <c r="C4" s="15"/>
      <c r="D4" s="2" t="s">
        <v>59</v>
      </c>
      <c r="E4" s="49">
        <f>'Distance Cost Calculator'!H16</f>
        <v>40</v>
      </c>
      <c r="F4" s="15"/>
      <c r="G4" s="90" t="s">
        <v>154</v>
      </c>
      <c r="H4" s="94"/>
      <c r="I4" s="95">
        <v>1.0</v>
      </c>
      <c r="J4" s="95">
        <v>3.48</v>
      </c>
      <c r="K4" s="95">
        <v>2.05</v>
      </c>
      <c r="L4" s="94" t="s">
        <v>155</v>
      </c>
      <c r="M4" s="91" t="s">
        <v>156</v>
      </c>
      <c r="N4" s="95"/>
      <c r="O4" s="95"/>
      <c r="P4" s="95"/>
      <c r="Q4" s="15"/>
      <c r="R4" s="90" t="s">
        <v>154</v>
      </c>
      <c r="S4" s="94"/>
      <c r="T4" s="95">
        <v>1.0</v>
      </c>
      <c r="U4" s="95">
        <v>3.02</v>
      </c>
      <c r="V4" s="95">
        <v>1.68</v>
      </c>
      <c r="W4" s="95">
        <v>4.39</v>
      </c>
      <c r="X4" s="95"/>
      <c r="Y4" s="95"/>
      <c r="Z4" s="95"/>
      <c r="AA4" s="95"/>
      <c r="AB4" s="15"/>
      <c r="AC4" s="90" t="s">
        <v>154</v>
      </c>
      <c r="AD4" s="94"/>
      <c r="AE4" s="95">
        <v>1.0</v>
      </c>
      <c r="AF4" s="95">
        <v>2.15</v>
      </c>
      <c r="AG4" s="91" t="s">
        <v>156</v>
      </c>
      <c r="AH4" s="95"/>
      <c r="AI4" s="95"/>
      <c r="AJ4" s="95"/>
      <c r="AK4" s="95"/>
      <c r="AL4" s="95"/>
      <c r="AM4" s="15"/>
    </row>
    <row r="5" ht="15.75" customHeight="1">
      <c r="A5" s="96" t="s">
        <v>157</v>
      </c>
      <c r="C5" s="15"/>
      <c r="D5" s="20" t="s">
        <v>71</v>
      </c>
      <c r="E5" s="49">
        <f>'Distance Cost Calculator'!H17</f>
        <v>24</v>
      </c>
      <c r="F5" s="15"/>
      <c r="G5" s="90" t="s">
        <v>158</v>
      </c>
      <c r="H5" s="90" t="s">
        <v>99</v>
      </c>
      <c r="I5" s="90" t="s">
        <v>99</v>
      </c>
      <c r="J5" s="90" t="s">
        <v>99</v>
      </c>
      <c r="K5" s="90" t="s">
        <v>99</v>
      </c>
      <c r="L5" s="97" t="s">
        <v>159</v>
      </c>
      <c r="M5" s="98" t="s">
        <v>160</v>
      </c>
      <c r="N5" s="90"/>
      <c r="O5" s="90"/>
      <c r="P5" s="90"/>
      <c r="Q5" s="15"/>
      <c r="R5" s="90" t="s">
        <v>158</v>
      </c>
      <c r="S5" s="90" t="s">
        <v>99</v>
      </c>
      <c r="T5" s="90" t="s">
        <v>99</v>
      </c>
      <c r="U5" s="90" t="s">
        <v>99</v>
      </c>
      <c r="V5" s="90" t="s">
        <v>99</v>
      </c>
      <c r="W5" s="90" t="s">
        <v>99</v>
      </c>
      <c r="X5" s="90"/>
      <c r="Y5" s="90"/>
      <c r="Z5" s="90"/>
      <c r="AA5" s="90"/>
      <c r="AB5" s="15"/>
      <c r="AC5" s="90" t="s">
        <v>158</v>
      </c>
      <c r="AD5" s="90" t="s">
        <v>99</v>
      </c>
      <c r="AE5" s="90" t="s">
        <v>99</v>
      </c>
      <c r="AF5" s="90" t="s">
        <v>99</v>
      </c>
      <c r="AG5" s="91"/>
      <c r="AH5" s="90"/>
      <c r="AI5" s="90"/>
      <c r="AJ5" s="90"/>
      <c r="AK5" s="90"/>
      <c r="AL5" s="90"/>
      <c r="AM5" s="15"/>
    </row>
    <row r="6" ht="15.75" customHeight="1">
      <c r="A6" s="99" t="s">
        <v>161</v>
      </c>
      <c r="C6" s="15"/>
      <c r="D6" s="2" t="s">
        <v>72</v>
      </c>
      <c r="E6" s="49">
        <f>'Distance Cost Calculator'!H18</f>
        <v>36</v>
      </c>
      <c r="F6" s="15"/>
      <c r="G6" s="100" t="s">
        <v>162</v>
      </c>
      <c r="H6" s="90">
        <v>0.0</v>
      </c>
      <c r="I6" s="101">
        <f t="shared" ref="I6:K6" si="1">($G$3*I$4)+$H6</f>
        <v>7</v>
      </c>
      <c r="J6" s="101">
        <f t="shared" si="1"/>
        <v>24.36</v>
      </c>
      <c r="K6" s="101">
        <f t="shared" si="1"/>
        <v>14.35</v>
      </c>
      <c r="L6" s="90">
        <f>25*A11</f>
        <v>25</v>
      </c>
      <c r="M6" s="102">
        <v>50.0</v>
      </c>
      <c r="N6" s="90"/>
      <c r="O6" s="90"/>
      <c r="P6" s="90"/>
      <c r="Q6" s="15"/>
      <c r="R6" s="100" t="s">
        <v>162</v>
      </c>
      <c r="S6" s="103">
        <f>$E$14</f>
        <v>24</v>
      </c>
      <c r="T6" s="103">
        <f t="shared" ref="T6:W6" si="2">($R$3*T$4)+$S6</f>
        <v>30</v>
      </c>
      <c r="U6" s="103">
        <f t="shared" si="2"/>
        <v>42.12</v>
      </c>
      <c r="V6" s="103">
        <f t="shared" si="2"/>
        <v>34.08</v>
      </c>
      <c r="W6" s="103">
        <f t="shared" si="2"/>
        <v>50.34</v>
      </c>
      <c r="X6" s="90"/>
      <c r="Y6" s="90"/>
      <c r="Z6" s="90"/>
      <c r="AA6" s="90"/>
      <c r="AB6" s="15"/>
      <c r="AC6" s="100" t="s">
        <v>162</v>
      </c>
      <c r="AD6" s="90">
        <v>0.0</v>
      </c>
      <c r="AE6" s="101">
        <f t="shared" ref="AE6:AF6" si="3">($AC$3*AE$4)+$AD6</f>
        <v>4</v>
      </c>
      <c r="AF6" s="101">
        <f t="shared" si="3"/>
        <v>8.6</v>
      </c>
      <c r="AG6" s="91">
        <v>100.0</v>
      </c>
      <c r="AH6" s="90"/>
      <c r="AI6" s="90"/>
      <c r="AJ6" s="90"/>
      <c r="AK6" s="90"/>
      <c r="AL6" s="90"/>
      <c r="AM6" s="15"/>
    </row>
    <row r="7" ht="15.75" customHeight="1">
      <c r="A7" s="104" t="s">
        <v>163</v>
      </c>
      <c r="C7" s="15"/>
      <c r="D7" s="43" t="s">
        <v>164</v>
      </c>
      <c r="E7" s="27"/>
      <c r="F7" s="15"/>
      <c r="G7" s="105" t="s">
        <v>165</v>
      </c>
      <c r="H7" s="106">
        <f>$E$4</f>
        <v>40</v>
      </c>
      <c r="I7" s="106">
        <f t="shared" ref="I7:K7" si="4">($G$3*I$4)+$H7</f>
        <v>47</v>
      </c>
      <c r="J7" s="106">
        <f t="shared" si="4"/>
        <v>64.36</v>
      </c>
      <c r="K7" s="106">
        <f t="shared" si="4"/>
        <v>54.35</v>
      </c>
      <c r="L7" s="106">
        <f>L6+$E$4</f>
        <v>65</v>
      </c>
      <c r="M7" s="107">
        <v>75.0</v>
      </c>
      <c r="N7" s="90"/>
      <c r="O7" s="90"/>
      <c r="P7" s="90"/>
      <c r="Q7" s="15"/>
      <c r="R7" s="105" t="s">
        <v>165</v>
      </c>
      <c r="S7" s="103">
        <f>$E$15</f>
        <v>36</v>
      </c>
      <c r="T7" s="103">
        <f t="shared" ref="T7:W7" si="5">($R$3*T$4)+$S7</f>
        <v>42</v>
      </c>
      <c r="U7" s="103">
        <f t="shared" si="5"/>
        <v>54.12</v>
      </c>
      <c r="V7" s="103">
        <f t="shared" si="5"/>
        <v>46.08</v>
      </c>
      <c r="W7" s="103">
        <f t="shared" si="5"/>
        <v>62.34</v>
      </c>
      <c r="X7" s="90"/>
      <c r="Y7" s="90"/>
      <c r="Z7" s="90"/>
      <c r="AA7" s="90"/>
      <c r="AB7" s="15"/>
      <c r="AC7" s="105" t="s">
        <v>165</v>
      </c>
      <c r="AD7" s="90">
        <v>0.0</v>
      </c>
      <c r="AE7" s="101">
        <f t="shared" ref="AE7:AF7" si="6">($AC$3*AE$4)+$AD7</f>
        <v>4</v>
      </c>
      <c r="AF7" s="101">
        <f t="shared" si="6"/>
        <v>8.6</v>
      </c>
      <c r="AG7" s="91">
        <v>100.0</v>
      </c>
      <c r="AH7" s="90"/>
      <c r="AI7" s="90"/>
      <c r="AJ7" s="90"/>
      <c r="AK7" s="90"/>
      <c r="AL7" s="90"/>
      <c r="AM7" s="15"/>
    </row>
    <row r="8" ht="15.75" customHeight="1">
      <c r="A8" s="88" t="s">
        <v>166</v>
      </c>
      <c r="C8" s="15"/>
      <c r="D8" s="5" t="s">
        <v>61</v>
      </c>
      <c r="E8" s="44" t="s">
        <v>145</v>
      </c>
      <c r="F8" s="15"/>
      <c r="G8" s="108" t="s">
        <v>167</v>
      </c>
      <c r="H8" s="90">
        <v>0.0</v>
      </c>
      <c r="I8" s="101">
        <f t="shared" ref="I8:K8" si="7">($G$3*I$4)+$H8</f>
        <v>7</v>
      </c>
      <c r="J8" s="101">
        <f t="shared" si="7"/>
        <v>24.36</v>
      </c>
      <c r="K8" s="101">
        <f t="shared" si="7"/>
        <v>14.35</v>
      </c>
      <c r="L8" s="109">
        <f>L6</f>
        <v>25</v>
      </c>
      <c r="M8" s="102">
        <v>50.0</v>
      </c>
      <c r="N8" s="109"/>
      <c r="O8" s="109"/>
      <c r="P8" s="109"/>
      <c r="Q8" s="15"/>
      <c r="R8" s="108" t="s">
        <v>167</v>
      </c>
      <c r="S8" s="103">
        <f>$E$16</f>
        <v>12</v>
      </c>
      <c r="T8" s="103">
        <f t="shared" ref="T8:W8" si="8">($R$3*T$4)+$S8</f>
        <v>18</v>
      </c>
      <c r="U8" s="103">
        <f t="shared" si="8"/>
        <v>30.12</v>
      </c>
      <c r="V8" s="103">
        <f t="shared" si="8"/>
        <v>22.08</v>
      </c>
      <c r="W8" s="103">
        <f t="shared" si="8"/>
        <v>38.34</v>
      </c>
      <c r="X8" s="90"/>
      <c r="Y8" s="90"/>
      <c r="Z8" s="90"/>
      <c r="AA8" s="90"/>
      <c r="AB8" s="15"/>
      <c r="AC8" s="108" t="s">
        <v>167</v>
      </c>
      <c r="AD8" s="90">
        <v>0.0</v>
      </c>
      <c r="AE8" s="101">
        <f t="shared" ref="AE8:AF8" si="9">($AC$3*AE$4)+$AD8</f>
        <v>4</v>
      </c>
      <c r="AF8" s="101">
        <f t="shared" si="9"/>
        <v>8.6</v>
      </c>
      <c r="AG8" s="91">
        <v>100.0</v>
      </c>
      <c r="AH8" s="90"/>
      <c r="AI8" s="90"/>
      <c r="AJ8" s="90"/>
      <c r="AK8" s="90"/>
      <c r="AL8" s="90"/>
      <c r="AM8" s="15"/>
    </row>
    <row r="9" ht="15.75" customHeight="1">
      <c r="A9" s="110" t="s">
        <v>168</v>
      </c>
      <c r="C9" s="15"/>
      <c r="D9" s="20" t="s">
        <v>58</v>
      </c>
      <c r="E9" s="49">
        <f>'Distance Cost Calculator'!P16</f>
        <v>40</v>
      </c>
      <c r="F9" s="15"/>
      <c r="G9" s="111" t="s">
        <v>123</v>
      </c>
      <c r="H9" s="90">
        <v>0.0</v>
      </c>
      <c r="I9" s="101">
        <f t="shared" ref="I9:K9" si="10">($G$3*I$4)+$H9</f>
        <v>7</v>
      </c>
      <c r="J9" s="101">
        <f t="shared" si="10"/>
        <v>24.36</v>
      </c>
      <c r="K9" s="101">
        <f t="shared" si="10"/>
        <v>14.35</v>
      </c>
      <c r="L9" s="109">
        <f>L6</f>
        <v>25</v>
      </c>
      <c r="M9" s="102">
        <v>50.0</v>
      </c>
      <c r="N9" s="109"/>
      <c r="O9" s="109"/>
      <c r="P9" s="109"/>
      <c r="Q9" s="15"/>
      <c r="R9" s="111" t="s">
        <v>123</v>
      </c>
      <c r="S9" s="90">
        <v>0.0</v>
      </c>
      <c r="T9" s="101">
        <f t="shared" ref="T9:W9" si="11">($R$3*T$4)+$S9</f>
        <v>6</v>
      </c>
      <c r="U9" s="101">
        <f t="shared" si="11"/>
        <v>18.12</v>
      </c>
      <c r="V9" s="101">
        <f t="shared" si="11"/>
        <v>10.08</v>
      </c>
      <c r="W9" s="101">
        <f t="shared" si="11"/>
        <v>26.34</v>
      </c>
      <c r="X9" s="90"/>
      <c r="Y9" s="90"/>
      <c r="Z9" s="90"/>
      <c r="AA9" s="90"/>
      <c r="AB9" s="15"/>
      <c r="AC9" s="111" t="s">
        <v>123</v>
      </c>
      <c r="AD9" s="90">
        <v>0.0</v>
      </c>
      <c r="AE9" s="101">
        <f t="shared" ref="AE9:AF9" si="12">($AC$3*AE$4)+$AD9</f>
        <v>4</v>
      </c>
      <c r="AF9" s="101">
        <f t="shared" si="12"/>
        <v>8.6</v>
      </c>
      <c r="AG9" s="91">
        <v>100.0</v>
      </c>
      <c r="AH9" s="90"/>
      <c r="AI9" s="90"/>
      <c r="AJ9" s="90"/>
      <c r="AK9" s="90"/>
      <c r="AL9" s="90"/>
      <c r="AM9" s="15"/>
    </row>
    <row r="10" ht="15.75" customHeight="1">
      <c r="A10" s="66" t="s">
        <v>169</v>
      </c>
      <c r="B10" s="67"/>
      <c r="C10" s="21"/>
      <c r="D10" s="20" t="s">
        <v>71</v>
      </c>
      <c r="E10" s="49">
        <f>'Distance Cost Calculator'!P17</f>
        <v>36</v>
      </c>
      <c r="F10" s="21"/>
      <c r="Q10" s="21"/>
      <c r="AB10" s="21"/>
      <c r="AM10" s="21"/>
    </row>
    <row r="11" ht="15.75" customHeight="1">
      <c r="A11" s="112">
        <f>'Distance Cost Calculator'!B14</f>
        <v>1</v>
      </c>
      <c r="B11" s="113" t="s">
        <v>170</v>
      </c>
      <c r="C11" s="22"/>
      <c r="D11" s="2" t="s">
        <v>72</v>
      </c>
      <c r="E11" s="49">
        <f>'Distance Cost Calculator'!P18</f>
        <v>48</v>
      </c>
      <c r="F11" s="22"/>
      <c r="Q11" s="22"/>
      <c r="AB11" s="22"/>
      <c r="AM11" s="22"/>
    </row>
    <row r="12" ht="15.75" customHeight="1">
      <c r="A12" s="114" t="s">
        <v>171</v>
      </c>
      <c r="B12" s="115"/>
      <c r="C12" s="23"/>
      <c r="D12" s="43" t="s">
        <v>172</v>
      </c>
      <c r="E12" s="27"/>
      <c r="F12" s="23"/>
      <c r="G12" s="16" t="s">
        <v>115</v>
      </c>
      <c r="Q12" s="23"/>
      <c r="R12" s="16" t="s">
        <v>135</v>
      </c>
      <c r="AB12" s="23"/>
      <c r="AC12" s="16" t="s">
        <v>110</v>
      </c>
      <c r="AM12" s="23"/>
    </row>
    <row r="13" ht="15.75" customHeight="1">
      <c r="C13" s="23"/>
      <c r="D13" s="5" t="s">
        <v>61</v>
      </c>
      <c r="E13" s="44" t="s">
        <v>145</v>
      </c>
      <c r="F13" s="23"/>
      <c r="G13" s="88">
        <f>'BeastFauna Adventurer Calculato'!W15*$A$11</f>
        <v>9</v>
      </c>
      <c r="H13" s="89" t="s">
        <v>146</v>
      </c>
      <c r="I13" s="90" t="s">
        <v>147</v>
      </c>
      <c r="J13" s="90" t="s">
        <v>148</v>
      </c>
      <c r="K13" s="90" t="s">
        <v>149</v>
      </c>
      <c r="L13" s="91" t="s">
        <v>151</v>
      </c>
      <c r="M13" s="91" t="s">
        <v>151</v>
      </c>
      <c r="N13" s="90"/>
      <c r="O13" s="90"/>
      <c r="P13" s="90"/>
      <c r="Q13" s="23"/>
      <c r="R13" s="92">
        <f>'BeastFauna Adventurer Calculato'!W35</f>
        <v>15</v>
      </c>
      <c r="S13" s="89" t="s">
        <v>146</v>
      </c>
      <c r="T13" s="90" t="s">
        <v>147</v>
      </c>
      <c r="U13" s="90" t="s">
        <v>148</v>
      </c>
      <c r="V13" s="90" t="s">
        <v>149</v>
      </c>
      <c r="W13" s="102" t="s">
        <v>151</v>
      </c>
      <c r="X13" s="90"/>
      <c r="Y13" s="90"/>
      <c r="Z13" s="90"/>
      <c r="AA13" s="90"/>
      <c r="AB13" s="23"/>
      <c r="AC13" s="92">
        <f>'BeastFauna Adventurer Calculato'!W10</f>
        <v>11</v>
      </c>
      <c r="AD13" s="89" t="s">
        <v>146</v>
      </c>
      <c r="AE13" s="90" t="s">
        <v>147</v>
      </c>
      <c r="AF13" s="90" t="s">
        <v>148</v>
      </c>
      <c r="AG13" s="90" t="s">
        <v>149</v>
      </c>
      <c r="AH13" s="102" t="s">
        <v>151</v>
      </c>
      <c r="AI13" s="90" t="s">
        <v>173</v>
      </c>
      <c r="AJ13" s="90"/>
      <c r="AK13" s="90"/>
      <c r="AL13" s="90"/>
      <c r="AM13" s="23"/>
    </row>
    <row r="14" ht="15.75" customHeight="1">
      <c r="C14" s="23"/>
      <c r="D14" s="20" t="s">
        <v>58</v>
      </c>
      <c r="E14" s="49">
        <f>'Distance Cost Calculator'!H21</f>
        <v>24</v>
      </c>
      <c r="F14" s="23"/>
      <c r="G14" s="90" t="s">
        <v>154</v>
      </c>
      <c r="H14" s="94"/>
      <c r="I14" s="95">
        <v>1.0</v>
      </c>
      <c r="J14" s="95">
        <v>3.8</v>
      </c>
      <c r="K14" s="95">
        <v>1.9</v>
      </c>
      <c r="L14" s="91" t="s">
        <v>174</v>
      </c>
      <c r="M14" s="91" t="s">
        <v>156</v>
      </c>
      <c r="N14" s="95"/>
      <c r="O14" s="95"/>
      <c r="P14" s="95"/>
      <c r="Q14" s="23"/>
      <c r="R14" s="90" t="s">
        <v>154</v>
      </c>
      <c r="S14" s="94"/>
      <c r="T14" s="95">
        <v>1.0</v>
      </c>
      <c r="U14" s="95">
        <v>2.5</v>
      </c>
      <c r="V14" s="95">
        <v>2.3</v>
      </c>
      <c r="W14" s="102" t="s">
        <v>175</v>
      </c>
      <c r="X14" s="95"/>
      <c r="Y14" s="95"/>
      <c r="Z14" s="95"/>
      <c r="AA14" s="95"/>
      <c r="AB14" s="23"/>
      <c r="AC14" s="90" t="s">
        <v>154</v>
      </c>
      <c r="AD14" s="94"/>
      <c r="AE14" s="95">
        <v>1.0</v>
      </c>
      <c r="AF14" s="95">
        <v>3.6</v>
      </c>
      <c r="AG14" s="95">
        <v>1.9</v>
      </c>
      <c r="AH14" s="102" t="s">
        <v>174</v>
      </c>
      <c r="AI14" s="95">
        <v>2.64</v>
      </c>
      <c r="AJ14" s="95"/>
      <c r="AK14" s="95"/>
      <c r="AL14" s="95"/>
      <c r="AM14" s="23"/>
    </row>
    <row r="15" ht="15.75" customHeight="1">
      <c r="C15" s="23"/>
      <c r="D15" s="2" t="s">
        <v>59</v>
      </c>
      <c r="E15" s="49">
        <f>'Distance Cost Calculator'!H22</f>
        <v>36</v>
      </c>
      <c r="F15" s="23"/>
      <c r="G15" s="90" t="s">
        <v>158</v>
      </c>
      <c r="H15" s="90" t="s">
        <v>99</v>
      </c>
      <c r="I15" s="90" t="s">
        <v>99</v>
      </c>
      <c r="J15" s="90" t="s">
        <v>99</v>
      </c>
      <c r="K15" s="90" t="s">
        <v>99</v>
      </c>
      <c r="L15" s="98" t="s">
        <v>176</v>
      </c>
      <c r="M15" s="98" t="s">
        <v>177</v>
      </c>
      <c r="N15" s="90"/>
      <c r="O15" s="90"/>
      <c r="P15" s="90"/>
      <c r="Q15" s="23"/>
      <c r="R15" s="90" t="s">
        <v>158</v>
      </c>
      <c r="S15" s="90" t="s">
        <v>99</v>
      </c>
      <c r="T15" s="90" t="s">
        <v>99</v>
      </c>
      <c r="U15" s="90" t="s">
        <v>99</v>
      </c>
      <c r="V15" s="90" t="s">
        <v>99</v>
      </c>
      <c r="W15" s="116"/>
      <c r="X15" s="90"/>
      <c r="Y15" s="90"/>
      <c r="Z15" s="90"/>
      <c r="AA15" s="90"/>
      <c r="AB15" s="23"/>
      <c r="AC15" s="90" t="s">
        <v>158</v>
      </c>
      <c r="AD15" s="90" t="s">
        <v>99</v>
      </c>
      <c r="AE15" s="90" t="s">
        <v>99</v>
      </c>
      <c r="AF15" s="90" t="s">
        <v>99</v>
      </c>
      <c r="AG15" s="90" t="s">
        <v>99</v>
      </c>
      <c r="AH15" s="116" t="s">
        <v>178</v>
      </c>
      <c r="AI15" s="90" t="s">
        <v>99</v>
      </c>
      <c r="AJ15" s="90"/>
      <c r="AK15" s="90"/>
      <c r="AL15" s="90"/>
      <c r="AM15" s="23"/>
    </row>
    <row r="16" ht="15.75" customHeight="1">
      <c r="C16" s="23"/>
      <c r="D16" s="2" t="s">
        <v>72</v>
      </c>
      <c r="E16" s="49">
        <f>'Distance Cost Calculator'!H23</f>
        <v>12</v>
      </c>
      <c r="F16" s="23"/>
      <c r="G16" s="100" t="s">
        <v>162</v>
      </c>
      <c r="H16" s="90">
        <v>0.0</v>
      </c>
      <c r="I16" s="101">
        <f t="shared" ref="I16:K16" si="13">($G$13*I$14)+$H16</f>
        <v>9</v>
      </c>
      <c r="J16" s="101">
        <f t="shared" si="13"/>
        <v>34.2</v>
      </c>
      <c r="K16" s="101">
        <f t="shared" si="13"/>
        <v>17.1</v>
      </c>
      <c r="L16" s="102">
        <v>500.0</v>
      </c>
      <c r="M16" s="102">
        <v>5000.0</v>
      </c>
      <c r="N16" s="90"/>
      <c r="O16" s="90"/>
      <c r="P16" s="90"/>
      <c r="Q16" s="23"/>
      <c r="R16" s="100" t="s">
        <v>162</v>
      </c>
      <c r="S16" s="90">
        <v>0.0</v>
      </c>
      <c r="T16" s="101">
        <f t="shared" ref="T16:V16" si="14">($R$13*T$14)+$S16</f>
        <v>15</v>
      </c>
      <c r="U16" s="101">
        <f t="shared" si="14"/>
        <v>37.5</v>
      </c>
      <c r="V16" s="101">
        <f t="shared" si="14"/>
        <v>34.5</v>
      </c>
      <c r="W16" s="102">
        <v>25.0</v>
      </c>
      <c r="X16" s="90"/>
      <c r="Y16" s="90"/>
      <c r="Z16" s="90"/>
      <c r="AA16" s="90"/>
      <c r="AB16" s="23"/>
      <c r="AC16" s="100" t="s">
        <v>162</v>
      </c>
      <c r="AD16" s="90">
        <v>0.0</v>
      </c>
      <c r="AE16" s="101">
        <f t="shared" ref="AE16:AG16" si="15">($AC$13*AE$14)+$AD16</f>
        <v>11</v>
      </c>
      <c r="AF16" s="101">
        <f t="shared" si="15"/>
        <v>39.6</v>
      </c>
      <c r="AG16" s="101">
        <f t="shared" si="15"/>
        <v>20.9</v>
      </c>
      <c r="AH16" s="102">
        <v>500.0</v>
      </c>
      <c r="AI16" s="101">
        <f t="shared" ref="AI16:AI19" si="19">($AC$13*AI$14)+$AD16</f>
        <v>29.04</v>
      </c>
      <c r="AJ16" s="90"/>
      <c r="AK16" s="90"/>
      <c r="AL16" s="90"/>
      <c r="AM16" s="23"/>
    </row>
    <row r="17" ht="15.75" customHeight="1">
      <c r="C17" s="23"/>
      <c r="D17" s="43" t="s">
        <v>179</v>
      </c>
      <c r="E17" s="27"/>
      <c r="F17" s="23"/>
      <c r="G17" s="105" t="s">
        <v>165</v>
      </c>
      <c r="H17" s="106">
        <f>$E$4</f>
        <v>40</v>
      </c>
      <c r="I17" s="106">
        <f t="shared" ref="I17:K17" si="16">($G$13*I$14)+$H17</f>
        <v>49</v>
      </c>
      <c r="J17" s="106">
        <f t="shared" si="16"/>
        <v>74.2</v>
      </c>
      <c r="K17" s="106">
        <f t="shared" si="16"/>
        <v>57.1</v>
      </c>
      <c r="L17" s="102">
        <v>1000.0</v>
      </c>
      <c r="M17" s="102">
        <v>6000.0</v>
      </c>
      <c r="N17" s="90"/>
      <c r="O17" s="90"/>
      <c r="P17" s="90"/>
      <c r="Q17" s="23"/>
      <c r="R17" s="105" t="s">
        <v>165</v>
      </c>
      <c r="S17" s="106">
        <f>$E$4</f>
        <v>40</v>
      </c>
      <c r="T17" s="106">
        <f t="shared" ref="T17:V17" si="17">($R$13*T$14)+$S17</f>
        <v>55</v>
      </c>
      <c r="U17" s="106">
        <f t="shared" si="17"/>
        <v>77.5</v>
      </c>
      <c r="V17" s="106">
        <f t="shared" si="17"/>
        <v>74.5</v>
      </c>
      <c r="W17" s="102">
        <v>40.0</v>
      </c>
      <c r="X17" s="90"/>
      <c r="Y17" s="90"/>
      <c r="Z17" s="90"/>
      <c r="AA17" s="90"/>
      <c r="AB17" s="23"/>
      <c r="AC17" s="105" t="s">
        <v>165</v>
      </c>
      <c r="AD17" s="106">
        <f>$E$4</f>
        <v>40</v>
      </c>
      <c r="AE17" s="106">
        <f t="shared" ref="AE17:AG17" si="18">($AC$13*AE$14)+$AD17</f>
        <v>51</v>
      </c>
      <c r="AF17" s="106">
        <f t="shared" si="18"/>
        <v>79.6</v>
      </c>
      <c r="AG17" s="106">
        <f t="shared" si="18"/>
        <v>60.9</v>
      </c>
      <c r="AH17" s="107" t="s">
        <v>180</v>
      </c>
      <c r="AI17" s="106">
        <f t="shared" si="19"/>
        <v>69.04</v>
      </c>
      <c r="AJ17" s="90"/>
      <c r="AK17" s="90"/>
      <c r="AL17" s="90"/>
      <c r="AM17" s="23"/>
    </row>
    <row r="18" ht="15.75" customHeight="1">
      <c r="C18" s="23"/>
      <c r="D18" s="5" t="s">
        <v>61</v>
      </c>
      <c r="E18" s="44" t="s">
        <v>145</v>
      </c>
      <c r="F18" s="23"/>
      <c r="G18" s="108" t="s">
        <v>167</v>
      </c>
      <c r="H18" s="103">
        <f>$E$16</f>
        <v>12</v>
      </c>
      <c r="I18" s="103">
        <f t="shared" ref="I18:K18" si="20">($G$13*I$14)+$H18</f>
        <v>21</v>
      </c>
      <c r="J18" s="103">
        <f t="shared" si="20"/>
        <v>46.2</v>
      </c>
      <c r="K18" s="103">
        <f t="shared" si="20"/>
        <v>29.1</v>
      </c>
      <c r="L18" s="102">
        <v>600.0</v>
      </c>
      <c r="M18" s="102">
        <v>5500.0</v>
      </c>
      <c r="N18" s="109"/>
      <c r="O18" s="109"/>
      <c r="P18" s="109"/>
      <c r="Q18" s="23"/>
      <c r="R18" s="108" t="s">
        <v>167</v>
      </c>
      <c r="S18" s="106">
        <f>$E$6</f>
        <v>36</v>
      </c>
      <c r="T18" s="106">
        <f t="shared" ref="T18:V18" si="21">($R$13*T$14)+$S18</f>
        <v>51</v>
      </c>
      <c r="U18" s="106">
        <f t="shared" si="21"/>
        <v>73.5</v>
      </c>
      <c r="V18" s="106">
        <f t="shared" si="21"/>
        <v>70.5</v>
      </c>
      <c r="W18" s="102">
        <v>45.0</v>
      </c>
      <c r="X18" s="90"/>
      <c r="Y18" s="90"/>
      <c r="Z18" s="90"/>
      <c r="AA18" s="90"/>
      <c r="AB18" s="23"/>
      <c r="AC18" s="108" t="s">
        <v>167</v>
      </c>
      <c r="AD18" s="103">
        <f>$E$16</f>
        <v>12</v>
      </c>
      <c r="AE18" s="103">
        <f t="shared" ref="AE18:AG18" si="22">($AC$13*AE$14)+$AD18</f>
        <v>23</v>
      </c>
      <c r="AF18" s="103">
        <f t="shared" si="22"/>
        <v>51.6</v>
      </c>
      <c r="AG18" s="103">
        <f t="shared" si="22"/>
        <v>32.9</v>
      </c>
      <c r="AH18" s="102">
        <v>600.0</v>
      </c>
      <c r="AI18" s="103">
        <f t="shared" si="19"/>
        <v>41.04</v>
      </c>
      <c r="AJ18" s="90"/>
      <c r="AK18" s="90"/>
      <c r="AL18" s="90"/>
      <c r="AM18" s="23"/>
    </row>
    <row r="19" ht="15.75" customHeight="1">
      <c r="C19" s="23"/>
      <c r="D19" s="20" t="s">
        <v>58</v>
      </c>
      <c r="E19" s="49">
        <f>'Distance Cost Calculator'!P21</f>
        <v>36</v>
      </c>
      <c r="F19" s="23"/>
      <c r="G19" s="111" t="s">
        <v>123</v>
      </c>
      <c r="H19" s="90">
        <v>0.0</v>
      </c>
      <c r="I19" s="101">
        <f t="shared" ref="I19:K19" si="23">($G$13*I$14)+$H19</f>
        <v>9</v>
      </c>
      <c r="J19" s="101">
        <f t="shared" si="23"/>
        <v>34.2</v>
      </c>
      <c r="K19" s="101">
        <f t="shared" si="23"/>
        <v>17.1</v>
      </c>
      <c r="L19" s="102">
        <v>500.0</v>
      </c>
      <c r="M19" s="102">
        <v>5000.0</v>
      </c>
      <c r="N19" s="109"/>
      <c r="O19" s="109"/>
      <c r="P19" s="109"/>
      <c r="Q19" s="23"/>
      <c r="R19" s="111" t="s">
        <v>123</v>
      </c>
      <c r="S19" s="106">
        <f>$E$5</f>
        <v>24</v>
      </c>
      <c r="T19" s="106">
        <f t="shared" ref="T19:V19" si="24">($R$13*T$14)+$S19</f>
        <v>39</v>
      </c>
      <c r="U19" s="106">
        <f t="shared" si="24"/>
        <v>61.5</v>
      </c>
      <c r="V19" s="106">
        <f t="shared" si="24"/>
        <v>58.5</v>
      </c>
      <c r="W19" s="102">
        <v>50.0</v>
      </c>
      <c r="X19" s="90"/>
      <c r="Y19" s="90"/>
      <c r="Z19" s="90"/>
      <c r="AA19" s="90"/>
      <c r="AB19" s="23"/>
      <c r="AC19" s="111" t="s">
        <v>123</v>
      </c>
      <c r="AD19" s="90">
        <v>0.0</v>
      </c>
      <c r="AE19" s="101">
        <f t="shared" ref="AE19:AG19" si="25">($AC$13*AE$14)+$AD19</f>
        <v>11</v>
      </c>
      <c r="AF19" s="101">
        <f t="shared" si="25"/>
        <v>39.6</v>
      </c>
      <c r="AG19" s="101">
        <f t="shared" si="25"/>
        <v>20.9</v>
      </c>
      <c r="AH19" s="102">
        <v>500.0</v>
      </c>
      <c r="AI19" s="101">
        <f t="shared" si="19"/>
        <v>29.04</v>
      </c>
      <c r="AJ19" s="109"/>
      <c r="AK19" s="109"/>
      <c r="AL19" s="109"/>
      <c r="AM19" s="23"/>
    </row>
    <row r="20" ht="15.75" customHeight="1">
      <c r="C20" s="23"/>
      <c r="D20" s="2" t="s">
        <v>59</v>
      </c>
      <c r="E20" s="49">
        <f>'Distance Cost Calculator'!P22</f>
        <v>48</v>
      </c>
      <c r="F20" s="23"/>
      <c r="Q20" s="23"/>
      <c r="AB20" s="23"/>
      <c r="AM20" s="23"/>
    </row>
    <row r="21" ht="15.75" customHeight="1">
      <c r="C21" s="23"/>
      <c r="D21" s="20" t="s">
        <v>71</v>
      </c>
      <c r="E21" s="49">
        <f>'Distance Cost Calculator'!P23</f>
        <v>12</v>
      </c>
      <c r="F21" s="23"/>
      <c r="Q21" s="23"/>
      <c r="AB21" s="23"/>
      <c r="AM21" s="23"/>
    </row>
    <row r="22" ht="15.75" customHeight="1">
      <c r="C22" s="23"/>
      <c r="F22" s="23"/>
      <c r="G22" s="16" t="s">
        <v>134</v>
      </c>
      <c r="Q22" s="23"/>
      <c r="R22" s="16" t="s">
        <v>114</v>
      </c>
      <c r="AB22" s="23"/>
      <c r="AC22" s="16" t="s">
        <v>116</v>
      </c>
      <c r="AM22" s="23"/>
    </row>
    <row r="23" ht="15.75" customHeight="1">
      <c r="C23" s="23"/>
      <c r="F23" s="23"/>
      <c r="G23" s="88">
        <f>'BeastFauna Adventurer Calculato'!W34*$A$11</f>
        <v>18</v>
      </c>
      <c r="H23" s="89" t="s">
        <v>146</v>
      </c>
      <c r="I23" s="90" t="s">
        <v>147</v>
      </c>
      <c r="J23" s="90" t="s">
        <v>148</v>
      </c>
      <c r="K23" s="90" t="s">
        <v>149</v>
      </c>
      <c r="L23" s="102" t="s">
        <v>151</v>
      </c>
      <c r="M23" s="90" t="s">
        <v>181</v>
      </c>
      <c r="N23" s="90" t="s">
        <v>182</v>
      </c>
      <c r="O23" s="90" t="s">
        <v>183</v>
      </c>
      <c r="P23" s="90" t="s">
        <v>184</v>
      </c>
      <c r="Q23" s="23"/>
      <c r="R23" s="92">
        <f>'BeastFauna Adventurer Calculato'!W14</f>
        <v>8</v>
      </c>
      <c r="S23" s="89" t="s">
        <v>146</v>
      </c>
      <c r="T23" s="90" t="s">
        <v>147</v>
      </c>
      <c r="U23" s="90" t="s">
        <v>148</v>
      </c>
      <c r="V23" s="90" t="s">
        <v>149</v>
      </c>
      <c r="W23" s="90" t="s">
        <v>185</v>
      </c>
      <c r="X23" s="90"/>
      <c r="Y23" s="90"/>
      <c r="Z23" s="90"/>
      <c r="AA23" s="90"/>
      <c r="AB23" s="23"/>
      <c r="AC23" s="92">
        <f>'BeastFauna Adventurer Calculato'!W16</f>
        <v>12</v>
      </c>
      <c r="AD23" s="89" t="s">
        <v>146</v>
      </c>
      <c r="AE23" s="90" t="s">
        <v>147</v>
      </c>
      <c r="AF23" s="90" t="s">
        <v>148</v>
      </c>
      <c r="AG23" s="90" t="s">
        <v>149</v>
      </c>
      <c r="AH23" s="90" t="s">
        <v>186</v>
      </c>
      <c r="AI23" s="102" t="s">
        <v>151</v>
      </c>
      <c r="AJ23" s="90"/>
      <c r="AK23" s="90"/>
      <c r="AL23" s="90"/>
      <c r="AM23" s="23"/>
    </row>
    <row r="24" ht="15.75" customHeight="1">
      <c r="C24" s="23"/>
      <c r="F24" s="23"/>
      <c r="G24" s="90" t="s">
        <v>154</v>
      </c>
      <c r="H24" s="94"/>
      <c r="I24" s="95">
        <v>1.0</v>
      </c>
      <c r="J24" s="95">
        <v>2.98</v>
      </c>
      <c r="K24" s="95">
        <v>2.0</v>
      </c>
      <c r="L24" s="102" t="s">
        <v>156</v>
      </c>
      <c r="M24" s="95">
        <v>0.4</v>
      </c>
      <c r="N24" s="95">
        <v>9.4</v>
      </c>
      <c r="O24" s="95">
        <v>0.75</v>
      </c>
      <c r="P24" s="95">
        <v>9.8</v>
      </c>
      <c r="Q24" s="23"/>
      <c r="R24" s="90" t="s">
        <v>154</v>
      </c>
      <c r="S24" s="94"/>
      <c r="T24" s="95">
        <v>1.0</v>
      </c>
      <c r="U24" s="95">
        <v>3.02</v>
      </c>
      <c r="V24" s="95">
        <v>1.68</v>
      </c>
      <c r="W24" s="94" t="s">
        <v>187</v>
      </c>
      <c r="X24" s="95"/>
      <c r="Y24" s="95"/>
      <c r="Z24" s="95"/>
      <c r="AA24" s="95"/>
      <c r="AB24" s="23"/>
      <c r="AC24" s="90" t="s">
        <v>154</v>
      </c>
      <c r="AD24" s="94"/>
      <c r="AE24" s="95">
        <v>1.0</v>
      </c>
      <c r="AF24" s="95">
        <v>3.4</v>
      </c>
      <c r="AG24" s="95">
        <v>1.9</v>
      </c>
      <c r="AH24" s="94" t="s">
        <v>188</v>
      </c>
      <c r="AI24" s="102" t="s">
        <v>156</v>
      </c>
      <c r="AJ24" s="95"/>
      <c r="AK24" s="95"/>
      <c r="AL24" s="95"/>
      <c r="AM24" s="23"/>
    </row>
    <row r="25" ht="15.75" customHeight="1">
      <c r="C25" s="23"/>
      <c r="F25" s="23"/>
      <c r="G25" s="90" t="s">
        <v>158</v>
      </c>
      <c r="H25" s="90" t="s">
        <v>99</v>
      </c>
      <c r="I25" s="90" t="s">
        <v>99</v>
      </c>
      <c r="J25" s="90" t="s">
        <v>99</v>
      </c>
      <c r="K25" s="90" t="s">
        <v>99</v>
      </c>
      <c r="L25" s="116" t="s">
        <v>189</v>
      </c>
      <c r="M25" s="90" t="s">
        <v>190</v>
      </c>
      <c r="N25" s="90" t="s">
        <v>99</v>
      </c>
      <c r="O25" s="90" t="s">
        <v>190</v>
      </c>
      <c r="P25" s="90" t="s">
        <v>99</v>
      </c>
      <c r="Q25" s="23"/>
      <c r="R25" s="90" t="s">
        <v>158</v>
      </c>
      <c r="S25" s="90" t="s">
        <v>99</v>
      </c>
      <c r="T25" s="90" t="s">
        <v>99</v>
      </c>
      <c r="U25" s="90" t="s">
        <v>99</v>
      </c>
      <c r="V25" s="90" t="s">
        <v>99</v>
      </c>
      <c r="W25" s="97" t="s">
        <v>191</v>
      </c>
      <c r="X25" s="90"/>
      <c r="Y25" s="90"/>
      <c r="Z25" s="90"/>
      <c r="AA25" s="90"/>
      <c r="AB25" s="23"/>
      <c r="AC25" s="90" t="s">
        <v>158</v>
      </c>
      <c r="AD25" s="90" t="s">
        <v>99</v>
      </c>
      <c r="AE25" s="90" t="s">
        <v>99</v>
      </c>
      <c r="AF25" s="90" t="s">
        <v>99</v>
      </c>
      <c r="AG25" s="90" t="s">
        <v>99</v>
      </c>
      <c r="AH25" s="97" t="s">
        <v>192</v>
      </c>
      <c r="AI25" s="116"/>
      <c r="AJ25" s="90"/>
      <c r="AK25" s="90"/>
      <c r="AL25" s="90"/>
      <c r="AM25" s="23"/>
    </row>
    <row r="26" ht="15.75" customHeight="1">
      <c r="C26" s="23"/>
      <c r="F26" s="23"/>
      <c r="G26" s="100" t="s">
        <v>162</v>
      </c>
      <c r="H26" s="117">
        <f>$E$9</f>
        <v>40</v>
      </c>
      <c r="I26" s="117">
        <f t="shared" ref="I26:K26" si="26">($G$23*I$24)+$H26</f>
        <v>58</v>
      </c>
      <c r="J26" s="117">
        <f t="shared" si="26"/>
        <v>93.64</v>
      </c>
      <c r="K26" s="117">
        <f t="shared" si="26"/>
        <v>76</v>
      </c>
      <c r="L26" s="107" t="s">
        <v>180</v>
      </c>
      <c r="M26" s="117">
        <f t="shared" ref="M26:P26" si="27">($G$23*M$24)+$H26</f>
        <v>47.2</v>
      </c>
      <c r="N26" s="117">
        <f t="shared" si="27"/>
        <v>209.2</v>
      </c>
      <c r="O26" s="117">
        <f t="shared" si="27"/>
        <v>53.5</v>
      </c>
      <c r="P26" s="117">
        <f t="shared" si="27"/>
        <v>216.4</v>
      </c>
      <c r="Q26" s="23"/>
      <c r="R26" s="100" t="s">
        <v>162</v>
      </c>
      <c r="S26" s="103">
        <f>$E$14</f>
        <v>24</v>
      </c>
      <c r="T26" s="103">
        <f t="shared" ref="T26:V26" si="28">($R$23*T$24)+$S26</f>
        <v>32</v>
      </c>
      <c r="U26" s="103">
        <f t="shared" si="28"/>
        <v>48.16</v>
      </c>
      <c r="V26" s="103">
        <f t="shared" si="28"/>
        <v>37.44</v>
      </c>
      <c r="W26" s="103">
        <f>W29+$E$14</f>
        <v>33</v>
      </c>
      <c r="X26" s="90"/>
      <c r="Y26" s="90"/>
      <c r="Z26" s="90"/>
      <c r="AA26" s="90"/>
      <c r="AB26" s="23"/>
      <c r="AC26" s="100" t="s">
        <v>162</v>
      </c>
      <c r="AD26" s="90">
        <v>0.0</v>
      </c>
      <c r="AE26" s="101">
        <f t="shared" ref="AE26:AG26" si="29">($AC$23*AE$24)+$AD26</f>
        <v>12</v>
      </c>
      <c r="AF26" s="101">
        <f t="shared" si="29"/>
        <v>40.8</v>
      </c>
      <c r="AG26" s="101">
        <f t="shared" si="29"/>
        <v>22.8</v>
      </c>
      <c r="AH26" s="90">
        <f>10*A11</f>
        <v>10</v>
      </c>
      <c r="AI26" s="102">
        <v>35.0</v>
      </c>
      <c r="AJ26" s="90"/>
      <c r="AK26" s="90"/>
      <c r="AL26" s="90"/>
      <c r="AM26" s="23"/>
    </row>
    <row r="27" ht="15.75" customHeight="1">
      <c r="C27" s="23"/>
      <c r="F27" s="23"/>
      <c r="G27" s="105" t="s">
        <v>165</v>
      </c>
      <c r="H27" s="90">
        <v>0.0</v>
      </c>
      <c r="I27" s="101">
        <f t="shared" ref="I27:K27" si="30">($G$23*I$24)+$H27</f>
        <v>18</v>
      </c>
      <c r="J27" s="101">
        <f t="shared" si="30"/>
        <v>53.64</v>
      </c>
      <c r="K27" s="101">
        <f t="shared" si="30"/>
        <v>36</v>
      </c>
      <c r="L27" s="102">
        <v>17500.0</v>
      </c>
      <c r="M27" s="101">
        <f t="shared" ref="M27:P27" si="31">($G$23*M$24)+$H27</f>
        <v>7.2</v>
      </c>
      <c r="N27" s="101">
        <f t="shared" si="31"/>
        <v>169.2</v>
      </c>
      <c r="O27" s="101">
        <f t="shared" si="31"/>
        <v>13.5</v>
      </c>
      <c r="P27" s="101">
        <f t="shared" si="31"/>
        <v>176.4</v>
      </c>
      <c r="Q27" s="23"/>
      <c r="R27" s="105" t="s">
        <v>165</v>
      </c>
      <c r="S27" s="103">
        <f>$E$15</f>
        <v>36</v>
      </c>
      <c r="T27" s="103">
        <f t="shared" ref="T27:V27" si="32">($R$23*T$24)+$S27</f>
        <v>44</v>
      </c>
      <c r="U27" s="103">
        <f t="shared" si="32"/>
        <v>60.16</v>
      </c>
      <c r="V27" s="103">
        <f t="shared" si="32"/>
        <v>49.44</v>
      </c>
      <c r="W27" s="103">
        <f>W29+$E$15</f>
        <v>45</v>
      </c>
      <c r="X27" s="90"/>
      <c r="Y27" s="90"/>
      <c r="Z27" s="90"/>
      <c r="AA27" s="90"/>
      <c r="AB27" s="23"/>
      <c r="AC27" s="105" t="s">
        <v>165</v>
      </c>
      <c r="AD27" s="106">
        <f>$E$4</f>
        <v>40</v>
      </c>
      <c r="AE27" s="106">
        <f t="shared" ref="AE27:AG27" si="33">($AC$23*AE$24)+$AD27</f>
        <v>52</v>
      </c>
      <c r="AF27" s="106">
        <f t="shared" si="33"/>
        <v>80.8</v>
      </c>
      <c r="AG27" s="106">
        <f t="shared" si="33"/>
        <v>62.8</v>
      </c>
      <c r="AH27" s="106">
        <f>AH26+$E$4</f>
        <v>50</v>
      </c>
      <c r="AI27" s="107" t="s">
        <v>180</v>
      </c>
      <c r="AJ27" s="90"/>
      <c r="AK27" s="90"/>
      <c r="AL27" s="90"/>
      <c r="AM27" s="23"/>
    </row>
    <row r="28" ht="15.75" customHeight="1">
      <c r="C28" s="23"/>
      <c r="F28" s="23"/>
      <c r="G28" s="108" t="s">
        <v>167</v>
      </c>
      <c r="H28" s="117">
        <f>$E$11</f>
        <v>48</v>
      </c>
      <c r="I28" s="117">
        <f t="shared" ref="I28:K28" si="34">($G$23*I$24)+$H28</f>
        <v>66</v>
      </c>
      <c r="J28" s="117">
        <f t="shared" si="34"/>
        <v>101.64</v>
      </c>
      <c r="K28" s="117">
        <f t="shared" si="34"/>
        <v>84</v>
      </c>
      <c r="L28" s="107" t="s">
        <v>180</v>
      </c>
      <c r="M28" s="117">
        <f t="shared" ref="M28:P28" si="35">($G$23*M$24)+$H28</f>
        <v>55.2</v>
      </c>
      <c r="N28" s="117">
        <f t="shared" si="35"/>
        <v>217.2</v>
      </c>
      <c r="O28" s="117">
        <f t="shared" si="35"/>
        <v>61.5</v>
      </c>
      <c r="P28" s="117">
        <f t="shared" si="35"/>
        <v>224.4</v>
      </c>
      <c r="Q28" s="23"/>
      <c r="R28" s="108" t="s">
        <v>167</v>
      </c>
      <c r="S28" s="103">
        <f>$E$16</f>
        <v>12</v>
      </c>
      <c r="T28" s="103">
        <f t="shared" ref="T28:V28" si="36">($R$23*T$24)+$S28</f>
        <v>20</v>
      </c>
      <c r="U28" s="103">
        <f t="shared" si="36"/>
        <v>36.16</v>
      </c>
      <c r="V28" s="103">
        <f t="shared" si="36"/>
        <v>25.44</v>
      </c>
      <c r="W28" s="103">
        <f>W29+$E$16</f>
        <v>21</v>
      </c>
      <c r="X28" s="90"/>
      <c r="Y28" s="90"/>
      <c r="Z28" s="90"/>
      <c r="AA28" s="90"/>
      <c r="AB28" s="23"/>
      <c r="AC28" s="108" t="s">
        <v>167</v>
      </c>
      <c r="AD28" s="90">
        <v>0.0</v>
      </c>
      <c r="AE28" s="101">
        <f t="shared" ref="AE28:AG28" si="37">($AC$23*AE$24)+$AD28</f>
        <v>12</v>
      </c>
      <c r="AF28" s="101">
        <f t="shared" si="37"/>
        <v>40.8</v>
      </c>
      <c r="AG28" s="101">
        <f t="shared" si="37"/>
        <v>22.8</v>
      </c>
      <c r="AH28" s="90">
        <f>AH26</f>
        <v>10</v>
      </c>
      <c r="AI28" s="102">
        <v>29.0</v>
      </c>
      <c r="AJ28" s="90"/>
      <c r="AK28" s="90"/>
      <c r="AL28" s="90"/>
      <c r="AM28" s="23"/>
    </row>
    <row r="29" ht="15.75" customHeight="1">
      <c r="C29" s="23"/>
      <c r="F29" s="23"/>
      <c r="G29" s="111" t="s">
        <v>123</v>
      </c>
      <c r="H29" s="117">
        <f>$E$10</f>
        <v>36</v>
      </c>
      <c r="I29" s="117">
        <f t="shared" ref="I29:K29" si="38">($G$23*I$24)+$H29</f>
        <v>54</v>
      </c>
      <c r="J29" s="117">
        <f t="shared" si="38"/>
        <v>89.64</v>
      </c>
      <c r="K29" s="117">
        <f t="shared" si="38"/>
        <v>72</v>
      </c>
      <c r="L29" s="107" t="s">
        <v>180</v>
      </c>
      <c r="M29" s="117">
        <f t="shared" ref="M29:P29" si="39">($G$23*M$24)+$H29</f>
        <v>43.2</v>
      </c>
      <c r="N29" s="117">
        <f t="shared" si="39"/>
        <v>205.2</v>
      </c>
      <c r="O29" s="117">
        <f t="shared" si="39"/>
        <v>49.5</v>
      </c>
      <c r="P29" s="117">
        <f t="shared" si="39"/>
        <v>212.4</v>
      </c>
      <c r="Q29" s="23"/>
      <c r="R29" s="111" t="s">
        <v>123</v>
      </c>
      <c r="S29" s="90">
        <v>0.0</v>
      </c>
      <c r="T29" s="101">
        <f t="shared" ref="T29:V29" si="40">($R$23*T$24)+$S29</f>
        <v>8</v>
      </c>
      <c r="U29" s="101">
        <f t="shared" si="40"/>
        <v>24.16</v>
      </c>
      <c r="V29" s="101">
        <f t="shared" si="40"/>
        <v>13.44</v>
      </c>
      <c r="W29" s="109">
        <f>9*A11</f>
        <v>9</v>
      </c>
      <c r="X29" s="90"/>
      <c r="Y29" s="90"/>
      <c r="Z29" s="90"/>
      <c r="AA29" s="90"/>
      <c r="AB29" s="23"/>
      <c r="AC29" s="111" t="s">
        <v>123</v>
      </c>
      <c r="AD29" s="90">
        <v>0.0</v>
      </c>
      <c r="AE29" s="101">
        <f t="shared" ref="AE29:AG29" si="41">($AC$23*AE$24)+$AD29</f>
        <v>12</v>
      </c>
      <c r="AF29" s="101">
        <f t="shared" si="41"/>
        <v>40.8</v>
      </c>
      <c r="AG29" s="101">
        <f t="shared" si="41"/>
        <v>22.8</v>
      </c>
      <c r="AH29" s="90">
        <f>AH26</f>
        <v>10</v>
      </c>
      <c r="AI29" s="102">
        <v>27.0</v>
      </c>
      <c r="AJ29" s="109"/>
      <c r="AK29" s="109"/>
      <c r="AL29" s="109"/>
      <c r="AM29" s="23"/>
    </row>
    <row r="30" ht="15.75" customHeight="1">
      <c r="C30" s="23"/>
      <c r="F30" s="23"/>
      <c r="Q30" s="23"/>
      <c r="AB30" s="23"/>
      <c r="AM30" s="23"/>
    </row>
    <row r="31" ht="15.75" customHeight="1">
      <c r="C31" s="23"/>
      <c r="F31" s="23"/>
      <c r="Q31" s="23"/>
      <c r="AB31" s="23"/>
      <c r="AM31" s="23"/>
    </row>
    <row r="32" ht="15.75" customHeight="1">
      <c r="C32" s="23"/>
      <c r="F32" s="23"/>
      <c r="G32" s="16" t="s">
        <v>193</v>
      </c>
      <c r="Q32" s="23"/>
      <c r="R32" s="16" t="s">
        <v>118</v>
      </c>
      <c r="AB32" s="23"/>
      <c r="AM32" s="23"/>
    </row>
    <row r="33" ht="15.75" customHeight="1">
      <c r="C33" s="23"/>
      <c r="F33" s="23"/>
      <c r="G33" s="88">
        <f>G23*$A$11</f>
        <v>18</v>
      </c>
      <c r="H33" s="89" t="s">
        <v>146</v>
      </c>
      <c r="I33" s="90" t="s">
        <v>194</v>
      </c>
      <c r="J33" s="90" t="s">
        <v>195</v>
      </c>
      <c r="K33" s="90"/>
      <c r="L33" s="90"/>
      <c r="M33" s="90"/>
      <c r="N33" s="90"/>
      <c r="O33" s="90"/>
      <c r="P33" s="90"/>
      <c r="Q33" s="23"/>
      <c r="R33" s="92">
        <f>'BeastFauna Adventurer Calculato'!W18</f>
        <v>8</v>
      </c>
      <c r="S33" s="89" t="s">
        <v>146</v>
      </c>
      <c r="T33" s="90" t="s">
        <v>147</v>
      </c>
      <c r="U33" s="90" t="s">
        <v>148</v>
      </c>
      <c r="V33" s="90" t="s">
        <v>149</v>
      </c>
      <c r="W33" s="90" t="s">
        <v>152</v>
      </c>
      <c r="X33" s="90"/>
      <c r="Y33" s="90"/>
      <c r="Z33" s="90"/>
      <c r="AA33" s="90"/>
      <c r="AB33" s="23"/>
      <c r="AM33" s="23"/>
    </row>
    <row r="34" ht="15.75" customHeight="1">
      <c r="C34" s="23"/>
      <c r="F34" s="23"/>
      <c r="G34" s="90" t="s">
        <v>154</v>
      </c>
      <c r="H34" s="94"/>
      <c r="I34" s="95">
        <v>3.4</v>
      </c>
      <c r="J34" s="95">
        <v>4.1</v>
      </c>
      <c r="K34" s="95"/>
      <c r="L34" s="95"/>
      <c r="M34" s="95"/>
      <c r="N34" s="95"/>
      <c r="O34" s="95"/>
      <c r="P34" s="95"/>
      <c r="Q34" s="23"/>
      <c r="R34" s="90" t="s">
        <v>154</v>
      </c>
      <c r="S34" s="94"/>
      <c r="T34" s="95">
        <v>1.0</v>
      </c>
      <c r="U34" s="95">
        <v>2.98</v>
      </c>
      <c r="V34" s="95">
        <v>2.0</v>
      </c>
      <c r="W34" s="95">
        <v>3.76</v>
      </c>
      <c r="X34" s="95"/>
      <c r="Y34" s="95"/>
      <c r="Z34" s="95"/>
      <c r="AA34" s="95"/>
      <c r="AB34" s="23"/>
      <c r="AM34" s="23"/>
    </row>
    <row r="35" ht="15.75" customHeight="1">
      <c r="C35" s="23"/>
      <c r="F35" s="23"/>
      <c r="G35" s="90" t="s">
        <v>158</v>
      </c>
      <c r="H35" s="90" t="s">
        <v>99</v>
      </c>
      <c r="I35" s="90" t="s">
        <v>99</v>
      </c>
      <c r="J35" s="90" t="s">
        <v>99</v>
      </c>
      <c r="K35" s="90"/>
      <c r="L35" s="90"/>
      <c r="M35" s="90"/>
      <c r="N35" s="90"/>
      <c r="O35" s="90"/>
      <c r="P35" s="90"/>
      <c r="Q35" s="23"/>
      <c r="R35" s="90" t="s">
        <v>158</v>
      </c>
      <c r="S35" s="90" t="s">
        <v>99</v>
      </c>
      <c r="T35" s="90" t="s">
        <v>99</v>
      </c>
      <c r="U35" s="90" t="s">
        <v>99</v>
      </c>
      <c r="V35" s="90" t="s">
        <v>99</v>
      </c>
      <c r="W35" s="90" t="s">
        <v>99</v>
      </c>
      <c r="X35" s="90"/>
      <c r="Y35" s="90"/>
      <c r="Z35" s="90"/>
      <c r="AA35" s="90"/>
      <c r="AB35" s="23"/>
      <c r="AM35" s="23"/>
    </row>
    <row r="36" ht="15.75" customHeight="1">
      <c r="C36" s="23"/>
      <c r="F36" s="23"/>
      <c r="G36" s="100" t="s">
        <v>162</v>
      </c>
      <c r="H36" s="117">
        <f>$E$9</f>
        <v>40</v>
      </c>
      <c r="I36" s="117">
        <f t="shared" ref="I36:J36" si="42">($G$33*I$34)+$H36</f>
        <v>101.2</v>
      </c>
      <c r="J36" s="117">
        <f t="shared" si="42"/>
        <v>113.8</v>
      </c>
      <c r="K36" s="90"/>
      <c r="L36" s="90"/>
      <c r="M36" s="90"/>
      <c r="N36" s="90"/>
      <c r="O36" s="90"/>
      <c r="P36" s="90"/>
      <c r="Q36" s="23"/>
      <c r="R36" s="100" t="s">
        <v>162</v>
      </c>
      <c r="S36" s="117">
        <f>$E$9</f>
        <v>40</v>
      </c>
      <c r="T36" s="117">
        <f t="shared" ref="T36:W36" si="43">($R$33*T$34)+$S36</f>
        <v>48</v>
      </c>
      <c r="U36" s="117">
        <f t="shared" si="43"/>
        <v>63.84</v>
      </c>
      <c r="V36" s="117">
        <f t="shared" si="43"/>
        <v>56</v>
      </c>
      <c r="W36" s="117">
        <f t="shared" si="43"/>
        <v>70.08</v>
      </c>
      <c r="X36" s="90"/>
      <c r="Y36" s="90"/>
      <c r="Z36" s="90"/>
      <c r="AA36" s="90"/>
      <c r="AB36" s="23"/>
      <c r="AM36" s="23"/>
    </row>
    <row r="37" ht="15.75" customHeight="1">
      <c r="C37" s="23"/>
      <c r="F37" s="23"/>
      <c r="G37" s="105" t="s">
        <v>165</v>
      </c>
      <c r="H37" s="90">
        <v>0.0</v>
      </c>
      <c r="I37" s="101">
        <f t="shared" ref="I37:J37" si="44">($G$33*I$34)+$H37</f>
        <v>61.2</v>
      </c>
      <c r="J37" s="101">
        <f t="shared" si="44"/>
        <v>73.8</v>
      </c>
      <c r="K37" s="90"/>
      <c r="L37" s="90"/>
      <c r="M37" s="90"/>
      <c r="N37" s="90"/>
      <c r="O37" s="90"/>
      <c r="P37" s="90"/>
      <c r="Q37" s="23"/>
      <c r="R37" s="105" t="s">
        <v>165</v>
      </c>
      <c r="S37" s="90">
        <v>0.0</v>
      </c>
      <c r="T37" s="101">
        <f t="shared" ref="T37:W37" si="45">($R$33*T$34)+$S37</f>
        <v>8</v>
      </c>
      <c r="U37" s="101">
        <f t="shared" si="45"/>
        <v>23.84</v>
      </c>
      <c r="V37" s="101">
        <f t="shared" si="45"/>
        <v>16</v>
      </c>
      <c r="W37" s="101">
        <f t="shared" si="45"/>
        <v>30.08</v>
      </c>
      <c r="X37" s="90"/>
      <c r="Y37" s="90"/>
      <c r="Z37" s="90"/>
      <c r="AA37" s="90"/>
      <c r="AB37" s="23"/>
      <c r="AM37" s="23"/>
    </row>
    <row r="38" ht="15.75" customHeight="1">
      <c r="C38" s="15"/>
      <c r="F38" s="15"/>
      <c r="G38" s="108" t="s">
        <v>167</v>
      </c>
      <c r="H38" s="117">
        <f>$E$11</f>
        <v>48</v>
      </c>
      <c r="I38" s="117">
        <f t="shared" ref="I38:J38" si="46">($G$33*I$34)+$H38</f>
        <v>109.2</v>
      </c>
      <c r="J38" s="117">
        <f t="shared" si="46"/>
        <v>121.8</v>
      </c>
      <c r="K38" s="109"/>
      <c r="L38" s="109"/>
      <c r="M38" s="109"/>
      <c r="N38" s="109"/>
      <c r="O38" s="109"/>
      <c r="P38" s="109"/>
      <c r="Q38" s="15"/>
      <c r="R38" s="108" t="s">
        <v>167</v>
      </c>
      <c r="S38" s="90">
        <v>0.0</v>
      </c>
      <c r="T38" s="101">
        <f t="shared" ref="T38:W38" si="47">($R$33*T$34)+$S38</f>
        <v>8</v>
      </c>
      <c r="U38" s="101">
        <f t="shared" si="47"/>
        <v>23.84</v>
      </c>
      <c r="V38" s="101">
        <f t="shared" si="47"/>
        <v>16</v>
      </c>
      <c r="W38" s="101">
        <f t="shared" si="47"/>
        <v>30.08</v>
      </c>
      <c r="X38" s="90"/>
      <c r="Y38" s="90"/>
      <c r="Z38" s="90"/>
      <c r="AA38" s="90"/>
      <c r="AB38" s="15"/>
      <c r="AM38" s="15"/>
    </row>
    <row r="39" ht="15.75" customHeight="1">
      <c r="C39" s="15"/>
      <c r="F39" s="15"/>
      <c r="G39" s="111" t="s">
        <v>123</v>
      </c>
      <c r="H39" s="117">
        <f>$E$10</f>
        <v>36</v>
      </c>
      <c r="I39" s="117">
        <f t="shared" ref="I39:J39" si="48">($G$33*I$34)+$H39</f>
        <v>97.2</v>
      </c>
      <c r="J39" s="117">
        <f t="shared" si="48"/>
        <v>109.8</v>
      </c>
      <c r="K39" s="109"/>
      <c r="L39" s="109"/>
      <c r="M39" s="109"/>
      <c r="N39" s="109"/>
      <c r="O39" s="109"/>
      <c r="P39" s="109"/>
      <c r="Q39" s="15"/>
      <c r="R39" s="111" t="s">
        <v>123</v>
      </c>
      <c r="S39" s="118">
        <f>$E$21</f>
        <v>12</v>
      </c>
      <c r="T39" s="118">
        <f t="shared" ref="T39:W39" si="49">($R$33*T$34)+$S39</f>
        <v>20</v>
      </c>
      <c r="U39" s="118">
        <f t="shared" si="49"/>
        <v>35.84</v>
      </c>
      <c r="V39" s="118">
        <f t="shared" si="49"/>
        <v>28</v>
      </c>
      <c r="W39" s="118">
        <f t="shared" si="49"/>
        <v>42.08</v>
      </c>
      <c r="X39" s="90"/>
      <c r="Y39" s="90"/>
      <c r="Z39" s="90"/>
      <c r="AA39" s="90"/>
      <c r="AB39" s="15"/>
      <c r="AM39" s="15"/>
    </row>
    <row r="40" ht="15.75" customHeight="1">
      <c r="C40" s="15"/>
      <c r="F40" s="15"/>
      <c r="Q40" s="15"/>
      <c r="AB40" s="15"/>
      <c r="AM40" s="15"/>
    </row>
    <row r="41" ht="15.75" customHeight="1">
      <c r="C41" s="15"/>
      <c r="F41" s="15"/>
      <c r="Q41" s="15"/>
      <c r="AB41" s="15"/>
      <c r="AM41" s="15"/>
    </row>
    <row r="42" ht="15.75" customHeight="1">
      <c r="C42" s="15"/>
      <c r="F42" s="15"/>
      <c r="G42" s="16" t="s">
        <v>121</v>
      </c>
      <c r="Q42" s="15"/>
      <c r="R42" s="16" t="s">
        <v>111</v>
      </c>
      <c r="AB42" s="15"/>
      <c r="AM42" s="15"/>
    </row>
    <row r="43" ht="15.75" customHeight="1">
      <c r="C43" s="15"/>
      <c r="F43" s="15"/>
      <c r="G43" s="88">
        <f>'BeastFauna Adventurer Calculato'!W21*$A$11</f>
        <v>12</v>
      </c>
      <c r="H43" s="89" t="s">
        <v>146</v>
      </c>
      <c r="I43" s="90" t="s">
        <v>147</v>
      </c>
      <c r="J43" s="90" t="s">
        <v>148</v>
      </c>
      <c r="K43" s="90" t="s">
        <v>149</v>
      </c>
      <c r="L43" s="90" t="s">
        <v>196</v>
      </c>
      <c r="M43" s="102" t="s">
        <v>151</v>
      </c>
      <c r="N43" s="90"/>
      <c r="O43" s="90"/>
      <c r="P43" s="90"/>
      <c r="Q43" s="15"/>
      <c r="R43" s="92">
        <f>'BeastFauna Adventurer Calculato'!W11</f>
        <v>9</v>
      </c>
      <c r="S43" s="89" t="s">
        <v>146</v>
      </c>
      <c r="T43" s="90" t="s">
        <v>147</v>
      </c>
      <c r="U43" s="90" t="s">
        <v>149</v>
      </c>
      <c r="V43" s="90"/>
      <c r="W43" s="90"/>
      <c r="X43" s="90"/>
      <c r="Y43" s="90"/>
      <c r="Z43" s="90"/>
      <c r="AA43" s="90"/>
      <c r="AB43" s="15"/>
      <c r="AM43" s="15"/>
    </row>
    <row r="44" ht="15.75" customHeight="1">
      <c r="C44" s="15"/>
      <c r="F44" s="15"/>
      <c r="G44" s="90" t="s">
        <v>154</v>
      </c>
      <c r="H44" s="94"/>
      <c r="I44" s="95">
        <v>1.0</v>
      </c>
      <c r="J44" s="95">
        <v>3.76</v>
      </c>
      <c r="K44" s="95">
        <v>1.75</v>
      </c>
      <c r="L44" s="94" t="s">
        <v>197</v>
      </c>
      <c r="M44" s="102" t="s">
        <v>156</v>
      </c>
      <c r="N44" s="95"/>
      <c r="O44" s="95"/>
      <c r="P44" s="95"/>
      <c r="Q44" s="15"/>
      <c r="R44" s="90" t="s">
        <v>154</v>
      </c>
      <c r="S44" s="94"/>
      <c r="T44" s="95">
        <v>1.0</v>
      </c>
      <c r="U44" s="95">
        <v>1.9</v>
      </c>
      <c r="V44" s="95"/>
      <c r="W44" s="95"/>
      <c r="X44" s="95"/>
      <c r="Y44" s="95"/>
      <c r="Z44" s="95"/>
      <c r="AA44" s="95"/>
      <c r="AB44" s="15"/>
      <c r="AM44" s="15"/>
    </row>
    <row r="45" ht="15.75" customHeight="1">
      <c r="C45" s="15"/>
      <c r="F45" s="15"/>
      <c r="G45" s="90" t="s">
        <v>158</v>
      </c>
      <c r="H45" s="90" t="s">
        <v>99</v>
      </c>
      <c r="I45" s="90" t="s">
        <v>99</v>
      </c>
      <c r="J45" s="90" t="s">
        <v>99</v>
      </c>
      <c r="K45" s="90" t="s">
        <v>99</v>
      </c>
      <c r="L45" s="97" t="s">
        <v>198</v>
      </c>
      <c r="M45" s="116"/>
      <c r="N45" s="90"/>
      <c r="O45" s="90"/>
      <c r="P45" s="90"/>
      <c r="Q45" s="15"/>
      <c r="R45" s="90" t="s">
        <v>158</v>
      </c>
      <c r="S45" s="90" t="s">
        <v>99</v>
      </c>
      <c r="T45" s="90" t="s">
        <v>99</v>
      </c>
      <c r="U45" s="90" t="s">
        <v>99</v>
      </c>
      <c r="V45" s="90"/>
      <c r="W45" s="90"/>
      <c r="X45" s="90"/>
      <c r="Y45" s="90"/>
      <c r="Z45" s="90"/>
      <c r="AA45" s="90"/>
      <c r="AB45" s="15"/>
      <c r="AM45" s="15"/>
    </row>
    <row r="46" ht="15.75" customHeight="1">
      <c r="C46" s="15"/>
      <c r="F46" s="15"/>
      <c r="G46" s="100" t="s">
        <v>162</v>
      </c>
      <c r="H46" s="90">
        <v>0.0</v>
      </c>
      <c r="I46" s="101">
        <f t="shared" ref="I46:K46" si="50">($G$43*I$44)+$H46</f>
        <v>12</v>
      </c>
      <c r="J46" s="101">
        <f t="shared" si="50"/>
        <v>45.12</v>
      </c>
      <c r="K46" s="101">
        <f t="shared" si="50"/>
        <v>21</v>
      </c>
      <c r="L46" s="90">
        <f>40*A11</f>
        <v>40</v>
      </c>
      <c r="M46" s="102">
        <v>25.0</v>
      </c>
      <c r="N46" s="90"/>
      <c r="O46" s="90"/>
      <c r="P46" s="90"/>
      <c r="Q46" s="15"/>
      <c r="R46" s="100" t="s">
        <v>162</v>
      </c>
      <c r="S46" s="90">
        <v>0.0</v>
      </c>
      <c r="T46" s="101">
        <f t="shared" ref="T46:U46" si="51">($R$43*T$44)+$S46</f>
        <v>9</v>
      </c>
      <c r="U46" s="101">
        <f t="shared" si="51"/>
        <v>17.1</v>
      </c>
      <c r="V46" s="90"/>
      <c r="W46" s="90"/>
      <c r="X46" s="90"/>
      <c r="Y46" s="90"/>
      <c r="Z46" s="90"/>
      <c r="AA46" s="90"/>
      <c r="AB46" s="15"/>
      <c r="AM46" s="15"/>
    </row>
    <row r="47" ht="15.75" customHeight="1">
      <c r="C47" s="15"/>
      <c r="F47" s="15"/>
      <c r="G47" s="105" t="s">
        <v>165</v>
      </c>
      <c r="H47" s="106">
        <f>$E$4</f>
        <v>40</v>
      </c>
      <c r="I47" s="106">
        <f t="shared" ref="I47:K47" si="52">($G$43*I$44)+$H47</f>
        <v>52</v>
      </c>
      <c r="J47" s="106">
        <f t="shared" si="52"/>
        <v>85.12</v>
      </c>
      <c r="K47" s="106">
        <f t="shared" si="52"/>
        <v>61</v>
      </c>
      <c r="L47" s="106">
        <f>L46+$E$4</f>
        <v>80</v>
      </c>
      <c r="M47" s="102">
        <v>40.0</v>
      </c>
      <c r="N47" s="90"/>
      <c r="O47" s="90"/>
      <c r="P47" s="90"/>
      <c r="Q47" s="15"/>
      <c r="R47" s="105" t="s">
        <v>165</v>
      </c>
      <c r="S47" s="106">
        <f>$E$4</f>
        <v>40</v>
      </c>
      <c r="T47" s="106">
        <f t="shared" ref="T47:U47" si="53">($R$43*T$44)+$S47</f>
        <v>49</v>
      </c>
      <c r="U47" s="106">
        <f t="shared" si="53"/>
        <v>57.1</v>
      </c>
      <c r="V47" s="90"/>
      <c r="W47" s="90"/>
      <c r="X47" s="90"/>
      <c r="Y47" s="90"/>
      <c r="Z47" s="90"/>
      <c r="AA47" s="90"/>
      <c r="AB47" s="15"/>
      <c r="AM47" s="15"/>
    </row>
    <row r="48" ht="15.75" customHeight="1">
      <c r="C48" s="15"/>
      <c r="F48" s="15"/>
      <c r="G48" s="108" t="s">
        <v>167</v>
      </c>
      <c r="H48" s="106">
        <f>$E$6</f>
        <v>36</v>
      </c>
      <c r="I48" s="106">
        <f t="shared" ref="I48:K48" si="54">($G$43*I$44)+$H48</f>
        <v>48</v>
      </c>
      <c r="J48" s="106">
        <f t="shared" si="54"/>
        <v>81.12</v>
      </c>
      <c r="K48" s="106">
        <f t="shared" si="54"/>
        <v>57</v>
      </c>
      <c r="L48" s="106">
        <f>L46+$E$6</f>
        <v>76</v>
      </c>
      <c r="M48" s="102">
        <v>43.0</v>
      </c>
      <c r="N48" s="109"/>
      <c r="O48" s="109"/>
      <c r="P48" s="109"/>
      <c r="Q48" s="15"/>
      <c r="R48" s="108" t="s">
        <v>167</v>
      </c>
      <c r="S48" s="103">
        <f>$E$16</f>
        <v>12</v>
      </c>
      <c r="T48" s="103">
        <f t="shared" ref="T48:U48" si="55">($R$43*T$44)+$S48</f>
        <v>21</v>
      </c>
      <c r="U48" s="103">
        <f t="shared" si="55"/>
        <v>29.1</v>
      </c>
      <c r="V48" s="90"/>
      <c r="W48" s="90"/>
      <c r="X48" s="90"/>
      <c r="Y48" s="90"/>
      <c r="Z48" s="90"/>
      <c r="AA48" s="90"/>
      <c r="AB48" s="15"/>
      <c r="AM48" s="15"/>
    </row>
    <row r="49" ht="15.75" customHeight="1">
      <c r="C49" s="15"/>
      <c r="F49" s="15"/>
      <c r="G49" s="111" t="s">
        <v>123</v>
      </c>
      <c r="H49" s="106">
        <f>$E$5</f>
        <v>24</v>
      </c>
      <c r="I49" s="106">
        <f t="shared" ref="I49:K49" si="56">($G$43*I$44)+$H49</f>
        <v>36</v>
      </c>
      <c r="J49" s="106">
        <f t="shared" si="56"/>
        <v>69.12</v>
      </c>
      <c r="K49" s="106">
        <f t="shared" si="56"/>
        <v>45</v>
      </c>
      <c r="L49" s="106">
        <f>L46+$E$5</f>
        <v>64</v>
      </c>
      <c r="M49" s="102">
        <v>46.0</v>
      </c>
      <c r="N49" s="109"/>
      <c r="O49" s="109"/>
      <c r="P49" s="109"/>
      <c r="Q49" s="15"/>
      <c r="R49" s="111" t="s">
        <v>123</v>
      </c>
      <c r="S49" s="90">
        <v>0.0</v>
      </c>
      <c r="T49" s="101">
        <f t="shared" ref="T49:U49" si="57">($R$43*T$44)+$S49</f>
        <v>9</v>
      </c>
      <c r="U49" s="101">
        <f t="shared" si="57"/>
        <v>17.1</v>
      </c>
      <c r="V49" s="90"/>
      <c r="W49" s="90"/>
      <c r="X49" s="90"/>
      <c r="Y49" s="90"/>
      <c r="Z49" s="90"/>
      <c r="AA49" s="90"/>
      <c r="AB49" s="15"/>
      <c r="AM49" s="15"/>
    </row>
    <row r="50" ht="15.75" customHeight="1">
      <c r="C50" s="15"/>
      <c r="F50" s="15"/>
      <c r="Q50" s="15"/>
      <c r="AB50" s="15"/>
      <c r="AM50" s="15"/>
    </row>
    <row r="51" ht="15.75" customHeight="1">
      <c r="C51" s="15"/>
      <c r="F51" s="15"/>
      <c r="Q51" s="15"/>
      <c r="AB51" s="15"/>
      <c r="AM51" s="15"/>
    </row>
    <row r="52" ht="15.75" customHeight="1">
      <c r="C52" s="15"/>
      <c r="F52" s="15"/>
      <c r="G52" s="16" t="s">
        <v>120</v>
      </c>
      <c r="Q52" s="15"/>
      <c r="R52" s="16" t="s">
        <v>117</v>
      </c>
      <c r="AB52" s="15"/>
      <c r="AM52" s="15"/>
    </row>
    <row r="53" ht="15.75" customHeight="1">
      <c r="C53" s="15"/>
      <c r="F53" s="15"/>
      <c r="G53" s="88">
        <f>'BeastFauna Adventurer Calculato'!W20*$A$11</f>
        <v>8</v>
      </c>
      <c r="H53" s="89" t="s">
        <v>146</v>
      </c>
      <c r="I53" s="90" t="s">
        <v>147</v>
      </c>
      <c r="J53" s="90" t="s">
        <v>148</v>
      </c>
      <c r="K53" s="90" t="s">
        <v>149</v>
      </c>
      <c r="L53" s="102" t="s">
        <v>151</v>
      </c>
      <c r="M53" s="90"/>
      <c r="N53" s="90"/>
      <c r="O53" s="90"/>
      <c r="P53" s="90"/>
      <c r="Q53" s="15"/>
      <c r="R53" s="92">
        <f>'BeastFauna Adventurer Calculato'!W17</f>
        <v>7</v>
      </c>
      <c r="S53" s="89" t="s">
        <v>146</v>
      </c>
      <c r="T53" s="90" t="s">
        <v>147</v>
      </c>
      <c r="U53" s="90" t="s">
        <v>148</v>
      </c>
      <c r="V53" s="90" t="s">
        <v>149</v>
      </c>
      <c r="W53" s="90" t="s">
        <v>199</v>
      </c>
      <c r="X53" s="90"/>
      <c r="Y53" s="90"/>
      <c r="Z53" s="90"/>
      <c r="AA53" s="90"/>
      <c r="AB53" s="15"/>
      <c r="AM53" s="15"/>
    </row>
    <row r="54" ht="15.75" customHeight="1">
      <c r="C54" s="15"/>
      <c r="F54" s="15"/>
      <c r="G54" s="90" t="s">
        <v>154</v>
      </c>
      <c r="H54" s="94"/>
      <c r="I54" s="95">
        <v>1.0</v>
      </c>
      <c r="J54" s="95">
        <v>4.12</v>
      </c>
      <c r="K54" s="95">
        <v>1.85</v>
      </c>
      <c r="L54" s="102" t="s">
        <v>175</v>
      </c>
      <c r="M54" s="95"/>
      <c r="N54" s="95"/>
      <c r="O54" s="95"/>
      <c r="P54" s="95"/>
      <c r="Q54" s="15"/>
      <c r="R54" s="90" t="s">
        <v>154</v>
      </c>
      <c r="S54" s="94"/>
      <c r="T54" s="95">
        <v>1.0</v>
      </c>
      <c r="U54" s="95">
        <v>3.76</v>
      </c>
      <c r="V54" s="95">
        <v>1.75</v>
      </c>
      <c r="W54" s="94" t="s">
        <v>200</v>
      </c>
      <c r="X54" s="95"/>
      <c r="Y54" s="95"/>
      <c r="Z54" s="95"/>
      <c r="AA54" s="95"/>
      <c r="AB54" s="15"/>
      <c r="AM54" s="15"/>
    </row>
    <row r="55" ht="15.75" customHeight="1">
      <c r="C55" s="15"/>
      <c r="F55" s="15"/>
      <c r="G55" s="90" t="s">
        <v>158</v>
      </c>
      <c r="H55" s="90" t="s">
        <v>99</v>
      </c>
      <c r="I55" s="90" t="s">
        <v>99</v>
      </c>
      <c r="J55" s="90" t="s">
        <v>99</v>
      </c>
      <c r="K55" s="90" t="s">
        <v>99</v>
      </c>
      <c r="L55" s="116"/>
      <c r="M55" s="90"/>
      <c r="N55" s="90"/>
      <c r="O55" s="90"/>
      <c r="P55" s="90"/>
      <c r="Q55" s="15"/>
      <c r="R55" s="90" t="s">
        <v>158</v>
      </c>
      <c r="S55" s="90" t="s">
        <v>99</v>
      </c>
      <c r="T55" s="90" t="s">
        <v>99</v>
      </c>
      <c r="U55" s="90" t="s">
        <v>99</v>
      </c>
      <c r="V55" s="90" t="s">
        <v>99</v>
      </c>
      <c r="W55" s="97" t="s">
        <v>201</v>
      </c>
      <c r="X55" s="90"/>
      <c r="Y55" s="90"/>
      <c r="Z55" s="90"/>
      <c r="AA55" s="90"/>
      <c r="AB55" s="15"/>
      <c r="AM55" s="15"/>
    </row>
    <row r="56" ht="15.75" customHeight="1">
      <c r="C56" s="15"/>
      <c r="F56" s="15"/>
      <c r="G56" s="100" t="s">
        <v>162</v>
      </c>
      <c r="H56" s="103">
        <f>$E$14</f>
        <v>24</v>
      </c>
      <c r="I56" s="103">
        <f t="shared" ref="I56:K56" si="58">($G$53*I$54)+$H56</f>
        <v>32</v>
      </c>
      <c r="J56" s="103">
        <f t="shared" si="58"/>
        <v>56.96</v>
      </c>
      <c r="K56" s="103">
        <f t="shared" si="58"/>
        <v>38.8</v>
      </c>
      <c r="L56" s="102">
        <v>110.0</v>
      </c>
      <c r="M56" s="90"/>
      <c r="N56" s="90"/>
      <c r="O56" s="90"/>
      <c r="P56" s="90"/>
      <c r="Q56" s="15"/>
      <c r="R56" s="100" t="s">
        <v>162</v>
      </c>
      <c r="S56" s="90">
        <v>0.0</v>
      </c>
      <c r="T56" s="101">
        <f t="shared" ref="T56:V56" si="59">($R$53*T$54)+$S56</f>
        <v>7</v>
      </c>
      <c r="U56" s="101">
        <f t="shared" si="59"/>
        <v>26.32</v>
      </c>
      <c r="V56" s="101">
        <f t="shared" si="59"/>
        <v>12.25</v>
      </c>
      <c r="W56" s="90">
        <f>15*A11</f>
        <v>15</v>
      </c>
      <c r="X56" s="90"/>
      <c r="Y56" s="90"/>
      <c r="Z56" s="90"/>
      <c r="AA56" s="90"/>
      <c r="AB56" s="15"/>
      <c r="AM56" s="15"/>
    </row>
    <row r="57" ht="15.75" customHeight="1">
      <c r="C57" s="15"/>
      <c r="F57" s="15"/>
      <c r="G57" s="105" t="s">
        <v>165</v>
      </c>
      <c r="H57" s="103">
        <f>$E$15</f>
        <v>36</v>
      </c>
      <c r="I57" s="103">
        <f t="shared" ref="I57:K57" si="60">($G$53*I$54)+$H57</f>
        <v>44</v>
      </c>
      <c r="J57" s="103">
        <f t="shared" si="60"/>
        <v>68.96</v>
      </c>
      <c r="K57" s="103">
        <f t="shared" si="60"/>
        <v>50.8</v>
      </c>
      <c r="L57" s="102">
        <v>120.0</v>
      </c>
      <c r="M57" s="109"/>
      <c r="N57" s="90"/>
      <c r="O57" s="90"/>
      <c r="P57" s="90"/>
      <c r="Q57" s="15"/>
      <c r="R57" s="105" t="s">
        <v>165</v>
      </c>
      <c r="S57" s="106">
        <f>$E$4</f>
        <v>40</v>
      </c>
      <c r="T57" s="106">
        <f t="shared" ref="T57:V57" si="61">($R$53*T$54)+$S57</f>
        <v>47</v>
      </c>
      <c r="U57" s="106">
        <f t="shared" si="61"/>
        <v>66.32</v>
      </c>
      <c r="V57" s="106">
        <f t="shared" si="61"/>
        <v>52.25</v>
      </c>
      <c r="W57" s="106">
        <f>W56+$E$4</f>
        <v>55</v>
      </c>
      <c r="X57" s="90"/>
      <c r="Y57" s="90"/>
      <c r="Z57" s="90"/>
      <c r="AA57" s="90"/>
      <c r="AB57" s="15"/>
      <c r="AM57" s="15"/>
    </row>
    <row r="58" ht="15.75" customHeight="1">
      <c r="C58" s="15"/>
      <c r="F58" s="15"/>
      <c r="G58" s="108" t="s">
        <v>167</v>
      </c>
      <c r="H58" s="103">
        <f>$E$16</f>
        <v>12</v>
      </c>
      <c r="I58" s="103">
        <f t="shared" ref="I58:K58" si="62">($G$53*I$54)+$H58</f>
        <v>20</v>
      </c>
      <c r="J58" s="103">
        <f t="shared" si="62"/>
        <v>44.96</v>
      </c>
      <c r="K58" s="103">
        <f t="shared" si="62"/>
        <v>26.8</v>
      </c>
      <c r="L58" s="102">
        <v>90.0</v>
      </c>
      <c r="M58" s="109"/>
      <c r="N58" s="109"/>
      <c r="O58" s="109"/>
      <c r="P58" s="109"/>
      <c r="Q58" s="15"/>
      <c r="R58" s="108" t="s">
        <v>167</v>
      </c>
      <c r="S58" s="106">
        <f>$E$6</f>
        <v>36</v>
      </c>
      <c r="T58" s="106">
        <f t="shared" ref="T58:V58" si="63">($R$53*T$54)+$S58</f>
        <v>43</v>
      </c>
      <c r="U58" s="106">
        <f t="shared" si="63"/>
        <v>62.32</v>
      </c>
      <c r="V58" s="106">
        <f t="shared" si="63"/>
        <v>48.25</v>
      </c>
      <c r="W58" s="106">
        <f>W56+$E$6</f>
        <v>51</v>
      </c>
      <c r="X58" s="90"/>
      <c r="Y58" s="90"/>
      <c r="Z58" s="90"/>
      <c r="AA58" s="90"/>
      <c r="AB58" s="15"/>
      <c r="AM58" s="15"/>
    </row>
    <row r="59" ht="15.75" customHeight="1">
      <c r="C59" s="15"/>
      <c r="F59" s="15"/>
      <c r="G59" s="111" t="s">
        <v>123</v>
      </c>
      <c r="H59" s="90">
        <v>0.0</v>
      </c>
      <c r="I59" s="101">
        <f t="shared" ref="I59:K59" si="64">($G$53*I$54)+$H59</f>
        <v>8</v>
      </c>
      <c r="J59" s="101">
        <f t="shared" si="64"/>
        <v>32.96</v>
      </c>
      <c r="K59" s="101">
        <f t="shared" si="64"/>
        <v>14.8</v>
      </c>
      <c r="L59" s="102">
        <v>80.0</v>
      </c>
      <c r="M59" s="90"/>
      <c r="N59" s="109"/>
      <c r="O59" s="109"/>
      <c r="P59" s="109"/>
      <c r="Q59" s="15"/>
      <c r="R59" s="111" t="s">
        <v>123</v>
      </c>
      <c r="S59" s="106">
        <f>$E$5</f>
        <v>24</v>
      </c>
      <c r="T59" s="106">
        <f t="shared" ref="T59:V59" si="65">($R$53*T$54)+$S59</f>
        <v>31</v>
      </c>
      <c r="U59" s="106">
        <f t="shared" si="65"/>
        <v>50.32</v>
      </c>
      <c r="V59" s="106">
        <f t="shared" si="65"/>
        <v>36.25</v>
      </c>
      <c r="W59" s="106">
        <f>W56+$E$5</f>
        <v>39</v>
      </c>
      <c r="X59" s="90"/>
      <c r="Y59" s="90"/>
      <c r="Z59" s="90"/>
      <c r="AA59" s="90"/>
      <c r="AB59" s="15"/>
      <c r="AM59" s="15"/>
    </row>
    <row r="60" ht="15.75" customHeight="1">
      <c r="C60" s="15"/>
      <c r="F60" s="15"/>
      <c r="Q60" s="15"/>
      <c r="AB60" s="15"/>
      <c r="AM60" s="15"/>
    </row>
    <row r="61" ht="15.75" customHeight="1">
      <c r="C61" s="15"/>
      <c r="F61" s="15"/>
      <c r="Q61" s="15"/>
      <c r="AB61" s="15"/>
      <c r="AM61" s="15"/>
    </row>
    <row r="62" ht="15.75" customHeight="1">
      <c r="C62" s="15"/>
      <c r="F62" s="15"/>
      <c r="G62" s="16" t="s">
        <v>136</v>
      </c>
      <c r="Q62" s="15"/>
      <c r="R62" s="16" t="s">
        <v>125</v>
      </c>
      <c r="AB62" s="15"/>
      <c r="AM62" s="15"/>
    </row>
    <row r="63" ht="15.75" customHeight="1">
      <c r="C63" s="15"/>
      <c r="F63" s="15"/>
      <c r="G63" s="88">
        <f>'BeastFauna Adventurer Calculato'!W36*$A$11</f>
        <v>20</v>
      </c>
      <c r="H63" s="89" t="s">
        <v>146</v>
      </c>
      <c r="I63" s="90" t="s">
        <v>149</v>
      </c>
      <c r="J63" s="90"/>
      <c r="K63" s="90"/>
      <c r="L63" s="90"/>
      <c r="M63" s="90"/>
      <c r="N63" s="90"/>
      <c r="O63" s="90"/>
      <c r="P63" s="90"/>
      <c r="Q63" s="15"/>
      <c r="R63" s="92">
        <f>'BeastFauna Adventurer Calculato'!W25</f>
        <v>9</v>
      </c>
      <c r="S63" s="89" t="s">
        <v>146</v>
      </c>
      <c r="T63" s="90" t="s">
        <v>147</v>
      </c>
      <c r="U63" s="90" t="s">
        <v>148</v>
      </c>
      <c r="V63" s="90" t="s">
        <v>149</v>
      </c>
      <c r="W63" s="102" t="s">
        <v>151</v>
      </c>
      <c r="X63" s="90"/>
      <c r="Y63" s="90"/>
      <c r="Z63" s="90"/>
      <c r="AA63" s="90"/>
      <c r="AB63" s="15"/>
      <c r="AM63" s="15"/>
    </row>
    <row r="64" ht="15.75" customHeight="1">
      <c r="C64" s="15"/>
      <c r="F64" s="15"/>
      <c r="G64" s="90" t="s">
        <v>154</v>
      </c>
      <c r="H64" s="94"/>
      <c r="I64" s="95">
        <v>1.0</v>
      </c>
      <c r="J64" s="95"/>
      <c r="K64" s="95"/>
      <c r="L64" s="95"/>
      <c r="M64" s="95"/>
      <c r="N64" s="95"/>
      <c r="O64" s="95"/>
      <c r="P64" s="95"/>
      <c r="Q64" s="15"/>
      <c r="R64" s="90" t="s">
        <v>154</v>
      </c>
      <c r="S64" s="94"/>
      <c r="T64" s="95">
        <v>1.0</v>
      </c>
      <c r="U64" s="95">
        <v>2.1</v>
      </c>
      <c r="V64" s="95">
        <v>2.35</v>
      </c>
      <c r="W64" s="102" t="s">
        <v>156</v>
      </c>
      <c r="X64" s="95"/>
      <c r="Y64" s="95"/>
      <c r="Z64" s="95"/>
      <c r="AA64" s="95"/>
      <c r="AB64" s="15"/>
      <c r="AM64" s="15"/>
    </row>
    <row r="65" ht="15.75" customHeight="1">
      <c r="C65" s="15"/>
      <c r="F65" s="15"/>
      <c r="G65" s="90" t="s">
        <v>158</v>
      </c>
      <c r="H65" s="90" t="s">
        <v>99</v>
      </c>
      <c r="I65" s="90" t="s">
        <v>99</v>
      </c>
      <c r="J65" s="90"/>
      <c r="K65" s="90"/>
      <c r="L65" s="90"/>
      <c r="M65" s="90"/>
      <c r="N65" s="90"/>
      <c r="O65" s="90"/>
      <c r="P65" s="90"/>
      <c r="Q65" s="15"/>
      <c r="R65" s="90" t="s">
        <v>158</v>
      </c>
      <c r="S65" s="90" t="s">
        <v>99</v>
      </c>
      <c r="T65" s="90" t="s">
        <v>99</v>
      </c>
      <c r="U65" s="90" t="s">
        <v>99</v>
      </c>
      <c r="V65" s="90" t="s">
        <v>99</v>
      </c>
      <c r="W65" s="102"/>
      <c r="X65" s="90"/>
      <c r="Y65" s="90"/>
      <c r="Z65" s="90"/>
      <c r="AA65" s="90"/>
      <c r="AB65" s="15"/>
      <c r="AM65" s="15"/>
    </row>
    <row r="66" ht="15.75" customHeight="1">
      <c r="C66" s="15"/>
      <c r="F66" s="15"/>
      <c r="G66" s="100" t="s">
        <v>162</v>
      </c>
      <c r="H66" s="90">
        <v>0.0</v>
      </c>
      <c r="I66" s="101">
        <f t="shared" ref="I66:I69" si="67">($G$63*I$64)+$H66</f>
        <v>20</v>
      </c>
      <c r="J66" s="90"/>
      <c r="K66" s="90"/>
      <c r="L66" s="90"/>
      <c r="M66" s="90"/>
      <c r="N66" s="90"/>
      <c r="O66" s="90"/>
      <c r="P66" s="90"/>
      <c r="Q66" s="15"/>
      <c r="R66" s="100" t="s">
        <v>162</v>
      </c>
      <c r="S66" s="117">
        <f>$E$9</f>
        <v>40</v>
      </c>
      <c r="T66" s="117">
        <f t="shared" ref="T66:V66" si="66">($R$63*T$64)+$S66</f>
        <v>49</v>
      </c>
      <c r="U66" s="117">
        <f t="shared" si="66"/>
        <v>58.9</v>
      </c>
      <c r="V66" s="117">
        <f t="shared" si="66"/>
        <v>61.15</v>
      </c>
      <c r="W66" s="102">
        <v>115.0</v>
      </c>
      <c r="X66" s="90"/>
      <c r="Y66" s="90"/>
      <c r="Z66" s="90"/>
      <c r="AA66" s="90"/>
      <c r="AB66" s="15"/>
      <c r="AM66" s="15"/>
    </row>
    <row r="67" ht="15.75" customHeight="1">
      <c r="C67" s="15"/>
      <c r="F67" s="15"/>
      <c r="G67" s="105" t="s">
        <v>165</v>
      </c>
      <c r="H67" s="106">
        <f>$E$4</f>
        <v>40</v>
      </c>
      <c r="I67" s="106">
        <f t="shared" si="67"/>
        <v>60</v>
      </c>
      <c r="J67" s="90"/>
      <c r="K67" s="90"/>
      <c r="L67" s="90"/>
      <c r="M67" s="90"/>
      <c r="N67" s="90"/>
      <c r="O67" s="90"/>
      <c r="P67" s="90"/>
      <c r="Q67" s="15"/>
      <c r="R67" s="105" t="s">
        <v>165</v>
      </c>
      <c r="S67" s="90">
        <v>0.0</v>
      </c>
      <c r="T67" s="101">
        <f t="shared" ref="T67:V67" si="68">($R$63*T$64)+$S67</f>
        <v>9</v>
      </c>
      <c r="U67" s="101">
        <f t="shared" si="68"/>
        <v>18.9</v>
      </c>
      <c r="V67" s="101">
        <f t="shared" si="68"/>
        <v>21.15</v>
      </c>
      <c r="W67" s="102">
        <v>100.0</v>
      </c>
      <c r="X67" s="90"/>
      <c r="Y67" s="90"/>
      <c r="Z67" s="90"/>
      <c r="AA67" s="90"/>
      <c r="AB67" s="15"/>
      <c r="AM67" s="15"/>
    </row>
    <row r="68" ht="15.75" customHeight="1">
      <c r="C68" s="15"/>
      <c r="F68" s="15"/>
      <c r="G68" s="108" t="s">
        <v>167</v>
      </c>
      <c r="H68" s="103">
        <f>$E$16</f>
        <v>12</v>
      </c>
      <c r="I68" s="103">
        <f t="shared" si="67"/>
        <v>32</v>
      </c>
      <c r="J68" s="109"/>
      <c r="K68" s="109"/>
      <c r="L68" s="109"/>
      <c r="M68" s="109"/>
      <c r="N68" s="109"/>
      <c r="O68" s="109"/>
      <c r="P68" s="109"/>
      <c r="Q68" s="15"/>
      <c r="R68" s="108" t="s">
        <v>167</v>
      </c>
      <c r="S68" s="117">
        <f>$E$11</f>
        <v>48</v>
      </c>
      <c r="T68" s="117">
        <f t="shared" ref="T68:V68" si="69">($R$63*T$64)+$S68</f>
        <v>57</v>
      </c>
      <c r="U68" s="117">
        <f t="shared" si="69"/>
        <v>66.9</v>
      </c>
      <c r="V68" s="117">
        <f t="shared" si="69"/>
        <v>69.15</v>
      </c>
      <c r="W68" s="102">
        <v>120.0</v>
      </c>
      <c r="X68" s="90"/>
      <c r="Y68" s="90"/>
      <c r="Z68" s="90"/>
      <c r="AA68" s="90"/>
      <c r="AB68" s="15"/>
      <c r="AM68" s="15"/>
    </row>
    <row r="69" ht="15.75" customHeight="1">
      <c r="C69" s="15"/>
      <c r="F69" s="15"/>
      <c r="G69" s="111" t="s">
        <v>123</v>
      </c>
      <c r="H69" s="90">
        <v>0.0</v>
      </c>
      <c r="I69" s="101">
        <f t="shared" si="67"/>
        <v>20</v>
      </c>
      <c r="J69" s="109"/>
      <c r="K69" s="109"/>
      <c r="L69" s="109"/>
      <c r="M69" s="109"/>
      <c r="N69" s="109"/>
      <c r="O69" s="109"/>
      <c r="P69" s="109"/>
      <c r="Q69" s="15"/>
      <c r="R69" s="111" t="s">
        <v>123</v>
      </c>
      <c r="S69" s="117">
        <f>$E$10</f>
        <v>36</v>
      </c>
      <c r="T69" s="117">
        <f t="shared" ref="T69:V69" si="70">($R$63*T$64)+$S69</f>
        <v>45</v>
      </c>
      <c r="U69" s="117">
        <f t="shared" si="70"/>
        <v>54.9</v>
      </c>
      <c r="V69" s="117">
        <f t="shared" si="70"/>
        <v>57.15</v>
      </c>
      <c r="W69" s="102">
        <v>125.0</v>
      </c>
      <c r="X69" s="90"/>
      <c r="Y69" s="90"/>
      <c r="Z69" s="90"/>
      <c r="AA69" s="90"/>
      <c r="AB69" s="15"/>
      <c r="AM69" s="15"/>
    </row>
    <row r="70" ht="15.75" customHeight="1">
      <c r="C70" s="15"/>
      <c r="F70" s="15"/>
      <c r="Q70" s="15"/>
      <c r="AB70" s="15"/>
      <c r="AM70" s="15"/>
    </row>
    <row r="71" ht="15.75" customHeight="1">
      <c r="C71" s="15"/>
      <c r="F71" s="15"/>
      <c r="Q71" s="15"/>
      <c r="AB71" s="15"/>
      <c r="AM71" s="15"/>
    </row>
    <row r="72" ht="15.75" customHeight="1">
      <c r="C72" s="15"/>
      <c r="F72" s="15"/>
      <c r="G72" s="16" t="s">
        <v>202</v>
      </c>
      <c r="Q72" s="15"/>
      <c r="AB72" s="15"/>
      <c r="AM72" s="15"/>
    </row>
    <row r="73" ht="15.75" customHeight="1">
      <c r="C73" s="15"/>
      <c r="F73" s="15"/>
      <c r="G73" s="88">
        <f>'BeastFauna Adventurer Calculato'!W37*$A$11</f>
        <v>5</v>
      </c>
      <c r="H73" s="89" t="s">
        <v>146</v>
      </c>
      <c r="I73" s="90" t="s">
        <v>149</v>
      </c>
      <c r="J73" s="90"/>
      <c r="K73" s="90"/>
      <c r="L73" s="90"/>
      <c r="M73" s="90"/>
      <c r="N73" s="90"/>
      <c r="O73" s="90"/>
      <c r="P73" s="90"/>
      <c r="Q73" s="15"/>
      <c r="AB73" s="15"/>
      <c r="AM73" s="15"/>
    </row>
    <row r="74" ht="15.75" customHeight="1">
      <c r="C74" s="15"/>
      <c r="F74" s="15"/>
      <c r="G74" s="90" t="s">
        <v>154</v>
      </c>
      <c r="H74" s="94"/>
      <c r="I74" s="95">
        <v>1.0</v>
      </c>
      <c r="J74" s="95"/>
      <c r="K74" s="95"/>
      <c r="L74" s="95"/>
      <c r="M74" s="95"/>
      <c r="N74" s="95"/>
      <c r="O74" s="95"/>
      <c r="P74" s="95"/>
      <c r="Q74" s="15"/>
      <c r="AB74" s="15"/>
      <c r="AM74" s="15"/>
    </row>
    <row r="75" ht="15.75" customHeight="1">
      <c r="C75" s="15"/>
      <c r="F75" s="15"/>
      <c r="G75" s="90" t="s">
        <v>158</v>
      </c>
      <c r="H75" s="90" t="s">
        <v>99</v>
      </c>
      <c r="I75" s="90" t="s">
        <v>99</v>
      </c>
      <c r="J75" s="90"/>
      <c r="K75" s="90"/>
      <c r="L75" s="90"/>
      <c r="M75" s="90"/>
      <c r="N75" s="90"/>
      <c r="O75" s="90"/>
      <c r="P75" s="90"/>
      <c r="Q75" s="15"/>
      <c r="AB75" s="15"/>
      <c r="AM75" s="15"/>
    </row>
    <row r="76" ht="15.75" customHeight="1">
      <c r="C76" s="15"/>
      <c r="F76" s="15"/>
      <c r="G76" s="100" t="s">
        <v>162</v>
      </c>
      <c r="H76" s="90">
        <v>0.0</v>
      </c>
      <c r="I76" s="101">
        <f t="shared" ref="I76:I79" si="71">($G$73*I$74)+$H76</f>
        <v>5</v>
      </c>
      <c r="J76" s="90"/>
      <c r="K76" s="90"/>
      <c r="L76" s="90"/>
      <c r="M76" s="90"/>
      <c r="N76" s="90"/>
      <c r="O76" s="90"/>
      <c r="P76" s="90"/>
      <c r="Q76" s="15"/>
      <c r="AB76" s="15"/>
      <c r="AM76" s="15"/>
    </row>
    <row r="77" ht="15.75" customHeight="1">
      <c r="C77" s="15"/>
      <c r="F77" s="15"/>
      <c r="G77" s="105" t="s">
        <v>165</v>
      </c>
      <c r="H77" s="106">
        <f>$E$4</f>
        <v>40</v>
      </c>
      <c r="I77" s="106">
        <f t="shared" si="71"/>
        <v>45</v>
      </c>
      <c r="J77" s="90"/>
      <c r="K77" s="90"/>
      <c r="L77" s="90"/>
      <c r="M77" s="90"/>
      <c r="N77" s="90"/>
      <c r="O77" s="90"/>
      <c r="P77" s="90"/>
      <c r="Q77" s="15"/>
      <c r="AB77" s="15"/>
      <c r="AM77" s="15"/>
    </row>
    <row r="78" ht="15.75" customHeight="1">
      <c r="C78" s="15"/>
      <c r="F78" s="15"/>
      <c r="G78" s="108" t="s">
        <v>167</v>
      </c>
      <c r="H78" s="103">
        <f>$E$16</f>
        <v>12</v>
      </c>
      <c r="I78" s="103">
        <f t="shared" si="71"/>
        <v>17</v>
      </c>
      <c r="J78" s="109"/>
      <c r="K78" s="109"/>
      <c r="L78" s="109"/>
      <c r="M78" s="109"/>
      <c r="N78" s="109"/>
      <c r="O78" s="109"/>
      <c r="P78" s="109"/>
      <c r="Q78" s="15"/>
      <c r="AB78" s="15"/>
      <c r="AM78" s="15"/>
    </row>
    <row r="79" ht="15.75" customHeight="1">
      <c r="C79" s="15"/>
      <c r="F79" s="15"/>
      <c r="G79" s="111" t="s">
        <v>123</v>
      </c>
      <c r="H79" s="90">
        <v>0.0</v>
      </c>
      <c r="I79" s="101">
        <f t="shared" si="71"/>
        <v>5</v>
      </c>
      <c r="J79" s="109"/>
      <c r="K79" s="109"/>
      <c r="L79" s="109"/>
      <c r="M79" s="109"/>
      <c r="N79" s="109"/>
      <c r="O79" s="109"/>
      <c r="P79" s="109"/>
      <c r="Q79" s="15"/>
      <c r="AB79" s="15"/>
      <c r="AM79" s="15"/>
    </row>
    <row r="80" ht="15.75" customHeight="1">
      <c r="C80" s="15"/>
      <c r="F80" s="15"/>
      <c r="Q80" s="15"/>
      <c r="AB80" s="15"/>
      <c r="AM80" s="15"/>
    </row>
    <row r="81" ht="15.75" customHeight="1">
      <c r="C81" s="15"/>
      <c r="F81" s="15"/>
      <c r="Q81" s="15"/>
      <c r="AB81" s="15"/>
      <c r="AM81" s="15"/>
    </row>
    <row r="82" ht="15.75" customHeight="1">
      <c r="C82" s="15"/>
      <c r="F82" s="15"/>
      <c r="Q82" s="15"/>
      <c r="AB82" s="15"/>
      <c r="AM82" s="15"/>
    </row>
    <row r="83" ht="15.75" customHeight="1">
      <c r="C83" s="15"/>
      <c r="F83" s="15"/>
      <c r="Q83" s="15"/>
      <c r="AB83" s="15"/>
      <c r="AM83" s="15"/>
    </row>
    <row r="84" ht="15.75" customHeight="1">
      <c r="C84" s="15"/>
      <c r="F84" s="15"/>
      <c r="Q84" s="15"/>
      <c r="AB84" s="15"/>
      <c r="AM84" s="15"/>
    </row>
    <row r="85" ht="15.75" customHeight="1">
      <c r="C85" s="15"/>
      <c r="F85" s="15"/>
      <c r="Q85" s="15"/>
      <c r="AB85" s="15"/>
      <c r="AM85" s="15"/>
    </row>
    <row r="86" ht="15.75" customHeight="1">
      <c r="C86" s="15"/>
      <c r="F86" s="15"/>
      <c r="Q86" s="15"/>
      <c r="AB86" s="15"/>
      <c r="AM86" s="15"/>
    </row>
    <row r="87" ht="15.75" customHeight="1">
      <c r="C87" s="15"/>
      <c r="F87" s="15"/>
      <c r="Q87" s="15"/>
      <c r="AB87" s="15"/>
      <c r="AM87" s="15"/>
    </row>
    <row r="88" ht="15.75" customHeight="1">
      <c r="C88" s="15"/>
      <c r="F88" s="15"/>
      <c r="Q88" s="15"/>
      <c r="AB88" s="15"/>
      <c r="AM88" s="15"/>
    </row>
    <row r="89" ht="15.75" customHeight="1">
      <c r="C89" s="15"/>
      <c r="F89" s="15"/>
      <c r="Q89" s="15"/>
      <c r="AB89" s="15"/>
      <c r="AM89" s="15"/>
    </row>
    <row r="90" ht="15.75" customHeight="1">
      <c r="C90" s="15"/>
      <c r="F90" s="15"/>
      <c r="Q90" s="15"/>
      <c r="AB90" s="15"/>
      <c r="AM90" s="15"/>
    </row>
    <row r="91" ht="15.75" customHeight="1">
      <c r="C91" s="15"/>
      <c r="F91" s="15"/>
      <c r="Q91" s="15"/>
      <c r="AB91" s="15"/>
      <c r="AM91" s="15"/>
    </row>
    <row r="92" ht="15.75" customHeight="1">
      <c r="C92" s="15"/>
      <c r="F92" s="15"/>
      <c r="Q92" s="15"/>
      <c r="AB92" s="15"/>
      <c r="AM92" s="15"/>
    </row>
    <row r="93" ht="15.75" customHeight="1">
      <c r="C93" s="15"/>
      <c r="F93" s="15"/>
      <c r="Q93" s="15"/>
      <c r="AB93" s="15"/>
      <c r="AM93" s="15"/>
    </row>
    <row r="94" ht="15.75" customHeight="1">
      <c r="C94" s="15"/>
      <c r="F94" s="15"/>
      <c r="Q94" s="15"/>
      <c r="AB94" s="15"/>
      <c r="AM94" s="15"/>
    </row>
    <row r="95" ht="15.75" customHeight="1">
      <c r="C95" s="15"/>
      <c r="F95" s="15"/>
      <c r="Q95" s="15"/>
      <c r="AB95" s="15"/>
      <c r="AM95" s="15"/>
    </row>
    <row r="96" ht="15.75" customHeight="1">
      <c r="C96" s="15"/>
      <c r="F96" s="15"/>
      <c r="Q96" s="15"/>
      <c r="AB96" s="15"/>
      <c r="AM96" s="15"/>
    </row>
    <row r="97" ht="15.75" customHeight="1">
      <c r="C97" s="15"/>
      <c r="F97" s="15"/>
      <c r="Q97" s="15"/>
      <c r="AB97" s="15"/>
      <c r="AM97" s="15"/>
    </row>
    <row r="98" ht="15.75" customHeight="1">
      <c r="C98" s="15"/>
      <c r="F98" s="15"/>
      <c r="Q98" s="15"/>
      <c r="AB98" s="15"/>
      <c r="AM98" s="15"/>
    </row>
    <row r="99" ht="15.75" customHeight="1">
      <c r="C99" s="15"/>
      <c r="F99" s="15"/>
      <c r="Q99" s="15"/>
      <c r="AB99" s="15"/>
      <c r="AM99" s="15"/>
    </row>
    <row r="100" ht="15.75" customHeight="1">
      <c r="C100" s="15"/>
      <c r="F100" s="15"/>
      <c r="Q100" s="15"/>
      <c r="AB100" s="15"/>
      <c r="AM100" s="15"/>
    </row>
    <row r="101" ht="15.75" customHeight="1">
      <c r="C101" s="15"/>
      <c r="F101" s="15"/>
      <c r="Q101" s="15"/>
      <c r="AB101" s="15"/>
      <c r="AM101" s="15"/>
    </row>
    <row r="102" ht="15.75" customHeight="1">
      <c r="C102" s="15"/>
      <c r="F102" s="15"/>
      <c r="Q102" s="15"/>
      <c r="AB102" s="15"/>
      <c r="AM102" s="15"/>
    </row>
    <row r="103" ht="15.75" customHeight="1">
      <c r="C103" s="15"/>
      <c r="F103" s="15"/>
      <c r="Q103" s="15"/>
      <c r="AB103" s="15"/>
      <c r="AM103" s="15"/>
    </row>
    <row r="104" ht="15.75" customHeight="1">
      <c r="C104" s="15"/>
      <c r="F104" s="15"/>
      <c r="Q104" s="15"/>
      <c r="AB104" s="15"/>
      <c r="AM104" s="15"/>
    </row>
    <row r="105" ht="15.75" customHeight="1">
      <c r="C105" s="15"/>
      <c r="F105" s="15"/>
      <c r="Q105" s="15"/>
      <c r="AB105" s="15"/>
      <c r="AM105" s="15"/>
    </row>
    <row r="106" ht="15.75" customHeight="1">
      <c r="C106" s="15"/>
      <c r="F106" s="15"/>
      <c r="Q106" s="15"/>
      <c r="AB106" s="15"/>
      <c r="AM106" s="15"/>
    </row>
    <row r="107" ht="15.75" customHeight="1">
      <c r="C107" s="15"/>
      <c r="F107" s="15"/>
      <c r="Q107" s="15"/>
      <c r="AB107" s="15"/>
      <c r="AM107" s="15"/>
    </row>
    <row r="108" ht="15.75" customHeight="1">
      <c r="C108" s="15"/>
      <c r="F108" s="15"/>
      <c r="Q108" s="15"/>
      <c r="AB108" s="15"/>
      <c r="AM108" s="15"/>
    </row>
    <row r="109" ht="15.75" customHeight="1">
      <c r="C109" s="15"/>
      <c r="F109" s="15"/>
      <c r="Q109" s="15"/>
      <c r="AB109" s="15"/>
      <c r="AM109" s="15"/>
    </row>
    <row r="110" ht="15.75" customHeight="1">
      <c r="C110" s="15"/>
      <c r="F110" s="15"/>
      <c r="Q110" s="15"/>
      <c r="AB110" s="15"/>
      <c r="AM110" s="15"/>
    </row>
    <row r="111" ht="15.75" customHeight="1">
      <c r="C111" s="15"/>
      <c r="F111" s="15"/>
      <c r="Q111" s="15"/>
      <c r="AB111" s="15"/>
      <c r="AM111" s="15"/>
    </row>
    <row r="112" ht="15.75" customHeight="1">
      <c r="C112" s="15"/>
      <c r="F112" s="15"/>
      <c r="Q112" s="15"/>
      <c r="AB112" s="15"/>
      <c r="AM112" s="15"/>
    </row>
    <row r="113" ht="15.75" customHeight="1">
      <c r="C113" s="15"/>
      <c r="F113" s="15"/>
      <c r="Q113" s="15"/>
      <c r="AB113" s="15"/>
      <c r="AM113" s="15"/>
    </row>
    <row r="114" ht="15.75" customHeight="1">
      <c r="C114" s="15"/>
      <c r="F114" s="15"/>
      <c r="Q114" s="15"/>
      <c r="AB114" s="15"/>
      <c r="AM114" s="15"/>
    </row>
    <row r="115" ht="15.75" customHeight="1">
      <c r="C115" s="15"/>
      <c r="F115" s="15"/>
      <c r="Q115" s="15"/>
      <c r="AB115" s="15"/>
      <c r="AM115" s="15"/>
    </row>
    <row r="116" ht="15.75" customHeight="1">
      <c r="C116" s="15"/>
      <c r="F116" s="15"/>
      <c r="Q116" s="15"/>
      <c r="AB116" s="15"/>
      <c r="AM116" s="15"/>
    </row>
    <row r="117" ht="15.75" customHeight="1">
      <c r="C117" s="15"/>
      <c r="F117" s="15"/>
      <c r="Q117" s="15"/>
      <c r="AB117" s="15"/>
      <c r="AM117" s="15"/>
    </row>
    <row r="118" ht="15.75" customHeight="1">
      <c r="C118" s="15"/>
      <c r="F118" s="15"/>
      <c r="Q118" s="15"/>
      <c r="AB118" s="15"/>
      <c r="AM118" s="15"/>
    </row>
    <row r="119" ht="15.75" customHeight="1">
      <c r="C119" s="15"/>
      <c r="F119" s="15"/>
      <c r="Q119" s="15"/>
      <c r="AB119" s="15"/>
      <c r="AM119" s="15"/>
    </row>
    <row r="120" ht="15.75" customHeight="1">
      <c r="C120" s="15"/>
      <c r="F120" s="15"/>
      <c r="Q120" s="15"/>
      <c r="AB120" s="15"/>
      <c r="AM120" s="15"/>
    </row>
    <row r="121" ht="15.75" customHeight="1">
      <c r="C121" s="15"/>
      <c r="F121" s="15"/>
      <c r="Q121" s="15"/>
      <c r="AB121" s="15"/>
      <c r="AM121" s="15"/>
    </row>
    <row r="122" ht="15.75" customHeight="1">
      <c r="C122" s="15"/>
      <c r="F122" s="15"/>
      <c r="Q122" s="15"/>
      <c r="AB122" s="15"/>
      <c r="AM122" s="15"/>
    </row>
    <row r="123" ht="15.75" customHeight="1">
      <c r="C123" s="15"/>
      <c r="F123" s="15"/>
      <c r="Q123" s="15"/>
      <c r="AB123" s="15"/>
      <c r="AM123" s="15"/>
    </row>
    <row r="124" ht="15.75" customHeight="1">
      <c r="C124" s="15"/>
      <c r="F124" s="15"/>
      <c r="Q124" s="15"/>
      <c r="AB124" s="15"/>
      <c r="AM124" s="15"/>
    </row>
    <row r="125" ht="15.75" customHeight="1">
      <c r="C125" s="15"/>
      <c r="F125" s="15"/>
      <c r="Q125" s="15"/>
      <c r="AB125" s="15"/>
      <c r="AM125" s="15"/>
    </row>
    <row r="126" ht="15.75" customHeight="1">
      <c r="C126" s="15"/>
      <c r="F126" s="15"/>
      <c r="Q126" s="15"/>
      <c r="AB126" s="15"/>
      <c r="AM126" s="15"/>
    </row>
    <row r="127" ht="15.75" customHeight="1">
      <c r="C127" s="15"/>
      <c r="F127" s="15"/>
      <c r="Q127" s="15"/>
      <c r="AB127" s="15"/>
      <c r="AM127" s="15"/>
    </row>
    <row r="128" ht="15.75" customHeight="1">
      <c r="C128" s="15"/>
      <c r="F128" s="15"/>
      <c r="Q128" s="15"/>
      <c r="AB128" s="15"/>
      <c r="AM128" s="15"/>
    </row>
    <row r="129" ht="15.75" customHeight="1">
      <c r="C129" s="15"/>
      <c r="F129" s="15"/>
      <c r="Q129" s="15"/>
      <c r="AB129" s="15"/>
      <c r="AM129" s="15"/>
    </row>
    <row r="130" ht="15.75" customHeight="1">
      <c r="C130" s="15"/>
      <c r="F130" s="15"/>
      <c r="Q130" s="15"/>
      <c r="AB130" s="15"/>
      <c r="AM130" s="15"/>
    </row>
    <row r="131" ht="15.75" customHeight="1">
      <c r="C131" s="15"/>
      <c r="F131" s="15"/>
      <c r="Q131" s="15"/>
      <c r="AB131" s="15"/>
      <c r="AM131" s="15"/>
    </row>
    <row r="132" ht="15.75" customHeight="1">
      <c r="C132" s="15"/>
      <c r="F132" s="15"/>
      <c r="Q132" s="15"/>
      <c r="AB132" s="15"/>
      <c r="AM132" s="15"/>
    </row>
    <row r="133" ht="15.75" customHeight="1">
      <c r="C133" s="15"/>
      <c r="F133" s="15"/>
      <c r="Q133" s="15"/>
      <c r="AB133" s="15"/>
      <c r="AM133" s="15"/>
    </row>
    <row r="134" ht="15.75" customHeight="1">
      <c r="C134" s="15"/>
      <c r="F134" s="15"/>
      <c r="Q134" s="15"/>
      <c r="AB134" s="15"/>
      <c r="AM134" s="15"/>
    </row>
    <row r="135" ht="15.75" customHeight="1">
      <c r="C135" s="15"/>
      <c r="F135" s="15"/>
      <c r="Q135" s="15"/>
      <c r="AB135" s="15"/>
      <c r="AM135" s="15"/>
    </row>
    <row r="136" ht="15.75" customHeight="1">
      <c r="C136" s="15"/>
      <c r="F136" s="15"/>
      <c r="Q136" s="15"/>
      <c r="AB136" s="15"/>
      <c r="AM136" s="15"/>
    </row>
    <row r="137" ht="15.75" customHeight="1">
      <c r="C137" s="15"/>
      <c r="F137" s="15"/>
      <c r="Q137" s="15"/>
      <c r="AB137" s="15"/>
      <c r="AM137" s="15"/>
    </row>
    <row r="138" ht="15.75" customHeight="1">
      <c r="C138" s="15"/>
      <c r="F138" s="15"/>
      <c r="Q138" s="15"/>
      <c r="AB138" s="15"/>
      <c r="AM138" s="15"/>
    </row>
    <row r="139" ht="15.75" customHeight="1">
      <c r="C139" s="15"/>
      <c r="F139" s="15"/>
      <c r="Q139" s="15"/>
      <c r="AB139" s="15"/>
      <c r="AM139" s="15"/>
    </row>
    <row r="140" ht="15.75" customHeight="1">
      <c r="C140" s="15"/>
      <c r="F140" s="15"/>
      <c r="Q140" s="15"/>
      <c r="AB140" s="15"/>
      <c r="AM140" s="15"/>
    </row>
    <row r="141" ht="15.75" customHeight="1">
      <c r="C141" s="15"/>
      <c r="F141" s="15"/>
      <c r="Q141" s="15"/>
      <c r="AB141" s="15"/>
      <c r="AM141" s="15"/>
    </row>
    <row r="142" ht="15.75" customHeight="1">
      <c r="C142" s="15"/>
      <c r="F142" s="15"/>
      <c r="Q142" s="15"/>
      <c r="AB142" s="15"/>
      <c r="AM142" s="15"/>
    </row>
    <row r="143" ht="15.75" customHeight="1">
      <c r="C143" s="15"/>
      <c r="F143" s="15"/>
      <c r="Q143" s="15"/>
      <c r="AB143" s="15"/>
      <c r="AM143" s="15"/>
    </row>
    <row r="144" ht="15.75" customHeight="1">
      <c r="C144" s="15"/>
      <c r="F144" s="15"/>
      <c r="Q144" s="15"/>
      <c r="AB144" s="15"/>
      <c r="AM144" s="15"/>
    </row>
    <row r="145" ht="15.75" customHeight="1">
      <c r="C145" s="15"/>
      <c r="F145" s="15"/>
      <c r="Q145" s="15"/>
      <c r="AB145" s="15"/>
      <c r="AM145" s="15"/>
    </row>
    <row r="146" ht="15.75" customHeight="1">
      <c r="C146" s="15"/>
      <c r="F146" s="15"/>
      <c r="Q146" s="15"/>
      <c r="AB146" s="15"/>
      <c r="AM146" s="15"/>
    </row>
    <row r="147" ht="15.75" customHeight="1">
      <c r="C147" s="15"/>
      <c r="F147" s="15"/>
      <c r="Q147" s="15"/>
      <c r="AB147" s="15"/>
      <c r="AM147" s="15"/>
    </row>
    <row r="148" ht="15.75" customHeight="1">
      <c r="C148" s="15"/>
      <c r="F148" s="15"/>
      <c r="Q148" s="15"/>
      <c r="AB148" s="15"/>
      <c r="AM148" s="15"/>
    </row>
    <row r="149" ht="15.75" customHeight="1">
      <c r="C149" s="15"/>
      <c r="F149" s="15"/>
      <c r="Q149" s="15"/>
      <c r="AB149" s="15"/>
      <c r="AM149" s="15"/>
    </row>
    <row r="150" ht="15.75" customHeight="1">
      <c r="C150" s="15"/>
      <c r="F150" s="15"/>
      <c r="Q150" s="15"/>
      <c r="AB150" s="15"/>
      <c r="AM150" s="15"/>
    </row>
    <row r="151" ht="15.75" customHeight="1">
      <c r="C151" s="15"/>
      <c r="F151" s="15"/>
      <c r="Q151" s="15"/>
      <c r="AB151" s="15"/>
      <c r="AM151" s="15"/>
    </row>
    <row r="152" ht="15.75" customHeight="1">
      <c r="C152" s="15"/>
      <c r="F152" s="15"/>
      <c r="Q152" s="15"/>
      <c r="AB152" s="15"/>
      <c r="AM152" s="15"/>
    </row>
    <row r="153" ht="15.75" customHeight="1">
      <c r="C153" s="15"/>
      <c r="F153" s="15"/>
      <c r="Q153" s="15"/>
      <c r="AB153" s="15"/>
      <c r="AM153" s="15"/>
    </row>
    <row r="154" ht="15.75" customHeight="1">
      <c r="C154" s="15"/>
      <c r="F154" s="15"/>
      <c r="Q154" s="15"/>
      <c r="AB154" s="15"/>
      <c r="AM154" s="15"/>
    </row>
    <row r="155" ht="15.75" customHeight="1">
      <c r="C155" s="15"/>
      <c r="F155" s="15"/>
      <c r="Q155" s="15"/>
      <c r="AB155" s="15"/>
      <c r="AM155" s="15"/>
    </row>
    <row r="156" ht="15.75" customHeight="1">
      <c r="C156" s="15"/>
      <c r="F156" s="15"/>
      <c r="Q156" s="15"/>
      <c r="AB156" s="15"/>
      <c r="AM156" s="15"/>
    </row>
    <row r="157" ht="15.75" customHeight="1">
      <c r="C157" s="15"/>
      <c r="F157" s="15"/>
      <c r="Q157" s="15"/>
      <c r="AB157" s="15"/>
      <c r="AM157" s="15"/>
    </row>
    <row r="158" ht="15.75" customHeight="1">
      <c r="C158" s="15"/>
      <c r="F158" s="15"/>
      <c r="Q158" s="15"/>
      <c r="AB158" s="15"/>
      <c r="AM158" s="15"/>
    </row>
    <row r="159" ht="15.75" customHeight="1">
      <c r="C159" s="15"/>
      <c r="F159" s="15"/>
      <c r="Q159" s="15"/>
      <c r="AB159" s="15"/>
      <c r="AM159" s="15"/>
    </row>
    <row r="160" ht="15.75" customHeight="1">
      <c r="C160" s="15"/>
      <c r="F160" s="15"/>
      <c r="Q160" s="15"/>
      <c r="AB160" s="15"/>
      <c r="AM160" s="15"/>
    </row>
    <row r="161" ht="15.75" customHeight="1">
      <c r="C161" s="15"/>
      <c r="F161" s="15"/>
      <c r="Q161" s="15"/>
      <c r="AB161" s="15"/>
      <c r="AM161" s="15"/>
    </row>
    <row r="162" ht="15.75" customHeight="1">
      <c r="C162" s="15"/>
      <c r="F162" s="15"/>
      <c r="Q162" s="15"/>
      <c r="AB162" s="15"/>
      <c r="AM162" s="15"/>
    </row>
    <row r="163" ht="15.75" customHeight="1">
      <c r="C163" s="15"/>
      <c r="F163" s="15"/>
      <c r="Q163" s="15"/>
      <c r="AB163" s="15"/>
      <c r="AM163" s="15"/>
    </row>
    <row r="164" ht="15.75" customHeight="1">
      <c r="C164" s="15"/>
      <c r="F164" s="15"/>
      <c r="Q164" s="15"/>
      <c r="AB164" s="15"/>
      <c r="AM164" s="15"/>
    </row>
    <row r="165" ht="15.75" customHeight="1">
      <c r="C165" s="15"/>
      <c r="F165" s="15"/>
      <c r="Q165" s="15"/>
      <c r="AB165" s="15"/>
      <c r="AM165" s="15"/>
    </row>
    <row r="166" ht="15.75" customHeight="1">
      <c r="C166" s="15"/>
      <c r="F166" s="15"/>
      <c r="Q166" s="15"/>
      <c r="AB166" s="15"/>
      <c r="AM166" s="15"/>
    </row>
    <row r="167" ht="15.75" customHeight="1">
      <c r="C167" s="15"/>
      <c r="F167" s="15"/>
      <c r="Q167" s="15"/>
      <c r="AB167" s="15"/>
      <c r="AM167" s="15"/>
    </row>
    <row r="168" ht="15.75" customHeight="1">
      <c r="C168" s="15"/>
      <c r="F168" s="15"/>
      <c r="Q168" s="15"/>
      <c r="AB168" s="15"/>
      <c r="AM168" s="15"/>
    </row>
    <row r="169" ht="15.75" customHeight="1">
      <c r="C169" s="15"/>
      <c r="F169" s="15"/>
      <c r="Q169" s="15"/>
      <c r="AB169" s="15"/>
      <c r="AM169" s="15"/>
    </row>
    <row r="170" ht="15.75" customHeight="1">
      <c r="C170" s="15"/>
      <c r="F170" s="15"/>
      <c r="Q170" s="15"/>
      <c r="AB170" s="15"/>
      <c r="AM170" s="15"/>
    </row>
    <row r="171" ht="15.75" customHeight="1">
      <c r="C171" s="15"/>
      <c r="F171" s="15"/>
      <c r="Q171" s="15"/>
      <c r="AB171" s="15"/>
      <c r="AM171" s="15"/>
    </row>
    <row r="172" ht="15.75" customHeight="1">
      <c r="C172" s="15"/>
      <c r="F172" s="15"/>
      <c r="Q172" s="15"/>
      <c r="AB172" s="15"/>
      <c r="AM172" s="15"/>
    </row>
    <row r="173" ht="15.75" customHeight="1">
      <c r="C173" s="15"/>
      <c r="F173" s="15"/>
      <c r="Q173" s="15"/>
      <c r="AB173" s="15"/>
      <c r="AM173" s="15"/>
    </row>
    <row r="174" ht="15.75" customHeight="1">
      <c r="C174" s="15"/>
      <c r="F174" s="15"/>
      <c r="Q174" s="15"/>
      <c r="AB174" s="15"/>
      <c r="AM174" s="15"/>
    </row>
    <row r="175" ht="15.75" customHeight="1">
      <c r="C175" s="15"/>
      <c r="F175" s="15"/>
      <c r="Q175" s="15"/>
      <c r="AB175" s="15"/>
      <c r="AM175" s="15"/>
    </row>
    <row r="176" ht="15.75" customHeight="1">
      <c r="C176" s="15"/>
      <c r="F176" s="15"/>
      <c r="Q176" s="15"/>
      <c r="AB176" s="15"/>
      <c r="AM176" s="15"/>
    </row>
    <row r="177" ht="15.75" customHeight="1">
      <c r="C177" s="15"/>
      <c r="F177" s="15"/>
      <c r="Q177" s="15"/>
      <c r="AB177" s="15"/>
      <c r="AM177" s="15"/>
    </row>
    <row r="178" ht="15.75" customHeight="1">
      <c r="C178" s="15"/>
      <c r="F178" s="15"/>
      <c r="Q178" s="15"/>
      <c r="AB178" s="15"/>
      <c r="AM178" s="15"/>
    </row>
    <row r="179" ht="15.75" customHeight="1">
      <c r="C179" s="15"/>
      <c r="F179" s="15"/>
      <c r="Q179" s="15"/>
      <c r="AB179" s="15"/>
      <c r="AM179" s="15"/>
    </row>
    <row r="180" ht="15.75" customHeight="1">
      <c r="C180" s="15"/>
      <c r="F180" s="15"/>
      <c r="Q180" s="15"/>
      <c r="AB180" s="15"/>
      <c r="AM180" s="15"/>
    </row>
    <row r="181" ht="15.75" customHeight="1">
      <c r="C181" s="15"/>
      <c r="F181" s="15"/>
      <c r="Q181" s="15"/>
      <c r="AB181" s="15"/>
      <c r="AM181" s="15"/>
    </row>
    <row r="182" ht="15.75" customHeight="1">
      <c r="C182" s="15"/>
      <c r="F182" s="15"/>
      <c r="Q182" s="15"/>
      <c r="AB182" s="15"/>
      <c r="AM182" s="15"/>
    </row>
    <row r="183" ht="15.75" customHeight="1">
      <c r="C183" s="15"/>
      <c r="F183" s="15"/>
      <c r="Q183" s="15"/>
      <c r="AB183" s="15"/>
      <c r="AM183" s="15"/>
    </row>
    <row r="184" ht="15.75" customHeight="1">
      <c r="C184" s="15"/>
      <c r="F184" s="15"/>
      <c r="Q184" s="15"/>
      <c r="AB184" s="15"/>
      <c r="AM184" s="15"/>
    </row>
    <row r="185" ht="15.75" customHeight="1">
      <c r="C185" s="15"/>
      <c r="F185" s="15"/>
      <c r="Q185" s="15"/>
      <c r="AB185" s="15"/>
      <c r="AM185" s="15"/>
    </row>
    <row r="186" ht="15.75" customHeight="1">
      <c r="C186" s="15"/>
      <c r="F186" s="15"/>
      <c r="Q186" s="15"/>
      <c r="AB186" s="15"/>
      <c r="AM186" s="15"/>
    </row>
    <row r="187" ht="15.75" customHeight="1">
      <c r="C187" s="15"/>
      <c r="F187" s="15"/>
      <c r="Q187" s="15"/>
      <c r="AB187" s="15"/>
      <c r="AM187" s="15"/>
    </row>
    <row r="188" ht="15.75" customHeight="1">
      <c r="C188" s="15"/>
      <c r="F188" s="15"/>
      <c r="Q188" s="15"/>
      <c r="AB188" s="15"/>
      <c r="AM188" s="15"/>
    </row>
    <row r="189" ht="15.75" customHeight="1">
      <c r="C189" s="15"/>
      <c r="F189" s="15"/>
      <c r="Q189" s="15"/>
      <c r="AB189" s="15"/>
      <c r="AM189" s="15"/>
    </row>
    <row r="190" ht="15.75" customHeight="1">
      <c r="C190" s="15"/>
      <c r="F190" s="15"/>
      <c r="Q190" s="15"/>
      <c r="AB190" s="15"/>
      <c r="AM190" s="15"/>
    </row>
    <row r="191" ht="15.75" customHeight="1">
      <c r="C191" s="15"/>
      <c r="F191" s="15"/>
      <c r="Q191" s="15"/>
      <c r="AB191" s="15"/>
      <c r="AM191" s="15"/>
    </row>
    <row r="192" ht="15.75" customHeight="1">
      <c r="C192" s="15"/>
      <c r="F192" s="15"/>
      <c r="Q192" s="15"/>
      <c r="AB192" s="15"/>
      <c r="AM192" s="15"/>
    </row>
    <row r="193" ht="15.75" customHeight="1">
      <c r="C193" s="15"/>
      <c r="F193" s="15"/>
      <c r="Q193" s="15"/>
      <c r="AB193" s="15"/>
      <c r="AM193" s="15"/>
    </row>
    <row r="194" ht="15.75" customHeight="1">
      <c r="C194" s="15"/>
      <c r="F194" s="15"/>
      <c r="Q194" s="15"/>
      <c r="AB194" s="15"/>
      <c r="AM194" s="15"/>
    </row>
    <row r="195" ht="15.75" customHeight="1">
      <c r="C195" s="15"/>
      <c r="F195" s="15"/>
      <c r="Q195" s="15"/>
      <c r="AB195" s="15"/>
      <c r="AM195" s="15"/>
    </row>
    <row r="196" ht="15.75" customHeight="1">
      <c r="C196" s="15"/>
      <c r="F196" s="15"/>
      <c r="Q196" s="15"/>
      <c r="AB196" s="15"/>
      <c r="AM196" s="15"/>
    </row>
    <row r="197" ht="15.75" customHeight="1">
      <c r="C197" s="15"/>
      <c r="F197" s="15"/>
      <c r="Q197" s="15"/>
      <c r="AB197" s="15"/>
      <c r="AM197" s="15"/>
    </row>
    <row r="198" ht="15.75" customHeight="1">
      <c r="C198" s="15"/>
      <c r="F198" s="15"/>
      <c r="Q198" s="15"/>
      <c r="AB198" s="15"/>
      <c r="AM198" s="15"/>
    </row>
    <row r="199" ht="15.75" customHeight="1">
      <c r="C199" s="15"/>
      <c r="F199" s="15"/>
      <c r="Q199" s="15"/>
      <c r="AB199" s="15"/>
      <c r="AM199" s="15"/>
    </row>
    <row r="200" ht="15.75" customHeight="1">
      <c r="C200" s="15"/>
      <c r="F200" s="15"/>
      <c r="Q200" s="15"/>
      <c r="AB200" s="15"/>
      <c r="AM200" s="15"/>
    </row>
    <row r="201" ht="15.75" customHeight="1">
      <c r="C201" s="15"/>
      <c r="F201" s="15"/>
      <c r="Q201" s="15"/>
      <c r="AB201" s="15"/>
      <c r="AM201" s="15"/>
    </row>
    <row r="202" ht="15.75" customHeight="1">
      <c r="C202" s="15"/>
      <c r="F202" s="15"/>
      <c r="Q202" s="15"/>
      <c r="AB202" s="15"/>
      <c r="AM202" s="15"/>
    </row>
    <row r="203" ht="15.75" customHeight="1">
      <c r="C203" s="15"/>
      <c r="F203" s="15"/>
      <c r="Q203" s="15"/>
      <c r="AB203" s="15"/>
      <c r="AM203" s="15"/>
    </row>
    <row r="204" ht="15.75" customHeight="1">
      <c r="C204" s="15"/>
      <c r="F204" s="15"/>
      <c r="Q204" s="15"/>
      <c r="AB204" s="15"/>
      <c r="AM204" s="15"/>
    </row>
    <row r="205" ht="15.75" customHeight="1">
      <c r="C205" s="15"/>
      <c r="F205" s="15"/>
      <c r="Q205" s="15"/>
      <c r="AB205" s="15"/>
      <c r="AM205" s="15"/>
    </row>
    <row r="206" ht="15.75" customHeight="1">
      <c r="C206" s="15"/>
      <c r="F206" s="15"/>
      <c r="Q206" s="15"/>
      <c r="AB206" s="15"/>
      <c r="AM206" s="15"/>
    </row>
    <row r="207" ht="15.75" customHeight="1">
      <c r="C207" s="15"/>
      <c r="F207" s="15"/>
      <c r="Q207" s="15"/>
      <c r="AB207" s="15"/>
      <c r="AM207" s="15"/>
    </row>
    <row r="208" ht="15.75" customHeight="1">
      <c r="C208" s="15"/>
      <c r="F208" s="15"/>
      <c r="Q208" s="15"/>
      <c r="AB208" s="15"/>
      <c r="AM208" s="15"/>
    </row>
    <row r="209" ht="15.75" customHeight="1">
      <c r="C209" s="15"/>
      <c r="F209" s="15"/>
      <c r="Q209" s="15"/>
      <c r="AB209" s="15"/>
      <c r="AM209" s="15"/>
    </row>
    <row r="210" ht="15.75" customHeight="1">
      <c r="C210" s="15"/>
      <c r="F210" s="15"/>
      <c r="Q210" s="15"/>
      <c r="AB210" s="15"/>
      <c r="AM210" s="15"/>
    </row>
    <row r="211" ht="15.75" customHeight="1">
      <c r="C211" s="15"/>
      <c r="F211" s="15"/>
      <c r="Q211" s="15"/>
      <c r="AB211" s="15"/>
      <c r="AM211" s="15"/>
    </row>
    <row r="212" ht="15.75" customHeight="1">
      <c r="C212" s="15"/>
      <c r="F212" s="15"/>
      <c r="Q212" s="15"/>
      <c r="AB212" s="15"/>
      <c r="AM212" s="15"/>
    </row>
    <row r="213" ht="15.75" customHeight="1">
      <c r="C213" s="15"/>
      <c r="F213" s="15"/>
      <c r="Q213" s="15"/>
      <c r="AB213" s="15"/>
      <c r="AM213" s="15"/>
    </row>
    <row r="214" ht="15.75" customHeight="1">
      <c r="C214" s="15"/>
      <c r="F214" s="15"/>
      <c r="Q214" s="15"/>
      <c r="AB214" s="15"/>
      <c r="AM214" s="15"/>
    </row>
    <row r="215" ht="15.75" customHeight="1">
      <c r="C215" s="15"/>
      <c r="F215" s="15"/>
      <c r="Q215" s="15"/>
      <c r="AB215" s="15"/>
      <c r="AM215" s="15"/>
    </row>
    <row r="216" ht="15.75" customHeight="1">
      <c r="C216" s="15"/>
      <c r="F216" s="15"/>
      <c r="Q216" s="15"/>
      <c r="AB216" s="15"/>
      <c r="AM216" s="15"/>
    </row>
    <row r="217" ht="15.75" customHeight="1">
      <c r="C217" s="15"/>
      <c r="F217" s="15"/>
      <c r="Q217" s="15"/>
      <c r="AB217" s="15"/>
      <c r="AM217" s="15"/>
    </row>
    <row r="218" ht="15.75" customHeight="1">
      <c r="C218" s="15"/>
      <c r="F218" s="15"/>
      <c r="Q218" s="15"/>
      <c r="AB218" s="15"/>
      <c r="AM218" s="15"/>
    </row>
    <row r="219" ht="15.75" customHeight="1">
      <c r="C219" s="15"/>
      <c r="F219" s="15"/>
      <c r="Q219" s="15"/>
      <c r="AB219" s="15"/>
      <c r="AM219" s="15"/>
    </row>
    <row r="220" ht="15.75" customHeight="1">
      <c r="C220" s="15"/>
      <c r="F220" s="15"/>
      <c r="Q220" s="15"/>
      <c r="AB220" s="15"/>
      <c r="AM220" s="15"/>
    </row>
    <row r="221" ht="15.75" customHeight="1">
      <c r="C221" s="15"/>
      <c r="F221" s="15"/>
      <c r="Q221" s="15"/>
      <c r="AB221" s="15"/>
      <c r="AM221" s="15"/>
    </row>
    <row r="222" ht="15.75" customHeight="1">
      <c r="C222" s="15"/>
      <c r="F222" s="15"/>
      <c r="Q222" s="15"/>
      <c r="AB222" s="15"/>
      <c r="AM222" s="15"/>
    </row>
    <row r="223" ht="15.75" customHeight="1">
      <c r="C223" s="15"/>
      <c r="F223" s="15"/>
      <c r="Q223" s="15"/>
      <c r="AB223" s="15"/>
      <c r="AM223" s="15"/>
    </row>
    <row r="224" ht="15.75" customHeight="1">
      <c r="C224" s="15"/>
      <c r="F224" s="15"/>
      <c r="Q224" s="15"/>
      <c r="AB224" s="15"/>
      <c r="AM224" s="15"/>
    </row>
    <row r="225" ht="15.75" customHeight="1">
      <c r="C225" s="15"/>
      <c r="F225" s="15"/>
      <c r="Q225" s="15"/>
      <c r="AB225" s="15"/>
      <c r="AM225" s="15"/>
    </row>
    <row r="226" ht="15.75" customHeight="1">
      <c r="C226" s="15"/>
      <c r="F226" s="15"/>
      <c r="Q226" s="15"/>
      <c r="AB226" s="15"/>
      <c r="AM226" s="15"/>
    </row>
    <row r="227" ht="15.75" customHeight="1">
      <c r="C227" s="15"/>
      <c r="F227" s="15"/>
      <c r="Q227" s="15"/>
      <c r="AB227" s="15"/>
      <c r="AM227" s="15"/>
    </row>
    <row r="228" ht="15.75" customHeight="1">
      <c r="C228" s="15"/>
      <c r="F228" s="15"/>
      <c r="Q228" s="15"/>
      <c r="AB228" s="15"/>
      <c r="AM228" s="15"/>
    </row>
    <row r="229" ht="15.75" customHeight="1">
      <c r="C229" s="15"/>
      <c r="F229" s="15"/>
      <c r="Q229" s="15"/>
      <c r="AB229" s="15"/>
      <c r="AM229" s="15"/>
    </row>
    <row r="230" ht="15.75" customHeight="1">
      <c r="C230" s="15"/>
      <c r="F230" s="15"/>
      <c r="Q230" s="15"/>
      <c r="AB230" s="15"/>
      <c r="AM230" s="15"/>
    </row>
    <row r="231" ht="15.75" customHeight="1">
      <c r="C231" s="15"/>
      <c r="F231" s="15"/>
      <c r="Q231" s="15"/>
      <c r="AB231" s="15"/>
      <c r="AM231" s="15"/>
    </row>
    <row r="232" ht="15.75" customHeight="1">
      <c r="C232" s="15"/>
      <c r="F232" s="15"/>
      <c r="Q232" s="15"/>
      <c r="AB232" s="15"/>
      <c r="AM232" s="15"/>
    </row>
    <row r="233" ht="15.75" customHeight="1">
      <c r="C233" s="15"/>
      <c r="F233" s="15"/>
      <c r="Q233" s="15"/>
      <c r="AB233" s="15"/>
      <c r="AM233" s="15"/>
    </row>
    <row r="234" ht="15.75" customHeight="1">
      <c r="C234" s="15"/>
      <c r="F234" s="15"/>
      <c r="Q234" s="15"/>
      <c r="AB234" s="15"/>
      <c r="AM234" s="15"/>
    </row>
    <row r="235" ht="15.75" customHeight="1">
      <c r="C235" s="15"/>
      <c r="F235" s="15"/>
      <c r="Q235" s="15"/>
      <c r="AB235" s="15"/>
      <c r="AM235" s="15"/>
    </row>
    <row r="236" ht="15.75" customHeight="1">
      <c r="C236" s="15"/>
      <c r="F236" s="15"/>
      <c r="Q236" s="15"/>
      <c r="AB236" s="15"/>
      <c r="AM236" s="15"/>
    </row>
    <row r="237" ht="15.75" customHeight="1">
      <c r="C237" s="15"/>
      <c r="F237" s="15"/>
      <c r="Q237" s="15"/>
      <c r="AB237" s="15"/>
      <c r="AM237" s="15"/>
    </row>
    <row r="238" ht="15.75" customHeight="1">
      <c r="C238" s="15"/>
      <c r="F238" s="15"/>
      <c r="Q238" s="15"/>
      <c r="AB238" s="15"/>
      <c r="AM238" s="15"/>
    </row>
    <row r="239" ht="15.75" customHeight="1">
      <c r="C239" s="15"/>
      <c r="F239" s="15"/>
      <c r="Q239" s="15"/>
      <c r="AB239" s="15"/>
      <c r="AM239" s="15"/>
    </row>
    <row r="240" ht="15.75" customHeight="1">
      <c r="C240" s="15"/>
      <c r="F240" s="15"/>
      <c r="Q240" s="15"/>
      <c r="AB240" s="15"/>
      <c r="AM240" s="15"/>
    </row>
    <row r="241" ht="15.75" customHeight="1">
      <c r="C241" s="15"/>
      <c r="F241" s="15"/>
      <c r="Q241" s="15"/>
      <c r="AB241" s="15"/>
      <c r="AM241" s="15"/>
    </row>
    <row r="242" ht="15.75" customHeight="1">
      <c r="C242" s="15"/>
      <c r="F242" s="15"/>
      <c r="Q242" s="15"/>
      <c r="AB242" s="15"/>
      <c r="AM242" s="15"/>
    </row>
    <row r="243" ht="15.75" customHeight="1">
      <c r="C243" s="15"/>
      <c r="F243" s="15"/>
      <c r="Q243" s="15"/>
      <c r="AB243" s="15"/>
      <c r="AM243" s="15"/>
    </row>
    <row r="244" ht="15.75" customHeight="1">
      <c r="C244" s="15"/>
      <c r="F244" s="15"/>
      <c r="Q244" s="15"/>
      <c r="AB244" s="15"/>
      <c r="AM244" s="15"/>
    </row>
    <row r="245" ht="15.75" customHeight="1">
      <c r="C245" s="15"/>
      <c r="F245" s="15"/>
      <c r="Q245" s="15"/>
      <c r="AB245" s="15"/>
      <c r="AM245" s="15"/>
    </row>
    <row r="246" ht="15.75" customHeight="1">
      <c r="C246" s="15"/>
      <c r="F246" s="15"/>
      <c r="Q246" s="15"/>
      <c r="AB246" s="15"/>
      <c r="AM246" s="15"/>
    </row>
    <row r="247" ht="15.75" customHeight="1">
      <c r="C247" s="15"/>
      <c r="F247" s="15"/>
      <c r="Q247" s="15"/>
      <c r="AB247" s="15"/>
      <c r="AM247" s="15"/>
    </row>
    <row r="248" ht="15.75" customHeight="1">
      <c r="C248" s="15"/>
      <c r="F248" s="15"/>
      <c r="Q248" s="15"/>
      <c r="AB248" s="15"/>
      <c r="AM248" s="15"/>
    </row>
    <row r="249" ht="15.75" customHeight="1">
      <c r="C249" s="15"/>
      <c r="F249" s="15"/>
      <c r="Q249" s="15"/>
      <c r="AB249" s="15"/>
      <c r="AM249" s="15"/>
    </row>
    <row r="250" ht="15.75" customHeight="1">
      <c r="C250" s="15"/>
      <c r="F250" s="15"/>
      <c r="Q250" s="15"/>
      <c r="AB250" s="15"/>
      <c r="AM250" s="15"/>
    </row>
    <row r="251" ht="15.75" customHeight="1">
      <c r="C251" s="15"/>
      <c r="F251" s="15"/>
      <c r="Q251" s="15"/>
      <c r="AB251" s="15"/>
      <c r="AM251" s="15"/>
    </row>
    <row r="252" ht="15.75" customHeight="1">
      <c r="C252" s="15"/>
      <c r="F252" s="15"/>
      <c r="Q252" s="15"/>
      <c r="AB252" s="15"/>
      <c r="AM252" s="15"/>
    </row>
    <row r="253" ht="15.75" customHeight="1">
      <c r="C253" s="15"/>
      <c r="F253" s="15"/>
      <c r="Q253" s="15"/>
      <c r="AB253" s="15"/>
      <c r="AM253" s="15"/>
    </row>
    <row r="254" ht="15.75" customHeight="1">
      <c r="C254" s="15"/>
      <c r="F254" s="15"/>
      <c r="Q254" s="15"/>
      <c r="AB254" s="15"/>
      <c r="AM254" s="15"/>
    </row>
    <row r="255" ht="15.75" customHeight="1">
      <c r="C255" s="15"/>
      <c r="F255" s="15"/>
      <c r="Q255" s="15"/>
      <c r="AB255" s="15"/>
      <c r="AM255" s="15"/>
    </row>
    <row r="256" ht="15.75" customHeight="1">
      <c r="C256" s="15"/>
      <c r="F256" s="15"/>
      <c r="Q256" s="15"/>
      <c r="AB256" s="15"/>
      <c r="AM256" s="15"/>
    </row>
    <row r="257" ht="15.75" customHeight="1">
      <c r="C257" s="15"/>
      <c r="F257" s="15"/>
      <c r="Q257" s="15"/>
      <c r="AB257" s="15"/>
      <c r="AM257" s="15"/>
    </row>
    <row r="258" ht="15.75" customHeight="1">
      <c r="C258" s="15"/>
      <c r="F258" s="15"/>
      <c r="Q258" s="15"/>
      <c r="AB258" s="15"/>
      <c r="AM258" s="15"/>
    </row>
    <row r="259" ht="15.75" customHeight="1">
      <c r="C259" s="15"/>
      <c r="F259" s="15"/>
      <c r="Q259" s="15"/>
      <c r="AB259" s="15"/>
      <c r="AM259" s="15"/>
    </row>
    <row r="260" ht="15.75" customHeight="1">
      <c r="C260" s="15"/>
      <c r="F260" s="15"/>
      <c r="Q260" s="15"/>
      <c r="AB260" s="15"/>
      <c r="AM260" s="15"/>
    </row>
    <row r="261" ht="15.75" customHeight="1">
      <c r="C261" s="15"/>
      <c r="F261" s="15"/>
      <c r="Q261" s="15"/>
      <c r="AB261" s="15"/>
      <c r="AM261" s="15"/>
    </row>
    <row r="262" ht="15.75" customHeight="1">
      <c r="C262" s="15"/>
      <c r="F262" s="15"/>
      <c r="Q262" s="15"/>
      <c r="AB262" s="15"/>
      <c r="AM262" s="15"/>
    </row>
    <row r="263" ht="15.75" customHeight="1">
      <c r="C263" s="15"/>
      <c r="F263" s="15"/>
      <c r="Q263" s="15"/>
      <c r="AB263" s="15"/>
      <c r="AM263" s="15"/>
    </row>
    <row r="264" ht="15.75" customHeight="1">
      <c r="C264" s="15"/>
      <c r="F264" s="15"/>
      <c r="Q264" s="15"/>
      <c r="AB264" s="15"/>
      <c r="AM264" s="15"/>
    </row>
    <row r="265" ht="15.75" customHeight="1">
      <c r="C265" s="15"/>
      <c r="F265" s="15"/>
      <c r="Q265" s="15"/>
      <c r="AB265" s="15"/>
      <c r="AM265" s="15"/>
    </row>
    <row r="266" ht="15.75" customHeight="1">
      <c r="C266" s="15"/>
      <c r="F266" s="15"/>
      <c r="Q266" s="15"/>
      <c r="AB266" s="15"/>
      <c r="AM266" s="15"/>
    </row>
    <row r="267" ht="15.75" customHeight="1">
      <c r="C267" s="15"/>
      <c r="F267" s="15"/>
      <c r="Q267" s="15"/>
      <c r="AB267" s="15"/>
      <c r="AM267" s="15"/>
    </row>
    <row r="268" ht="15.75" customHeight="1">
      <c r="C268" s="15"/>
      <c r="F268" s="15"/>
      <c r="Q268" s="15"/>
      <c r="AB268" s="15"/>
      <c r="AM268" s="15"/>
    </row>
    <row r="269" ht="15.75" customHeight="1">
      <c r="C269" s="15"/>
      <c r="F269" s="15"/>
      <c r="Q269" s="15"/>
      <c r="AB269" s="15"/>
      <c r="AM269" s="15"/>
    </row>
    <row r="270" ht="15.75" customHeight="1">
      <c r="C270" s="15"/>
      <c r="F270" s="15"/>
      <c r="Q270" s="15"/>
      <c r="AB270" s="15"/>
      <c r="AM270" s="15"/>
    </row>
    <row r="271" ht="15.75" customHeight="1">
      <c r="C271" s="15"/>
      <c r="F271" s="15"/>
      <c r="Q271" s="15"/>
      <c r="AB271" s="15"/>
      <c r="AM271" s="15"/>
    </row>
    <row r="272" ht="15.75" customHeight="1">
      <c r="C272" s="15"/>
      <c r="F272" s="15"/>
      <c r="Q272" s="15"/>
      <c r="AB272" s="15"/>
      <c r="AM272" s="15"/>
    </row>
    <row r="273" ht="15.75" customHeight="1">
      <c r="C273" s="15"/>
      <c r="F273" s="15"/>
      <c r="Q273" s="15"/>
      <c r="AB273" s="15"/>
      <c r="AM273" s="15"/>
    </row>
    <row r="274" ht="15.75" customHeight="1">
      <c r="C274" s="15"/>
      <c r="F274" s="15"/>
      <c r="Q274" s="15"/>
      <c r="AB274" s="15"/>
      <c r="AM274" s="15"/>
    </row>
    <row r="275" ht="15.75" customHeight="1">
      <c r="C275" s="15"/>
      <c r="F275" s="15"/>
      <c r="Q275" s="15"/>
      <c r="AB275" s="15"/>
      <c r="AM275" s="15"/>
    </row>
    <row r="276" ht="15.75" customHeight="1">
      <c r="C276" s="15"/>
      <c r="F276" s="15"/>
      <c r="Q276" s="15"/>
      <c r="AB276" s="15"/>
      <c r="AM276" s="15"/>
    </row>
    <row r="277" ht="15.75" customHeight="1">
      <c r="C277" s="15"/>
      <c r="F277" s="15"/>
      <c r="Q277" s="15"/>
      <c r="AB277" s="15"/>
      <c r="AM277" s="15"/>
    </row>
    <row r="278" ht="15.75" customHeight="1">
      <c r="C278" s="15"/>
      <c r="F278" s="15"/>
      <c r="Q278" s="15"/>
      <c r="AB278" s="15"/>
      <c r="AM278" s="15"/>
    </row>
    <row r="279" ht="15.75" customHeight="1">
      <c r="C279" s="15"/>
      <c r="F279" s="15"/>
      <c r="Q279" s="15"/>
      <c r="AB279" s="15"/>
      <c r="AM279" s="15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C1:AL1"/>
    <mergeCell ref="AC2:AL2"/>
    <mergeCell ref="A1:E1"/>
    <mergeCell ref="G1:P1"/>
    <mergeCell ref="R1:AA1"/>
    <mergeCell ref="A2:B2"/>
    <mergeCell ref="D2:E2"/>
    <mergeCell ref="G2:P2"/>
    <mergeCell ref="R2:AA2"/>
    <mergeCell ref="A9:B9"/>
    <mergeCell ref="A10:B10"/>
    <mergeCell ref="D12:E12"/>
    <mergeCell ref="G12:P12"/>
    <mergeCell ref="R12:AA12"/>
    <mergeCell ref="AC12:AL12"/>
    <mergeCell ref="A3:B3"/>
    <mergeCell ref="A4:B4"/>
    <mergeCell ref="A5:B5"/>
    <mergeCell ref="A6:B6"/>
    <mergeCell ref="A7:B7"/>
    <mergeCell ref="D7:E7"/>
    <mergeCell ref="A8:B8"/>
    <mergeCell ref="G42:P42"/>
    <mergeCell ref="G52:P52"/>
    <mergeCell ref="R52:AA52"/>
    <mergeCell ref="G62:P62"/>
    <mergeCell ref="R62:AA62"/>
    <mergeCell ref="G72:P72"/>
    <mergeCell ref="D17:E17"/>
    <mergeCell ref="G22:P22"/>
    <mergeCell ref="R22:AA22"/>
    <mergeCell ref="AC22:AL22"/>
    <mergeCell ref="G32:P32"/>
    <mergeCell ref="R32:AA32"/>
    <mergeCell ref="R42:AA4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5.38"/>
    <col customWidth="1" min="3" max="3" width="1.88"/>
    <col customWidth="1" min="4" max="4" width="15.38"/>
    <col customWidth="1" min="5" max="5" width="9.0"/>
    <col customWidth="1" min="6" max="6" width="1.88"/>
    <col customWidth="1" min="17" max="17" width="1.88"/>
    <col customWidth="1" min="28" max="28" width="1.88"/>
    <col customWidth="1" min="39" max="39" width="1.75"/>
  </cols>
  <sheetData>
    <row r="1" ht="15.75" customHeight="1">
      <c r="A1" s="14" t="s">
        <v>138</v>
      </c>
      <c r="F1" s="15"/>
      <c r="G1" s="14" t="s">
        <v>203</v>
      </c>
      <c r="Q1" s="15"/>
      <c r="R1" s="14" t="s">
        <v>204</v>
      </c>
      <c r="AB1" s="15"/>
      <c r="AC1" s="14" t="s">
        <v>205</v>
      </c>
      <c r="AM1" s="15"/>
    </row>
    <row r="2" ht="15.75" customHeight="1">
      <c r="A2" s="43" t="s">
        <v>142</v>
      </c>
      <c r="B2" s="27"/>
      <c r="C2" s="15"/>
      <c r="D2" s="43" t="s">
        <v>143</v>
      </c>
      <c r="E2" s="27"/>
      <c r="F2" s="15"/>
      <c r="G2" s="16" t="s">
        <v>206</v>
      </c>
      <c r="Q2" s="15"/>
      <c r="R2" s="16" t="s">
        <v>128</v>
      </c>
      <c r="AB2" s="15"/>
      <c r="AC2" s="16" t="s">
        <v>119</v>
      </c>
      <c r="AM2" s="15"/>
    </row>
    <row r="3" ht="15.75" customHeight="1">
      <c r="A3" s="87" t="s">
        <v>144</v>
      </c>
      <c r="C3" s="15"/>
      <c r="D3" s="5" t="s">
        <v>61</v>
      </c>
      <c r="E3" s="44" t="s">
        <v>145</v>
      </c>
      <c r="F3" s="15"/>
      <c r="G3" s="92">
        <f>'BeastFauna Adventurer Calculato'!W24</f>
        <v>5</v>
      </c>
      <c r="H3" s="89" t="s">
        <v>146</v>
      </c>
      <c r="I3" s="90" t="s">
        <v>147</v>
      </c>
      <c r="J3" s="90" t="s">
        <v>148</v>
      </c>
      <c r="K3" s="90" t="s">
        <v>149</v>
      </c>
      <c r="L3" s="90" t="s">
        <v>207</v>
      </c>
      <c r="M3" s="90"/>
      <c r="N3" s="90"/>
      <c r="O3" s="90"/>
      <c r="P3" s="90"/>
      <c r="Q3" s="15"/>
      <c r="R3" s="92">
        <f>'BeastFauna Adventurer Calculato'!W28</f>
        <v>8</v>
      </c>
      <c r="S3" s="89" t="s">
        <v>146</v>
      </c>
      <c r="T3" s="90" t="s">
        <v>149</v>
      </c>
      <c r="U3" s="90" t="s">
        <v>208</v>
      </c>
      <c r="V3" s="90" t="s">
        <v>209</v>
      </c>
      <c r="W3" s="90"/>
      <c r="X3" s="90"/>
      <c r="Y3" s="90"/>
      <c r="Z3" s="90"/>
      <c r="AA3" s="90"/>
      <c r="AB3" s="15"/>
      <c r="AC3" s="92">
        <f>'BeastFauna Adventurer Calculato'!W19</f>
        <v>22</v>
      </c>
      <c r="AD3" s="89" t="s">
        <v>146</v>
      </c>
      <c r="AE3" s="90" t="s">
        <v>147</v>
      </c>
      <c r="AF3" s="90" t="s">
        <v>148</v>
      </c>
      <c r="AG3" s="90" t="s">
        <v>149</v>
      </c>
      <c r="AH3" s="102" t="s">
        <v>210</v>
      </c>
      <c r="AI3" s="102" t="s">
        <v>151</v>
      </c>
      <c r="AJ3" s="90"/>
      <c r="AK3" s="90"/>
      <c r="AL3" s="90"/>
      <c r="AM3" s="15"/>
    </row>
    <row r="4" ht="15.75" customHeight="1">
      <c r="A4" s="93" t="s">
        <v>153</v>
      </c>
      <c r="C4" s="15"/>
      <c r="D4" s="2" t="s">
        <v>59</v>
      </c>
      <c r="E4" s="49">
        <f>'Distance Cost Calculator'!H16</f>
        <v>40</v>
      </c>
      <c r="F4" s="15"/>
      <c r="G4" s="90" t="s">
        <v>154</v>
      </c>
      <c r="H4" s="94"/>
      <c r="I4" s="95">
        <v>1.0</v>
      </c>
      <c r="J4" s="95">
        <v>2.3</v>
      </c>
      <c r="K4" s="95">
        <v>2.71</v>
      </c>
      <c r="L4" s="94" t="s">
        <v>155</v>
      </c>
      <c r="M4" s="95"/>
      <c r="N4" s="95"/>
      <c r="O4" s="95"/>
      <c r="P4" s="95"/>
      <c r="Q4" s="15"/>
      <c r="R4" s="90" t="s">
        <v>154</v>
      </c>
      <c r="S4" s="94"/>
      <c r="T4" s="95">
        <v>1.0</v>
      </c>
      <c r="U4" s="95">
        <v>2.94</v>
      </c>
      <c r="V4" s="95">
        <v>3.15</v>
      </c>
      <c r="W4" s="95"/>
      <c r="X4" s="95"/>
      <c r="Y4" s="95"/>
      <c r="Z4" s="95"/>
      <c r="AA4" s="95"/>
      <c r="AB4" s="15"/>
      <c r="AC4" s="90" t="s">
        <v>154</v>
      </c>
      <c r="AD4" s="94"/>
      <c r="AE4" s="95">
        <v>1.0</v>
      </c>
      <c r="AF4" s="95">
        <v>2.45</v>
      </c>
      <c r="AG4" s="95">
        <v>4.25</v>
      </c>
      <c r="AH4" s="102" t="s">
        <v>211</v>
      </c>
      <c r="AI4" s="102" t="s">
        <v>156</v>
      </c>
      <c r="AJ4" s="95"/>
      <c r="AK4" s="95"/>
      <c r="AL4" s="95"/>
      <c r="AM4" s="15"/>
    </row>
    <row r="5" ht="15.75" customHeight="1">
      <c r="A5" s="96" t="s">
        <v>157</v>
      </c>
      <c r="C5" s="15"/>
      <c r="D5" s="20" t="s">
        <v>71</v>
      </c>
      <c r="E5" s="49">
        <f>'Distance Cost Calculator'!H17</f>
        <v>24</v>
      </c>
      <c r="F5" s="15"/>
      <c r="G5" s="90" t="s">
        <v>158</v>
      </c>
      <c r="H5" s="90" t="s">
        <v>99</v>
      </c>
      <c r="I5" s="90" t="s">
        <v>99</v>
      </c>
      <c r="J5" s="90" t="s">
        <v>99</v>
      </c>
      <c r="K5" s="90" t="s">
        <v>99</v>
      </c>
      <c r="L5" s="97" t="s">
        <v>212</v>
      </c>
      <c r="M5" s="90"/>
      <c r="N5" s="90"/>
      <c r="O5" s="90"/>
      <c r="P5" s="90"/>
      <c r="Q5" s="15"/>
      <c r="R5" s="90" t="s">
        <v>158</v>
      </c>
      <c r="S5" s="90" t="s">
        <v>99</v>
      </c>
      <c r="T5" s="90" t="s">
        <v>99</v>
      </c>
      <c r="U5" s="90" t="s">
        <v>190</v>
      </c>
      <c r="V5" s="90" t="s">
        <v>190</v>
      </c>
      <c r="W5" s="90"/>
      <c r="X5" s="90"/>
      <c r="Y5" s="90"/>
      <c r="Z5" s="90"/>
      <c r="AA5" s="90"/>
      <c r="AB5" s="15"/>
      <c r="AC5" s="90" t="s">
        <v>158</v>
      </c>
      <c r="AD5" s="90" t="s">
        <v>99</v>
      </c>
      <c r="AE5" s="90" t="s">
        <v>99</v>
      </c>
      <c r="AF5" s="90" t="s">
        <v>99</v>
      </c>
      <c r="AG5" s="90" t="s">
        <v>99</v>
      </c>
      <c r="AH5" s="116" t="s">
        <v>213</v>
      </c>
      <c r="AI5" s="116" t="s">
        <v>214</v>
      </c>
      <c r="AJ5" s="90"/>
      <c r="AK5" s="90"/>
      <c r="AL5" s="90"/>
      <c r="AM5" s="15"/>
    </row>
    <row r="6" ht="15.75" customHeight="1">
      <c r="A6" s="99" t="s">
        <v>161</v>
      </c>
      <c r="C6" s="15"/>
      <c r="D6" s="2" t="s">
        <v>72</v>
      </c>
      <c r="E6" s="49">
        <f>'Distance Cost Calculator'!H18</f>
        <v>36</v>
      </c>
      <c r="F6" s="15"/>
      <c r="G6" s="100" t="s">
        <v>162</v>
      </c>
      <c r="H6" s="117">
        <f>$E$9</f>
        <v>40</v>
      </c>
      <c r="I6" s="117">
        <f t="shared" ref="I6:K6" si="1">($G$3*I$4)+$H6</f>
        <v>45</v>
      </c>
      <c r="J6" s="117">
        <f t="shared" si="1"/>
        <v>51.5</v>
      </c>
      <c r="K6" s="117">
        <f t="shared" si="1"/>
        <v>53.55</v>
      </c>
      <c r="L6" s="117">
        <f>L7+H6</f>
        <v>47</v>
      </c>
      <c r="M6" s="90"/>
      <c r="N6" s="90"/>
      <c r="O6" s="90"/>
      <c r="P6" s="90"/>
      <c r="Q6" s="15"/>
      <c r="R6" s="100" t="s">
        <v>162</v>
      </c>
      <c r="S6" s="90">
        <v>0.0</v>
      </c>
      <c r="T6" s="101">
        <f t="shared" ref="T6:V6" si="2">($R$3*T$4)+$S6</f>
        <v>8</v>
      </c>
      <c r="U6" s="101">
        <f t="shared" si="2"/>
        <v>23.52</v>
      </c>
      <c r="V6" s="101">
        <f t="shared" si="2"/>
        <v>25.2</v>
      </c>
      <c r="W6" s="90"/>
      <c r="X6" s="90"/>
      <c r="Y6" s="90"/>
      <c r="Z6" s="90"/>
      <c r="AA6" s="90"/>
      <c r="AB6" s="15"/>
      <c r="AC6" s="100" t="s">
        <v>162</v>
      </c>
      <c r="AD6" s="90">
        <v>0.0</v>
      </c>
      <c r="AE6" s="101">
        <f t="shared" ref="AE6:AG6" si="3">($AC$3*AE$4)+$AD6</f>
        <v>22</v>
      </c>
      <c r="AF6" s="101">
        <f t="shared" si="3"/>
        <v>53.9</v>
      </c>
      <c r="AG6" s="101">
        <f t="shared" si="3"/>
        <v>93.5</v>
      </c>
      <c r="AH6" s="102">
        <v>5000.0</v>
      </c>
      <c r="AI6" s="102">
        <v>50000.0</v>
      </c>
      <c r="AJ6" s="90"/>
      <c r="AK6" s="90"/>
      <c r="AL6" s="90"/>
      <c r="AM6" s="15"/>
    </row>
    <row r="7" ht="15.75" customHeight="1">
      <c r="A7" s="104" t="s">
        <v>163</v>
      </c>
      <c r="C7" s="15"/>
      <c r="D7" s="43" t="s">
        <v>164</v>
      </c>
      <c r="E7" s="27"/>
      <c r="F7" s="15"/>
      <c r="G7" s="105" t="s">
        <v>165</v>
      </c>
      <c r="H7" s="90">
        <v>0.0</v>
      </c>
      <c r="I7" s="101">
        <f t="shared" ref="I7:K7" si="4">($G$3*I$4)+$H7</f>
        <v>5</v>
      </c>
      <c r="J7" s="101">
        <f t="shared" si="4"/>
        <v>11.5</v>
      </c>
      <c r="K7" s="101">
        <f t="shared" si="4"/>
        <v>13.55</v>
      </c>
      <c r="L7" s="90">
        <f>7*A11</f>
        <v>7</v>
      </c>
      <c r="M7" s="90"/>
      <c r="N7" s="90"/>
      <c r="O7" s="90"/>
      <c r="P7" s="90"/>
      <c r="Q7" s="15"/>
      <c r="R7" s="105" t="s">
        <v>165</v>
      </c>
      <c r="S7" s="106">
        <f>$E$4</f>
        <v>40</v>
      </c>
      <c r="T7" s="106">
        <f t="shared" ref="T7:V7" si="5">($R$3*T$4)+$S7</f>
        <v>48</v>
      </c>
      <c r="U7" s="106">
        <f t="shared" si="5"/>
        <v>63.52</v>
      </c>
      <c r="V7" s="106">
        <f t="shared" si="5"/>
        <v>65.2</v>
      </c>
      <c r="W7" s="90"/>
      <c r="X7" s="90"/>
      <c r="Y7" s="90"/>
      <c r="Z7" s="90"/>
      <c r="AA7" s="90"/>
      <c r="AB7" s="15"/>
      <c r="AC7" s="105" t="s">
        <v>165</v>
      </c>
      <c r="AD7" s="90">
        <v>0.0</v>
      </c>
      <c r="AE7" s="101">
        <f t="shared" ref="AE7:AG7" si="6">($AC$3*AE$4)+$AD7</f>
        <v>22</v>
      </c>
      <c r="AF7" s="101">
        <f t="shared" si="6"/>
        <v>53.9</v>
      </c>
      <c r="AG7" s="101">
        <f t="shared" si="6"/>
        <v>93.5</v>
      </c>
      <c r="AH7" s="102">
        <v>5000.0</v>
      </c>
      <c r="AI7" s="107">
        <v>50000.0</v>
      </c>
      <c r="AJ7" s="90"/>
      <c r="AK7" s="90"/>
      <c r="AL7" s="90"/>
      <c r="AM7" s="15"/>
    </row>
    <row r="8" ht="15.75" customHeight="1">
      <c r="A8" s="88" t="s">
        <v>166</v>
      </c>
      <c r="C8" s="15"/>
      <c r="D8" s="5" t="s">
        <v>61</v>
      </c>
      <c r="E8" s="44" t="s">
        <v>145</v>
      </c>
      <c r="F8" s="15"/>
      <c r="G8" s="108" t="s">
        <v>167</v>
      </c>
      <c r="H8" s="117">
        <f>$E$11</f>
        <v>48</v>
      </c>
      <c r="I8" s="117">
        <f t="shared" ref="I8:K8" si="7">($G$3*I$4)+$H8</f>
        <v>53</v>
      </c>
      <c r="J8" s="117">
        <f t="shared" si="7"/>
        <v>59.5</v>
      </c>
      <c r="K8" s="117">
        <f t="shared" si="7"/>
        <v>61.55</v>
      </c>
      <c r="L8" s="117">
        <f>L7+H8</f>
        <v>55</v>
      </c>
      <c r="M8" s="90"/>
      <c r="N8" s="90"/>
      <c r="O8" s="90"/>
      <c r="P8" s="90"/>
      <c r="Q8" s="15"/>
      <c r="R8" s="108" t="s">
        <v>167</v>
      </c>
      <c r="S8" s="106">
        <f>$E$6</f>
        <v>36</v>
      </c>
      <c r="T8" s="106">
        <f t="shared" ref="T8:V8" si="8">($R$3*T$4)+$S8</f>
        <v>44</v>
      </c>
      <c r="U8" s="106">
        <f t="shared" si="8"/>
        <v>59.52</v>
      </c>
      <c r="V8" s="106">
        <f t="shared" si="8"/>
        <v>61.2</v>
      </c>
      <c r="W8" s="90"/>
      <c r="X8" s="90"/>
      <c r="Y8" s="90"/>
      <c r="Z8" s="90"/>
      <c r="AA8" s="90"/>
      <c r="AB8" s="15"/>
      <c r="AC8" s="108" t="s">
        <v>167</v>
      </c>
      <c r="AD8" s="90">
        <v>0.0</v>
      </c>
      <c r="AE8" s="101">
        <f t="shared" ref="AE8:AG8" si="9">($AC$3*AE$4)+$AD8</f>
        <v>22</v>
      </c>
      <c r="AF8" s="101">
        <f t="shared" si="9"/>
        <v>53.9</v>
      </c>
      <c r="AG8" s="101">
        <f t="shared" si="9"/>
        <v>93.5</v>
      </c>
      <c r="AH8" s="102">
        <v>5000.0</v>
      </c>
      <c r="AI8" s="102">
        <v>50000.0</v>
      </c>
      <c r="AJ8" s="90"/>
      <c r="AK8" s="90"/>
      <c r="AL8" s="90"/>
      <c r="AM8" s="15"/>
    </row>
    <row r="9" ht="15.75" customHeight="1">
      <c r="A9" s="110" t="s">
        <v>168</v>
      </c>
      <c r="C9" s="15"/>
      <c r="D9" s="20" t="s">
        <v>58</v>
      </c>
      <c r="E9" s="49">
        <f>'Distance Cost Calculator'!P16</f>
        <v>40</v>
      </c>
      <c r="F9" s="15"/>
      <c r="G9" s="111" t="s">
        <v>123</v>
      </c>
      <c r="H9" s="117">
        <f>$E$10</f>
        <v>36</v>
      </c>
      <c r="I9" s="117">
        <f t="shared" ref="I9:K9" si="10">($G$3*I$4)+$H9</f>
        <v>41</v>
      </c>
      <c r="J9" s="117">
        <f t="shared" si="10"/>
        <v>47.5</v>
      </c>
      <c r="K9" s="117">
        <f t="shared" si="10"/>
        <v>49.55</v>
      </c>
      <c r="L9" s="117">
        <f>L7+H9</f>
        <v>43</v>
      </c>
      <c r="M9" s="90"/>
      <c r="N9" s="90"/>
      <c r="O9" s="90"/>
      <c r="P9" s="90"/>
      <c r="Q9" s="15"/>
      <c r="R9" s="111" t="s">
        <v>123</v>
      </c>
      <c r="S9" s="106">
        <f>$E$5</f>
        <v>24</v>
      </c>
      <c r="T9" s="106">
        <f t="shared" ref="T9:V9" si="11">($R$3*T$4)+$S9</f>
        <v>32</v>
      </c>
      <c r="U9" s="106">
        <f t="shared" si="11"/>
        <v>47.52</v>
      </c>
      <c r="V9" s="106">
        <f t="shared" si="11"/>
        <v>49.2</v>
      </c>
      <c r="W9" s="90"/>
      <c r="X9" s="90"/>
      <c r="Y9" s="90"/>
      <c r="Z9" s="90"/>
      <c r="AA9" s="90"/>
      <c r="AB9" s="15"/>
      <c r="AC9" s="111" t="s">
        <v>123</v>
      </c>
      <c r="AD9" s="90">
        <v>0.0</v>
      </c>
      <c r="AE9" s="101">
        <f t="shared" ref="AE9:AG9" si="12">($AC$3*AE$4)+$AD9</f>
        <v>22</v>
      </c>
      <c r="AF9" s="101">
        <f t="shared" si="12"/>
        <v>53.9</v>
      </c>
      <c r="AG9" s="101">
        <f t="shared" si="12"/>
        <v>93.5</v>
      </c>
      <c r="AH9" s="102">
        <v>5000.0</v>
      </c>
      <c r="AI9" s="102">
        <v>50000.0</v>
      </c>
      <c r="AJ9" s="90"/>
      <c r="AK9" s="90"/>
      <c r="AL9" s="90"/>
      <c r="AM9" s="15"/>
    </row>
    <row r="10" ht="15.75" customHeight="1">
      <c r="A10" s="66" t="s">
        <v>169</v>
      </c>
      <c r="B10" s="67"/>
      <c r="C10" s="21"/>
      <c r="D10" s="20" t="s">
        <v>71</v>
      </c>
      <c r="E10" s="49">
        <f>'Distance Cost Calculator'!P17</f>
        <v>36</v>
      </c>
      <c r="F10" s="21"/>
      <c r="Q10" s="21"/>
      <c r="AB10" s="21"/>
      <c r="AM10" s="21"/>
    </row>
    <row r="11" ht="15.75" customHeight="1">
      <c r="A11" s="112">
        <f>'Distance Cost Calculator'!B14</f>
        <v>1</v>
      </c>
      <c r="B11" s="113" t="s">
        <v>170</v>
      </c>
      <c r="C11" s="22"/>
      <c r="D11" s="2" t="s">
        <v>72</v>
      </c>
      <c r="E11" s="49">
        <f>'Distance Cost Calculator'!P18</f>
        <v>48</v>
      </c>
      <c r="F11" s="22"/>
      <c r="Q11" s="22"/>
      <c r="AB11" s="22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22"/>
    </row>
    <row r="12" ht="15.75" customHeight="1">
      <c r="A12" s="114" t="s">
        <v>171</v>
      </c>
      <c r="B12" s="115"/>
      <c r="C12" s="23"/>
      <c r="D12" s="43" t="s">
        <v>172</v>
      </c>
      <c r="E12" s="27"/>
      <c r="F12" s="23"/>
      <c r="G12" s="16" t="s">
        <v>130</v>
      </c>
      <c r="Q12" s="23"/>
      <c r="R12" s="16" t="s">
        <v>112</v>
      </c>
      <c r="AB12" s="23"/>
      <c r="AC12" s="16" t="s">
        <v>122</v>
      </c>
      <c r="AM12" s="23"/>
    </row>
    <row r="13" ht="15.75" customHeight="1">
      <c r="C13" s="23"/>
      <c r="D13" s="5" t="s">
        <v>61</v>
      </c>
      <c r="E13" s="44" t="s">
        <v>145</v>
      </c>
      <c r="F13" s="23"/>
      <c r="G13" s="92">
        <f>'BeastFauna Adventurer Calculato'!W30</f>
        <v>21</v>
      </c>
      <c r="H13" s="89" t="s">
        <v>146</v>
      </c>
      <c r="I13" s="90" t="s">
        <v>149</v>
      </c>
      <c r="J13" s="90"/>
      <c r="K13" s="90"/>
      <c r="L13" s="90"/>
      <c r="M13" s="90"/>
      <c r="N13" s="90"/>
      <c r="O13" s="90"/>
      <c r="P13" s="90"/>
      <c r="Q13" s="23"/>
      <c r="R13" s="92">
        <f>'BeastFauna Adventurer Calculato'!W12</f>
        <v>18</v>
      </c>
      <c r="S13" s="89" t="s">
        <v>146</v>
      </c>
      <c r="T13" s="90" t="s">
        <v>147</v>
      </c>
      <c r="U13" s="90" t="s">
        <v>148</v>
      </c>
      <c r="V13" s="90" t="s">
        <v>149</v>
      </c>
      <c r="W13" s="90" t="s">
        <v>210</v>
      </c>
      <c r="X13" s="102" t="s">
        <v>151</v>
      </c>
      <c r="Y13" s="90"/>
      <c r="Z13" s="90"/>
      <c r="AA13" s="90"/>
      <c r="AB13" s="23"/>
      <c r="AC13" s="92">
        <f>'BeastFauna Adventurer Calculato'!W22</f>
        <v>11</v>
      </c>
      <c r="AD13" s="89" t="s">
        <v>146</v>
      </c>
      <c r="AE13" s="90" t="s">
        <v>147</v>
      </c>
      <c r="AF13" s="90" t="s">
        <v>148</v>
      </c>
      <c r="AG13" s="90" t="s">
        <v>149</v>
      </c>
      <c r="AH13" s="90" t="s">
        <v>215</v>
      </c>
      <c r="AI13" s="102" t="s">
        <v>216</v>
      </c>
      <c r="AJ13" s="90"/>
      <c r="AK13" s="90"/>
      <c r="AL13" s="90"/>
      <c r="AM13" s="23"/>
    </row>
    <row r="14" ht="15.75" customHeight="1">
      <c r="C14" s="23"/>
      <c r="D14" s="20" t="s">
        <v>58</v>
      </c>
      <c r="E14" s="49">
        <f>'Distance Cost Calculator'!H21</f>
        <v>24</v>
      </c>
      <c r="F14" s="23"/>
      <c r="G14" s="90" t="s">
        <v>154</v>
      </c>
      <c r="H14" s="94"/>
      <c r="I14" s="95">
        <v>1.0</v>
      </c>
      <c r="J14" s="95"/>
      <c r="K14" s="95"/>
      <c r="L14" s="95"/>
      <c r="M14" s="95"/>
      <c r="N14" s="95"/>
      <c r="O14" s="95"/>
      <c r="P14" s="95"/>
      <c r="Q14" s="23"/>
      <c r="R14" s="90" t="s">
        <v>154</v>
      </c>
      <c r="S14" s="94"/>
      <c r="T14" s="95">
        <v>1.0</v>
      </c>
      <c r="U14" s="95">
        <v>4.25</v>
      </c>
      <c r="V14" s="95">
        <v>2.05</v>
      </c>
      <c r="W14" s="94" t="s">
        <v>217</v>
      </c>
      <c r="X14" s="102" t="s">
        <v>156</v>
      </c>
      <c r="Y14" s="95"/>
      <c r="Z14" s="95"/>
      <c r="AA14" s="95"/>
      <c r="AB14" s="23"/>
      <c r="AC14" s="90" t="s">
        <v>154</v>
      </c>
      <c r="AD14" s="94"/>
      <c r="AE14" s="95">
        <v>1.0</v>
      </c>
      <c r="AF14" s="95">
        <v>3.42</v>
      </c>
      <c r="AG14" s="95">
        <v>2.0</v>
      </c>
      <c r="AH14" s="94" t="s">
        <v>188</v>
      </c>
      <c r="AI14" s="91" t="s">
        <v>188</v>
      </c>
      <c r="AJ14" s="95"/>
      <c r="AK14" s="95"/>
      <c r="AL14" s="95"/>
      <c r="AM14" s="23"/>
    </row>
    <row r="15" ht="15.75" customHeight="1">
      <c r="C15" s="23"/>
      <c r="D15" s="2" t="s">
        <v>59</v>
      </c>
      <c r="E15" s="49">
        <f>'Distance Cost Calculator'!H22</f>
        <v>36</v>
      </c>
      <c r="F15" s="23"/>
      <c r="G15" s="90" t="s">
        <v>158</v>
      </c>
      <c r="H15" s="90" t="s">
        <v>99</v>
      </c>
      <c r="I15" s="90" t="s">
        <v>99</v>
      </c>
      <c r="J15" s="90"/>
      <c r="K15" s="90"/>
      <c r="L15" s="90"/>
      <c r="M15" s="90"/>
      <c r="N15" s="90"/>
      <c r="O15" s="90"/>
      <c r="P15" s="90"/>
      <c r="Q15" s="23"/>
      <c r="R15" s="90" t="s">
        <v>158</v>
      </c>
      <c r="S15" s="90" t="s">
        <v>99</v>
      </c>
      <c r="T15" s="90" t="s">
        <v>99</v>
      </c>
      <c r="U15" s="90" t="s">
        <v>99</v>
      </c>
      <c r="V15" s="90" t="s">
        <v>99</v>
      </c>
      <c r="W15" s="97" t="s">
        <v>218</v>
      </c>
      <c r="X15" s="116" t="s">
        <v>176</v>
      </c>
      <c r="Y15" s="90"/>
      <c r="Z15" s="90"/>
      <c r="AA15" s="90"/>
      <c r="AB15" s="23"/>
      <c r="AC15" s="90" t="s">
        <v>158</v>
      </c>
      <c r="AD15" s="90" t="s">
        <v>99</v>
      </c>
      <c r="AE15" s="90" t="s">
        <v>99</v>
      </c>
      <c r="AF15" s="90" t="s">
        <v>99</v>
      </c>
      <c r="AG15" s="90" t="s">
        <v>99</v>
      </c>
      <c r="AH15" s="97" t="s">
        <v>219</v>
      </c>
      <c r="AI15" s="102"/>
      <c r="AJ15" s="90"/>
      <c r="AK15" s="90"/>
      <c r="AL15" s="90"/>
      <c r="AM15" s="23"/>
    </row>
    <row r="16" ht="15.75" customHeight="1">
      <c r="C16" s="23"/>
      <c r="D16" s="2" t="s">
        <v>72</v>
      </c>
      <c r="E16" s="49">
        <f>'Distance Cost Calculator'!H23</f>
        <v>12</v>
      </c>
      <c r="F16" s="23"/>
      <c r="G16" s="100" t="s">
        <v>162</v>
      </c>
      <c r="H16" s="118">
        <f>$E$19</f>
        <v>36</v>
      </c>
      <c r="I16" s="118">
        <f t="shared" ref="I16:I19" si="15">($G$13*I$14)+$H16</f>
        <v>57</v>
      </c>
      <c r="J16" s="90"/>
      <c r="K16" s="90"/>
      <c r="L16" s="90"/>
      <c r="M16" s="90"/>
      <c r="N16" s="90"/>
      <c r="O16" s="90"/>
      <c r="P16" s="90"/>
      <c r="Q16" s="23"/>
      <c r="R16" s="100" t="s">
        <v>162</v>
      </c>
      <c r="S16" s="90">
        <v>0.0</v>
      </c>
      <c r="T16" s="101">
        <f t="shared" ref="T16:V16" si="13">($R$13*T$14)+$S16</f>
        <v>18</v>
      </c>
      <c r="U16" s="101">
        <f t="shared" si="13"/>
        <v>76.5</v>
      </c>
      <c r="V16" s="101">
        <f t="shared" si="13"/>
        <v>36.9</v>
      </c>
      <c r="W16" s="90">
        <f>10*A11</f>
        <v>10</v>
      </c>
      <c r="X16" s="102">
        <v>500.0</v>
      </c>
      <c r="Y16" s="90"/>
      <c r="Z16" s="90"/>
      <c r="AA16" s="90"/>
      <c r="AB16" s="23"/>
      <c r="AC16" s="100" t="s">
        <v>162</v>
      </c>
      <c r="AD16" s="90">
        <v>0.0</v>
      </c>
      <c r="AE16" s="101">
        <f t="shared" ref="AE16:AG16" si="14">($AC$13*AE$14)+$AD16</f>
        <v>11</v>
      </c>
      <c r="AF16" s="101">
        <f t="shared" si="14"/>
        <v>37.62</v>
      </c>
      <c r="AG16" s="101">
        <f t="shared" si="14"/>
        <v>22</v>
      </c>
      <c r="AH16" s="90">
        <f>375*A11</f>
        <v>375</v>
      </c>
      <c r="AI16" s="102">
        <v>50.0</v>
      </c>
      <c r="AJ16" s="90"/>
      <c r="AK16" s="90"/>
      <c r="AL16" s="90"/>
      <c r="AM16" s="23"/>
    </row>
    <row r="17" ht="15.75" customHeight="1">
      <c r="C17" s="23"/>
      <c r="D17" s="43" t="s">
        <v>179</v>
      </c>
      <c r="E17" s="27"/>
      <c r="F17" s="23"/>
      <c r="G17" s="105" t="s">
        <v>165</v>
      </c>
      <c r="H17" s="118">
        <f>$E$20</f>
        <v>48</v>
      </c>
      <c r="I17" s="118">
        <f t="shared" si="15"/>
        <v>69</v>
      </c>
      <c r="J17" s="90"/>
      <c r="K17" s="90"/>
      <c r="L17" s="90"/>
      <c r="M17" s="90"/>
      <c r="N17" s="90"/>
      <c r="O17" s="90"/>
      <c r="P17" s="90"/>
      <c r="Q17" s="23"/>
      <c r="R17" s="105" t="s">
        <v>165</v>
      </c>
      <c r="S17" s="106">
        <f>$E$4</f>
        <v>40</v>
      </c>
      <c r="T17" s="106">
        <f t="shared" ref="T17:V17" si="16">($R$13*T$14)+$S17</f>
        <v>58</v>
      </c>
      <c r="U17" s="106">
        <f t="shared" si="16"/>
        <v>116.5</v>
      </c>
      <c r="V17" s="106">
        <f t="shared" si="16"/>
        <v>76.9</v>
      </c>
      <c r="W17" s="106">
        <f>W16+$E$4</f>
        <v>50</v>
      </c>
      <c r="X17" s="107">
        <v>750.0</v>
      </c>
      <c r="Y17" s="90"/>
      <c r="Z17" s="90"/>
      <c r="AA17" s="90"/>
      <c r="AB17" s="23"/>
      <c r="AC17" s="105" t="s">
        <v>165</v>
      </c>
      <c r="AD17" s="106">
        <f>$E$4</f>
        <v>40</v>
      </c>
      <c r="AE17" s="106">
        <f t="shared" ref="AE17:AG17" si="17">($AC$13*AE$14)+$AD17</f>
        <v>51</v>
      </c>
      <c r="AF17" s="106">
        <f t="shared" si="17"/>
        <v>77.62</v>
      </c>
      <c r="AG17" s="106">
        <f t="shared" si="17"/>
        <v>62</v>
      </c>
      <c r="AH17" s="106">
        <f>AH16+AD17</f>
        <v>415</v>
      </c>
      <c r="AI17" s="102">
        <v>50.0</v>
      </c>
      <c r="AJ17" s="90"/>
      <c r="AK17" s="90"/>
      <c r="AL17" s="90"/>
      <c r="AM17" s="23"/>
    </row>
    <row r="18" ht="15.75" customHeight="1">
      <c r="C18" s="23"/>
      <c r="D18" s="5" t="s">
        <v>61</v>
      </c>
      <c r="E18" s="44" t="s">
        <v>145</v>
      </c>
      <c r="F18" s="23"/>
      <c r="G18" s="108" t="s">
        <v>167</v>
      </c>
      <c r="H18" s="90">
        <v>0.0</v>
      </c>
      <c r="I18" s="101">
        <f t="shared" si="15"/>
        <v>21</v>
      </c>
      <c r="J18" s="90"/>
      <c r="K18" s="90"/>
      <c r="L18" s="90"/>
      <c r="M18" s="90"/>
      <c r="N18" s="90"/>
      <c r="O18" s="90"/>
      <c r="P18" s="90"/>
      <c r="Q18" s="23"/>
      <c r="R18" s="108" t="s">
        <v>167</v>
      </c>
      <c r="S18" s="90">
        <v>0.0</v>
      </c>
      <c r="T18" s="101">
        <f t="shared" ref="T18:V18" si="18">($R$13*T$14)+$S18</f>
        <v>18</v>
      </c>
      <c r="U18" s="101">
        <f t="shared" si="18"/>
        <v>76.5</v>
      </c>
      <c r="V18" s="101">
        <f t="shared" si="18"/>
        <v>36.9</v>
      </c>
      <c r="W18" s="109">
        <f>W16</f>
        <v>10</v>
      </c>
      <c r="X18" s="102">
        <v>500.0</v>
      </c>
      <c r="Y18" s="109"/>
      <c r="Z18" s="109"/>
      <c r="AA18" s="109"/>
      <c r="AB18" s="23"/>
      <c r="AC18" s="108" t="s">
        <v>167</v>
      </c>
      <c r="AD18" s="106">
        <f>$E$6</f>
        <v>36</v>
      </c>
      <c r="AE18" s="106">
        <f t="shared" ref="AE18:AG18" si="19">($AC$13*AE$14)+$AD18</f>
        <v>47</v>
      </c>
      <c r="AF18" s="106">
        <f t="shared" si="19"/>
        <v>73.62</v>
      </c>
      <c r="AG18" s="106">
        <f t="shared" si="19"/>
        <v>58</v>
      </c>
      <c r="AH18" s="106">
        <f>AH16+AD18</f>
        <v>411</v>
      </c>
      <c r="AI18" s="102">
        <v>50.0</v>
      </c>
      <c r="AJ18" s="90"/>
      <c r="AK18" s="90"/>
      <c r="AL18" s="90"/>
      <c r="AM18" s="23"/>
    </row>
    <row r="19" ht="15.75" customHeight="1">
      <c r="C19" s="23"/>
      <c r="D19" s="20" t="s">
        <v>58</v>
      </c>
      <c r="E19" s="49">
        <f>'Distance Cost Calculator'!P21</f>
        <v>36</v>
      </c>
      <c r="F19" s="23"/>
      <c r="G19" s="111" t="s">
        <v>123</v>
      </c>
      <c r="H19" s="118">
        <f>$E$21</f>
        <v>12</v>
      </c>
      <c r="I19" s="118">
        <f t="shared" si="15"/>
        <v>33</v>
      </c>
      <c r="J19" s="90"/>
      <c r="K19" s="90"/>
      <c r="L19" s="90"/>
      <c r="M19" s="90"/>
      <c r="N19" s="90"/>
      <c r="O19" s="90"/>
      <c r="P19" s="90"/>
      <c r="Q19" s="23"/>
      <c r="R19" s="111" t="s">
        <v>123</v>
      </c>
      <c r="S19" s="90">
        <v>0.0</v>
      </c>
      <c r="T19" s="101">
        <f t="shared" ref="T19:V19" si="20">($R$13*T$14)+$S19</f>
        <v>18</v>
      </c>
      <c r="U19" s="101">
        <f t="shared" si="20"/>
        <v>76.5</v>
      </c>
      <c r="V19" s="101">
        <f t="shared" si="20"/>
        <v>36.9</v>
      </c>
      <c r="W19" s="109">
        <f>W16</f>
        <v>10</v>
      </c>
      <c r="X19" s="102">
        <v>500.0</v>
      </c>
      <c r="Y19" s="109"/>
      <c r="Z19" s="109"/>
      <c r="AA19" s="109"/>
      <c r="AB19" s="23"/>
      <c r="AC19" s="111" t="s">
        <v>123</v>
      </c>
      <c r="AD19" s="106">
        <f>$E$5</f>
        <v>24</v>
      </c>
      <c r="AE19" s="106">
        <f t="shared" ref="AE19:AG19" si="21">($AC$13*AE$14)+$AD19</f>
        <v>35</v>
      </c>
      <c r="AF19" s="106">
        <f t="shared" si="21"/>
        <v>61.62</v>
      </c>
      <c r="AG19" s="106">
        <f t="shared" si="21"/>
        <v>46</v>
      </c>
      <c r="AH19" s="106">
        <f>AH16+AD19</f>
        <v>399</v>
      </c>
      <c r="AI19" s="102">
        <v>50.0</v>
      </c>
      <c r="AJ19" s="90"/>
      <c r="AK19" s="90"/>
      <c r="AL19" s="90"/>
      <c r="AM19" s="23"/>
    </row>
    <row r="20" ht="15.75" customHeight="1">
      <c r="C20" s="23"/>
      <c r="D20" s="2" t="s">
        <v>59</v>
      </c>
      <c r="E20" s="49">
        <f>'Distance Cost Calculator'!P22</f>
        <v>48</v>
      </c>
      <c r="F20" s="23"/>
      <c r="Q20" s="23"/>
      <c r="AB20" s="23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23"/>
    </row>
    <row r="21" ht="15.75" customHeight="1">
      <c r="C21" s="23"/>
      <c r="D21" s="20" t="s">
        <v>71</v>
      </c>
      <c r="E21" s="49">
        <f>'Distance Cost Calculator'!P23</f>
        <v>12</v>
      </c>
      <c r="F21" s="23"/>
      <c r="Q21" s="23"/>
      <c r="AB21" s="23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23"/>
    </row>
    <row r="22" ht="15.75" customHeight="1">
      <c r="C22" s="23"/>
      <c r="F22" s="23"/>
      <c r="G22" s="16" t="s">
        <v>133</v>
      </c>
      <c r="Q22" s="23"/>
      <c r="R22" s="16" t="s">
        <v>129</v>
      </c>
      <c r="AB22" s="23"/>
      <c r="AC22" s="16" t="s">
        <v>113</v>
      </c>
      <c r="AM22" s="23"/>
    </row>
    <row r="23" ht="15.75" customHeight="1">
      <c r="C23" s="23"/>
      <c r="F23" s="23"/>
      <c r="G23" s="92">
        <f>'BeastFauna Adventurer Calculato'!W33</f>
        <v>5</v>
      </c>
      <c r="H23" s="89" t="s">
        <v>146</v>
      </c>
      <c r="I23" s="90" t="s">
        <v>149</v>
      </c>
      <c r="J23" s="90"/>
      <c r="K23" s="90"/>
      <c r="L23" s="90"/>
      <c r="M23" s="90"/>
      <c r="N23" s="90"/>
      <c r="O23" s="90"/>
      <c r="P23" s="90"/>
      <c r="Q23" s="23"/>
      <c r="R23" s="92">
        <f>'BeastFauna Adventurer Calculato'!W29</f>
        <v>5</v>
      </c>
      <c r="S23" s="89" t="s">
        <v>146</v>
      </c>
      <c r="T23" s="90" t="s">
        <v>149</v>
      </c>
      <c r="U23" s="90"/>
      <c r="V23" s="90"/>
      <c r="W23" s="90"/>
      <c r="X23" s="90"/>
      <c r="Y23" s="90"/>
      <c r="Z23" s="90"/>
      <c r="AA23" s="90"/>
      <c r="AB23" s="23"/>
      <c r="AC23" s="92">
        <f>'BeastFauna Adventurer Calculato'!W13</f>
        <v>10</v>
      </c>
      <c r="AD23" s="89" t="s">
        <v>146</v>
      </c>
      <c r="AE23" s="90" t="s">
        <v>147</v>
      </c>
      <c r="AF23" s="90" t="s">
        <v>148</v>
      </c>
      <c r="AG23" s="90" t="s">
        <v>149</v>
      </c>
      <c r="AH23" s="90" t="s">
        <v>151</v>
      </c>
      <c r="AI23" s="90"/>
      <c r="AJ23" s="90"/>
      <c r="AK23" s="90"/>
      <c r="AL23" s="90"/>
      <c r="AM23" s="23"/>
    </row>
    <row r="24" ht="15.75" customHeight="1">
      <c r="C24" s="23"/>
      <c r="F24" s="23"/>
      <c r="G24" s="90" t="s">
        <v>154</v>
      </c>
      <c r="H24" s="94"/>
      <c r="I24" s="95">
        <v>1.0</v>
      </c>
      <c r="J24" s="95"/>
      <c r="K24" s="95"/>
      <c r="L24" s="95"/>
      <c r="M24" s="95"/>
      <c r="N24" s="95"/>
      <c r="O24" s="95"/>
      <c r="P24" s="95"/>
      <c r="Q24" s="23"/>
      <c r="R24" s="90" t="s">
        <v>154</v>
      </c>
      <c r="S24" s="94"/>
      <c r="T24" s="95">
        <v>1.0</v>
      </c>
      <c r="U24" s="95"/>
      <c r="V24" s="95"/>
      <c r="W24" s="95"/>
      <c r="X24" s="95"/>
      <c r="Y24" s="95"/>
      <c r="Z24" s="95"/>
      <c r="AA24" s="95"/>
      <c r="AB24" s="23"/>
      <c r="AC24" s="90" t="s">
        <v>154</v>
      </c>
      <c r="AD24" s="94"/>
      <c r="AE24" s="95">
        <v>1.0</v>
      </c>
      <c r="AF24" s="95">
        <v>3.15</v>
      </c>
      <c r="AG24" s="95">
        <v>1.5</v>
      </c>
      <c r="AH24" s="94"/>
      <c r="AI24" s="95"/>
      <c r="AJ24" s="95"/>
      <c r="AK24" s="95"/>
      <c r="AL24" s="95"/>
      <c r="AM24" s="23"/>
    </row>
    <row r="25" ht="15.75" customHeight="1">
      <c r="C25" s="23"/>
      <c r="F25" s="23"/>
      <c r="G25" s="90" t="s">
        <v>158</v>
      </c>
      <c r="H25" s="90" t="s">
        <v>99</v>
      </c>
      <c r="I25" s="90" t="s">
        <v>99</v>
      </c>
      <c r="J25" s="90"/>
      <c r="K25" s="90"/>
      <c r="L25" s="90"/>
      <c r="M25" s="90"/>
      <c r="N25" s="90"/>
      <c r="O25" s="90"/>
      <c r="P25" s="90"/>
      <c r="Q25" s="23"/>
      <c r="R25" s="90" t="s">
        <v>158</v>
      </c>
      <c r="S25" s="90" t="s">
        <v>99</v>
      </c>
      <c r="T25" s="90" t="s">
        <v>99</v>
      </c>
      <c r="U25" s="90"/>
      <c r="V25" s="90"/>
      <c r="W25" s="90"/>
      <c r="X25" s="90"/>
      <c r="Y25" s="90"/>
      <c r="Z25" s="90"/>
      <c r="AA25" s="90"/>
      <c r="AB25" s="23"/>
      <c r="AC25" s="90" t="s">
        <v>158</v>
      </c>
      <c r="AD25" s="90" t="s">
        <v>99</v>
      </c>
      <c r="AE25" s="90" t="s">
        <v>99</v>
      </c>
      <c r="AF25" s="90" t="s">
        <v>99</v>
      </c>
      <c r="AG25" s="90" t="s">
        <v>99</v>
      </c>
      <c r="AH25" s="97"/>
      <c r="AI25" s="90"/>
      <c r="AJ25" s="90"/>
      <c r="AK25" s="90"/>
      <c r="AL25" s="90"/>
      <c r="AM25" s="23"/>
    </row>
    <row r="26" ht="15.75" customHeight="1">
      <c r="C26" s="23"/>
      <c r="F26" s="23"/>
      <c r="G26" s="100" t="s">
        <v>162</v>
      </c>
      <c r="H26" s="118">
        <f>$E$19</f>
        <v>36</v>
      </c>
      <c r="I26" s="118">
        <f t="shared" ref="I26:I29" si="23">($G$23*I$24)+$H26</f>
        <v>41</v>
      </c>
      <c r="J26" s="90"/>
      <c r="K26" s="90"/>
      <c r="L26" s="90"/>
      <c r="M26" s="90"/>
      <c r="N26" s="90"/>
      <c r="O26" s="90"/>
      <c r="P26" s="90"/>
      <c r="Q26" s="23"/>
      <c r="R26" s="100" t="s">
        <v>162</v>
      </c>
      <c r="S26" s="90">
        <v>0.0</v>
      </c>
      <c r="T26" s="101">
        <f t="shared" ref="T26:T29" si="24">($R$23*T$24)+$S26</f>
        <v>5</v>
      </c>
      <c r="U26" s="90"/>
      <c r="V26" s="90"/>
      <c r="W26" s="90"/>
      <c r="X26" s="90"/>
      <c r="Y26" s="90"/>
      <c r="Z26" s="90"/>
      <c r="AA26" s="90"/>
      <c r="AB26" s="23"/>
      <c r="AC26" s="100" t="s">
        <v>162</v>
      </c>
      <c r="AD26" s="90">
        <v>0.0</v>
      </c>
      <c r="AE26" s="101">
        <f t="shared" ref="AE26:AG26" si="22">($AC$23*AE$24)+$AD26</f>
        <v>10</v>
      </c>
      <c r="AF26" s="101">
        <f t="shared" si="22"/>
        <v>31.5</v>
      </c>
      <c r="AG26" s="101">
        <f t="shared" si="22"/>
        <v>15</v>
      </c>
      <c r="AH26" s="119" t="s">
        <v>180</v>
      </c>
      <c r="AI26" s="90"/>
      <c r="AJ26" s="90"/>
      <c r="AK26" s="90"/>
      <c r="AL26" s="90"/>
      <c r="AM26" s="23"/>
    </row>
    <row r="27" ht="15.75" customHeight="1">
      <c r="C27" s="23"/>
      <c r="F27" s="23"/>
      <c r="G27" s="105" t="s">
        <v>165</v>
      </c>
      <c r="H27" s="118">
        <f>$E$20</f>
        <v>48</v>
      </c>
      <c r="I27" s="118">
        <f t="shared" si="23"/>
        <v>53</v>
      </c>
      <c r="J27" s="90"/>
      <c r="K27" s="90"/>
      <c r="L27" s="90"/>
      <c r="M27" s="90"/>
      <c r="N27" s="90"/>
      <c r="O27" s="90"/>
      <c r="P27" s="90"/>
      <c r="Q27" s="23"/>
      <c r="R27" s="105" t="s">
        <v>165</v>
      </c>
      <c r="S27" s="106">
        <f>$E$4</f>
        <v>40</v>
      </c>
      <c r="T27" s="106">
        <f t="shared" si="24"/>
        <v>45</v>
      </c>
      <c r="U27" s="90"/>
      <c r="V27" s="90"/>
      <c r="W27" s="90"/>
      <c r="X27" s="90"/>
      <c r="Y27" s="90"/>
      <c r="Z27" s="90"/>
      <c r="AA27" s="90"/>
      <c r="AB27" s="23"/>
      <c r="AC27" s="105" t="s">
        <v>165</v>
      </c>
      <c r="AD27" s="106">
        <f>$E$4</f>
        <v>40</v>
      </c>
      <c r="AE27" s="106">
        <f t="shared" ref="AE27:AG27" si="25">($AC$23*AE$24)+$AD27</f>
        <v>50</v>
      </c>
      <c r="AF27" s="106">
        <f t="shared" si="25"/>
        <v>71.5</v>
      </c>
      <c r="AG27" s="106">
        <f t="shared" si="25"/>
        <v>55</v>
      </c>
      <c r="AH27" s="119" t="s">
        <v>180</v>
      </c>
      <c r="AI27" s="90"/>
      <c r="AJ27" s="90"/>
      <c r="AK27" s="90"/>
      <c r="AL27" s="90"/>
      <c r="AM27" s="23"/>
    </row>
    <row r="28" ht="15.75" customHeight="1">
      <c r="C28" s="23"/>
      <c r="F28" s="23"/>
      <c r="G28" s="108" t="s">
        <v>167</v>
      </c>
      <c r="H28" s="90">
        <v>0.0</v>
      </c>
      <c r="I28" s="101">
        <f t="shared" si="23"/>
        <v>5</v>
      </c>
      <c r="J28" s="90"/>
      <c r="K28" s="90"/>
      <c r="L28" s="90"/>
      <c r="M28" s="90"/>
      <c r="N28" s="90"/>
      <c r="O28" s="90"/>
      <c r="P28" s="90"/>
      <c r="Q28" s="23"/>
      <c r="R28" s="108" t="s">
        <v>167</v>
      </c>
      <c r="S28" s="106">
        <f>$E$6</f>
        <v>36</v>
      </c>
      <c r="T28" s="106">
        <f t="shared" si="24"/>
        <v>41</v>
      </c>
      <c r="U28" s="90"/>
      <c r="V28" s="90"/>
      <c r="W28" s="90"/>
      <c r="X28" s="90"/>
      <c r="Y28" s="90"/>
      <c r="Z28" s="90"/>
      <c r="AA28" s="90"/>
      <c r="AB28" s="23"/>
      <c r="AC28" s="108" t="s">
        <v>167</v>
      </c>
      <c r="AD28" s="106">
        <f>$E$6</f>
        <v>36</v>
      </c>
      <c r="AE28" s="106">
        <f t="shared" ref="AE28:AG28" si="26">($AC$23*AE$24)+$AD28</f>
        <v>46</v>
      </c>
      <c r="AF28" s="106">
        <f t="shared" si="26"/>
        <v>67.5</v>
      </c>
      <c r="AG28" s="106">
        <f t="shared" si="26"/>
        <v>51</v>
      </c>
      <c r="AH28" s="119" t="s">
        <v>180</v>
      </c>
      <c r="AI28" s="90"/>
      <c r="AJ28" s="90"/>
      <c r="AK28" s="90"/>
      <c r="AL28" s="90"/>
      <c r="AM28" s="23"/>
    </row>
    <row r="29" ht="15.75" customHeight="1">
      <c r="C29" s="23"/>
      <c r="F29" s="23"/>
      <c r="G29" s="111" t="s">
        <v>123</v>
      </c>
      <c r="H29" s="118">
        <f>$E$21</f>
        <v>12</v>
      </c>
      <c r="I29" s="118">
        <f t="shared" si="23"/>
        <v>17</v>
      </c>
      <c r="J29" s="90"/>
      <c r="K29" s="90"/>
      <c r="L29" s="90"/>
      <c r="M29" s="90"/>
      <c r="N29" s="90"/>
      <c r="O29" s="90"/>
      <c r="P29" s="90"/>
      <c r="Q29" s="23"/>
      <c r="R29" s="111" t="s">
        <v>123</v>
      </c>
      <c r="S29" s="106">
        <f>$E$5</f>
        <v>24</v>
      </c>
      <c r="T29" s="106">
        <f t="shared" si="24"/>
        <v>29</v>
      </c>
      <c r="U29" s="90"/>
      <c r="V29" s="90"/>
      <c r="W29" s="90"/>
      <c r="X29" s="90"/>
      <c r="Y29" s="90"/>
      <c r="Z29" s="90"/>
      <c r="AA29" s="90"/>
      <c r="AB29" s="23"/>
      <c r="AC29" s="111" t="s">
        <v>123</v>
      </c>
      <c r="AD29" s="106">
        <f>$E$5</f>
        <v>24</v>
      </c>
      <c r="AE29" s="106">
        <f t="shared" ref="AE29:AG29" si="27">($AC$23*AE$24)+$AD29</f>
        <v>34</v>
      </c>
      <c r="AF29" s="106">
        <f t="shared" si="27"/>
        <v>55.5</v>
      </c>
      <c r="AG29" s="106">
        <f t="shared" si="27"/>
        <v>39</v>
      </c>
      <c r="AH29" s="120" t="s">
        <v>180</v>
      </c>
      <c r="AI29" s="90"/>
      <c r="AJ29" s="90"/>
      <c r="AK29" s="90"/>
      <c r="AL29" s="90"/>
      <c r="AM29" s="23"/>
    </row>
    <row r="30" ht="15.75" customHeight="1">
      <c r="C30" s="23"/>
      <c r="F30" s="23"/>
      <c r="Q30" s="23"/>
      <c r="AB30" s="23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23"/>
    </row>
    <row r="31" ht="15.75" customHeight="1">
      <c r="C31" s="23"/>
      <c r="F31" s="23"/>
      <c r="Q31" s="23"/>
      <c r="AB31" s="23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23"/>
    </row>
    <row r="32" ht="15.75" customHeight="1">
      <c r="C32" s="23"/>
      <c r="F32" s="23"/>
      <c r="Q32" s="23"/>
      <c r="R32" s="16" t="s">
        <v>126</v>
      </c>
      <c r="AB32" s="23"/>
      <c r="AC32" s="16" t="s">
        <v>131</v>
      </c>
      <c r="AM32" s="23"/>
    </row>
    <row r="33" ht="15.75" customHeight="1">
      <c r="C33" s="23"/>
      <c r="F33" s="23"/>
      <c r="Q33" s="23"/>
      <c r="R33" s="92">
        <f>'BeastFauna Adventurer Calculato'!W26</f>
        <v>13</v>
      </c>
      <c r="S33" s="89" t="s">
        <v>146</v>
      </c>
      <c r="T33" s="90" t="s">
        <v>149</v>
      </c>
      <c r="U33" s="90"/>
      <c r="V33" s="90"/>
      <c r="W33" s="90"/>
      <c r="X33" s="90"/>
      <c r="Y33" s="90"/>
      <c r="Z33" s="90"/>
      <c r="AA33" s="90"/>
      <c r="AB33" s="23"/>
      <c r="AC33" s="92">
        <f>'BeastFauna Adventurer Calculato'!W31</f>
        <v>7</v>
      </c>
      <c r="AD33" s="89" t="s">
        <v>146</v>
      </c>
      <c r="AE33" s="90" t="s">
        <v>147</v>
      </c>
      <c r="AF33" s="90" t="s">
        <v>148</v>
      </c>
      <c r="AG33" s="90" t="s">
        <v>149</v>
      </c>
      <c r="AH33" s="90"/>
      <c r="AI33" s="90"/>
      <c r="AJ33" s="90"/>
      <c r="AK33" s="90"/>
      <c r="AL33" s="90"/>
      <c r="AM33" s="23"/>
    </row>
    <row r="34" ht="15.75" customHeight="1">
      <c r="C34" s="23"/>
      <c r="F34" s="23"/>
      <c r="Q34" s="23"/>
      <c r="R34" s="90" t="s">
        <v>154</v>
      </c>
      <c r="S34" s="94"/>
      <c r="T34" s="95">
        <v>1.0</v>
      </c>
      <c r="U34" s="95"/>
      <c r="V34" s="95"/>
      <c r="W34" s="95"/>
      <c r="X34" s="95"/>
      <c r="Y34" s="95"/>
      <c r="Z34" s="95"/>
      <c r="AA34" s="95"/>
      <c r="AB34" s="23"/>
      <c r="AC34" s="90" t="s">
        <v>154</v>
      </c>
      <c r="AD34" s="94"/>
      <c r="AE34" s="95">
        <v>1.0</v>
      </c>
      <c r="AF34" s="95">
        <v>3.62</v>
      </c>
      <c r="AG34" s="95">
        <v>5.28</v>
      </c>
      <c r="AH34" s="95"/>
      <c r="AI34" s="95"/>
      <c r="AJ34" s="95"/>
      <c r="AK34" s="95"/>
      <c r="AL34" s="95"/>
      <c r="AM34" s="23"/>
    </row>
    <row r="35" ht="15.75" customHeight="1">
      <c r="C35" s="23"/>
      <c r="F35" s="23"/>
      <c r="Q35" s="23"/>
      <c r="R35" s="90" t="s">
        <v>158</v>
      </c>
      <c r="S35" s="90" t="s">
        <v>99</v>
      </c>
      <c r="T35" s="90" t="s">
        <v>99</v>
      </c>
      <c r="U35" s="90"/>
      <c r="V35" s="90"/>
      <c r="W35" s="90"/>
      <c r="X35" s="90"/>
      <c r="Y35" s="90"/>
      <c r="Z35" s="90"/>
      <c r="AA35" s="90"/>
      <c r="AB35" s="23"/>
      <c r="AC35" s="90" t="s">
        <v>158</v>
      </c>
      <c r="AD35" s="90" t="s">
        <v>99</v>
      </c>
      <c r="AE35" s="90" t="s">
        <v>99</v>
      </c>
      <c r="AF35" s="90" t="s">
        <v>99</v>
      </c>
      <c r="AG35" s="90"/>
      <c r="AH35" s="90"/>
      <c r="AI35" s="90"/>
      <c r="AJ35" s="90"/>
      <c r="AK35" s="90"/>
      <c r="AL35" s="90"/>
      <c r="AM35" s="23"/>
    </row>
    <row r="36" ht="15.75" customHeight="1">
      <c r="C36" s="23"/>
      <c r="F36" s="23"/>
      <c r="Q36" s="23"/>
      <c r="R36" s="100" t="s">
        <v>162</v>
      </c>
      <c r="S36" s="90">
        <v>0.0</v>
      </c>
      <c r="T36" s="101">
        <f t="shared" ref="T36:T39" si="29">($R$33*T$34)+$S36</f>
        <v>13</v>
      </c>
      <c r="U36" s="90"/>
      <c r="V36" s="90"/>
      <c r="W36" s="90"/>
      <c r="X36" s="90"/>
      <c r="Y36" s="90"/>
      <c r="Z36" s="90"/>
      <c r="AA36" s="90"/>
      <c r="AB36" s="23"/>
      <c r="AC36" s="100" t="s">
        <v>162</v>
      </c>
      <c r="AD36" s="90">
        <v>0.0</v>
      </c>
      <c r="AE36" s="101">
        <f t="shared" ref="AE36:AG36" si="28">($AC$33*AE$34)+$AD36</f>
        <v>7</v>
      </c>
      <c r="AF36" s="101">
        <f t="shared" si="28"/>
        <v>25.34</v>
      </c>
      <c r="AG36" s="101">
        <f t="shared" si="28"/>
        <v>36.96</v>
      </c>
      <c r="AH36" s="90"/>
      <c r="AI36" s="90"/>
      <c r="AJ36" s="90"/>
      <c r="AK36" s="90"/>
      <c r="AL36" s="90"/>
      <c r="AM36" s="23"/>
    </row>
    <row r="37" ht="15.75" customHeight="1">
      <c r="C37" s="23"/>
      <c r="F37" s="23"/>
      <c r="Q37" s="23"/>
      <c r="R37" s="105" t="s">
        <v>165</v>
      </c>
      <c r="S37" s="106">
        <f>$E$4</f>
        <v>40</v>
      </c>
      <c r="T37" s="106">
        <f t="shared" si="29"/>
        <v>53</v>
      </c>
      <c r="U37" s="90"/>
      <c r="V37" s="90"/>
      <c r="W37" s="90"/>
      <c r="X37" s="90"/>
      <c r="Y37" s="90"/>
      <c r="Z37" s="90"/>
      <c r="AA37" s="90"/>
      <c r="AB37" s="23"/>
      <c r="AC37" s="105" t="s">
        <v>165</v>
      </c>
      <c r="AD37" s="106">
        <f>$E$4</f>
        <v>40</v>
      </c>
      <c r="AE37" s="106">
        <f t="shared" ref="AE37:AG37" si="30">($AC$33*AE$34)+$AD37</f>
        <v>47</v>
      </c>
      <c r="AF37" s="106">
        <f t="shared" si="30"/>
        <v>65.34</v>
      </c>
      <c r="AG37" s="106">
        <f t="shared" si="30"/>
        <v>76.96</v>
      </c>
      <c r="AH37" s="90"/>
      <c r="AI37" s="90"/>
      <c r="AJ37" s="90"/>
      <c r="AK37" s="90"/>
      <c r="AL37" s="90"/>
      <c r="AM37" s="23"/>
    </row>
    <row r="38" ht="15.75" customHeight="1">
      <c r="C38" s="15"/>
      <c r="F38" s="15"/>
      <c r="Q38" s="15"/>
      <c r="R38" s="108" t="s">
        <v>167</v>
      </c>
      <c r="S38" s="106">
        <f>$E$6</f>
        <v>36</v>
      </c>
      <c r="T38" s="106">
        <f t="shared" si="29"/>
        <v>49</v>
      </c>
      <c r="U38" s="90"/>
      <c r="V38" s="90"/>
      <c r="W38" s="90"/>
      <c r="X38" s="90"/>
      <c r="Y38" s="90"/>
      <c r="Z38" s="90"/>
      <c r="AA38" s="90"/>
      <c r="AB38" s="15"/>
      <c r="AC38" s="108" t="s">
        <v>167</v>
      </c>
      <c r="AD38" s="103">
        <f>$E$16</f>
        <v>12</v>
      </c>
      <c r="AE38" s="103">
        <f t="shared" ref="AE38:AG38" si="31">($AC$33*AE$34)+$AD38</f>
        <v>19</v>
      </c>
      <c r="AF38" s="103">
        <f t="shared" si="31"/>
        <v>37.34</v>
      </c>
      <c r="AG38" s="103">
        <f t="shared" si="31"/>
        <v>48.96</v>
      </c>
      <c r="AH38" s="90"/>
      <c r="AI38" s="90"/>
      <c r="AJ38" s="90"/>
      <c r="AK38" s="90"/>
      <c r="AL38" s="90"/>
      <c r="AM38" s="15"/>
    </row>
    <row r="39" ht="15.75" customHeight="1">
      <c r="C39" s="15"/>
      <c r="F39" s="15"/>
      <c r="Q39" s="15"/>
      <c r="R39" s="111" t="s">
        <v>123</v>
      </c>
      <c r="S39" s="106">
        <f>$E$5</f>
        <v>24</v>
      </c>
      <c r="T39" s="106">
        <f t="shared" si="29"/>
        <v>37</v>
      </c>
      <c r="U39" s="90"/>
      <c r="V39" s="90"/>
      <c r="W39" s="90"/>
      <c r="X39" s="90"/>
      <c r="Y39" s="90"/>
      <c r="Z39" s="90"/>
      <c r="AA39" s="90"/>
      <c r="AB39" s="15"/>
      <c r="AC39" s="111" t="s">
        <v>123</v>
      </c>
      <c r="AD39" s="90">
        <v>0.0</v>
      </c>
      <c r="AE39" s="101">
        <f t="shared" ref="AE39:AG39" si="32">($AC$33*AE$34)+$AD39</f>
        <v>7</v>
      </c>
      <c r="AF39" s="101">
        <f t="shared" si="32"/>
        <v>25.34</v>
      </c>
      <c r="AG39" s="101">
        <f t="shared" si="32"/>
        <v>36.96</v>
      </c>
      <c r="AH39" s="109"/>
      <c r="AI39" s="109"/>
      <c r="AJ39" s="109"/>
      <c r="AK39" s="109"/>
      <c r="AL39" s="109"/>
      <c r="AM39" s="15"/>
    </row>
    <row r="40" ht="15.75" customHeight="1">
      <c r="C40" s="15"/>
      <c r="F40" s="15"/>
      <c r="Q40" s="15"/>
      <c r="AB40" s="15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5"/>
    </row>
    <row r="41" ht="15.75" customHeight="1">
      <c r="C41" s="15"/>
      <c r="F41" s="15"/>
      <c r="Q41" s="15"/>
      <c r="AB41" s="15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5"/>
    </row>
    <row r="42" ht="15.75" customHeight="1">
      <c r="C42" s="15"/>
      <c r="F42" s="15"/>
      <c r="Q42" s="15"/>
      <c r="AB42" s="15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5"/>
    </row>
    <row r="43" ht="15.75" customHeight="1">
      <c r="C43" s="15"/>
      <c r="F43" s="15"/>
      <c r="Q43" s="15"/>
      <c r="AB43" s="15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5"/>
    </row>
    <row r="44" ht="15.75" customHeight="1">
      <c r="C44" s="15"/>
      <c r="F44" s="15"/>
      <c r="Q44" s="15"/>
      <c r="AB44" s="15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5"/>
    </row>
    <row r="45" ht="15.75" customHeight="1">
      <c r="C45" s="15"/>
      <c r="F45" s="15"/>
      <c r="Q45" s="15"/>
      <c r="AB45" s="15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5"/>
    </row>
    <row r="46" ht="15.75" customHeight="1">
      <c r="C46" s="15"/>
      <c r="F46" s="15"/>
      <c r="Q46" s="15"/>
      <c r="AB46" s="15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5"/>
    </row>
    <row r="47" ht="15.75" customHeight="1">
      <c r="C47" s="15"/>
      <c r="F47" s="15"/>
      <c r="Q47" s="15"/>
      <c r="AB47" s="15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5"/>
    </row>
    <row r="48" ht="15.75" customHeight="1">
      <c r="C48" s="15"/>
      <c r="F48" s="15"/>
      <c r="Q48" s="15"/>
      <c r="AB48" s="15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5"/>
    </row>
    <row r="49" ht="15.75" customHeight="1">
      <c r="C49" s="15"/>
      <c r="F49" s="15"/>
      <c r="Q49" s="15"/>
      <c r="AB49" s="15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5"/>
    </row>
    <row r="50" ht="15.75" customHeight="1">
      <c r="C50" s="15"/>
      <c r="F50" s="15"/>
      <c r="Q50" s="15"/>
      <c r="AB50" s="15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5"/>
    </row>
    <row r="51" ht="15.75" customHeight="1">
      <c r="C51" s="15"/>
      <c r="F51" s="15"/>
      <c r="Q51" s="15"/>
      <c r="AB51" s="15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5"/>
    </row>
    <row r="52" ht="15.75" customHeight="1">
      <c r="C52" s="15"/>
      <c r="F52" s="15"/>
      <c r="Q52" s="15"/>
      <c r="AB52" s="15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5"/>
    </row>
    <row r="53" ht="15.75" customHeight="1">
      <c r="C53" s="15"/>
      <c r="F53" s="15"/>
      <c r="Q53" s="15"/>
      <c r="AB53" s="15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5"/>
    </row>
    <row r="54" ht="15.75" customHeight="1">
      <c r="C54" s="15"/>
      <c r="F54" s="15"/>
      <c r="Q54" s="15"/>
      <c r="AB54" s="15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5"/>
    </row>
    <row r="55" ht="15.75" customHeight="1">
      <c r="C55" s="15"/>
      <c r="F55" s="15"/>
      <c r="Q55" s="15"/>
      <c r="AB55" s="15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5"/>
    </row>
    <row r="56" ht="15.75" customHeight="1">
      <c r="C56" s="15"/>
      <c r="F56" s="15"/>
      <c r="Q56" s="15"/>
      <c r="AB56" s="15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5"/>
    </row>
    <row r="57" ht="15.75" customHeight="1">
      <c r="C57" s="15"/>
      <c r="F57" s="15"/>
      <c r="Q57" s="15"/>
      <c r="AB57" s="15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5"/>
    </row>
    <row r="58" ht="15.75" customHeight="1">
      <c r="C58" s="15"/>
      <c r="F58" s="15"/>
      <c r="Q58" s="15"/>
      <c r="AB58" s="15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5"/>
    </row>
    <row r="59" ht="15.75" customHeight="1">
      <c r="C59" s="15"/>
      <c r="F59" s="15"/>
      <c r="Q59" s="15"/>
      <c r="AB59" s="15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5"/>
    </row>
    <row r="60" ht="15.75" customHeight="1">
      <c r="C60" s="15"/>
      <c r="F60" s="15"/>
      <c r="Q60" s="15"/>
      <c r="AB60" s="15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5"/>
    </row>
    <row r="61" ht="15.75" customHeight="1">
      <c r="C61" s="15"/>
      <c r="F61" s="15"/>
      <c r="Q61" s="15"/>
      <c r="AB61" s="15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5"/>
    </row>
    <row r="62" ht="15.75" customHeight="1">
      <c r="C62" s="15"/>
      <c r="F62" s="15"/>
      <c r="Q62" s="15"/>
      <c r="AB62" s="15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5"/>
    </row>
    <row r="63" ht="15.75" customHeight="1">
      <c r="C63" s="15"/>
      <c r="F63" s="15"/>
      <c r="Q63" s="15"/>
      <c r="AB63" s="15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5"/>
    </row>
    <row r="64" ht="15.75" customHeight="1">
      <c r="C64" s="15"/>
      <c r="F64" s="15"/>
      <c r="Q64" s="15"/>
      <c r="AB64" s="15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5"/>
    </row>
    <row r="65" ht="15.75" customHeight="1">
      <c r="C65" s="15"/>
      <c r="F65" s="15"/>
      <c r="Q65" s="15"/>
      <c r="AB65" s="15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5"/>
    </row>
    <row r="66" ht="15.75" customHeight="1">
      <c r="C66" s="15"/>
      <c r="F66" s="15"/>
      <c r="Q66" s="15"/>
      <c r="AB66" s="15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5"/>
    </row>
    <row r="67" ht="15.75" customHeight="1">
      <c r="C67" s="15"/>
      <c r="F67" s="15"/>
      <c r="Q67" s="15"/>
      <c r="AB67" s="15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5"/>
    </row>
    <row r="68" ht="15.75" customHeight="1">
      <c r="C68" s="15"/>
      <c r="F68" s="15"/>
      <c r="Q68" s="15"/>
      <c r="AB68" s="15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5"/>
    </row>
    <row r="69" ht="15.75" customHeight="1">
      <c r="C69" s="15"/>
      <c r="F69" s="15"/>
      <c r="Q69" s="15"/>
      <c r="AB69" s="15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5"/>
    </row>
    <row r="70" ht="15.75" customHeight="1">
      <c r="C70" s="15"/>
      <c r="F70" s="15"/>
      <c r="Q70" s="15"/>
      <c r="AB70" s="15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5"/>
    </row>
    <row r="71" ht="15.75" customHeight="1">
      <c r="C71" s="15"/>
      <c r="F71" s="15"/>
      <c r="Q71" s="15"/>
      <c r="AB71" s="15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5"/>
    </row>
    <row r="72" ht="15.75" customHeight="1">
      <c r="C72" s="15"/>
      <c r="F72" s="15"/>
      <c r="Q72" s="15"/>
      <c r="AB72" s="15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5"/>
    </row>
    <row r="73" ht="15.75" customHeight="1">
      <c r="C73" s="15"/>
      <c r="F73" s="15"/>
      <c r="Q73" s="15"/>
      <c r="AB73" s="15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5"/>
    </row>
    <row r="74" ht="15.75" customHeight="1">
      <c r="C74" s="15"/>
      <c r="F74" s="15"/>
      <c r="Q74" s="15"/>
      <c r="AB74" s="15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5"/>
    </row>
    <row r="75" ht="15.75" customHeight="1">
      <c r="C75" s="15"/>
      <c r="F75" s="15"/>
      <c r="Q75" s="15"/>
      <c r="AB75" s="15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5"/>
    </row>
    <row r="76" ht="15.75" customHeight="1">
      <c r="C76" s="15"/>
      <c r="F76" s="15"/>
      <c r="Q76" s="15"/>
      <c r="AB76" s="15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5"/>
    </row>
    <row r="77" ht="15.75" customHeight="1">
      <c r="C77" s="15"/>
      <c r="F77" s="15"/>
      <c r="Q77" s="15"/>
      <c r="AB77" s="15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5"/>
    </row>
    <row r="78" ht="15.75" customHeight="1">
      <c r="C78" s="15"/>
      <c r="F78" s="15"/>
      <c r="Q78" s="15"/>
      <c r="AB78" s="15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5"/>
    </row>
    <row r="79" ht="15.75" customHeight="1">
      <c r="C79" s="15"/>
      <c r="F79" s="15"/>
      <c r="Q79" s="15"/>
      <c r="AB79" s="15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5"/>
    </row>
    <row r="80" ht="15.75" customHeight="1">
      <c r="C80" s="15"/>
      <c r="F80" s="15"/>
      <c r="Q80" s="15"/>
      <c r="AB80" s="15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5"/>
    </row>
    <row r="81" ht="15.75" customHeight="1">
      <c r="C81" s="15"/>
      <c r="F81" s="15"/>
      <c r="Q81" s="15"/>
      <c r="AB81" s="15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5"/>
    </row>
    <row r="82" ht="15.75" customHeight="1">
      <c r="C82" s="15"/>
      <c r="F82" s="15"/>
      <c r="Q82" s="15"/>
      <c r="AB82" s="15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5"/>
    </row>
    <row r="83" ht="15.75" customHeight="1">
      <c r="C83" s="15"/>
      <c r="F83" s="15"/>
      <c r="Q83" s="15"/>
      <c r="AB83" s="15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5"/>
    </row>
    <row r="84" ht="15.75" customHeight="1">
      <c r="C84" s="15"/>
      <c r="F84" s="15"/>
      <c r="Q84" s="15"/>
      <c r="AB84" s="15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5"/>
    </row>
    <row r="85" ht="15.75" customHeight="1">
      <c r="C85" s="15"/>
      <c r="F85" s="15"/>
      <c r="Q85" s="15"/>
      <c r="AB85" s="15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5"/>
    </row>
    <row r="86" ht="15.75" customHeight="1">
      <c r="C86" s="15"/>
      <c r="F86" s="15"/>
      <c r="Q86" s="15"/>
      <c r="AB86" s="15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5"/>
    </row>
    <row r="87" ht="15.75" customHeight="1">
      <c r="C87" s="15"/>
      <c r="F87" s="15"/>
      <c r="Q87" s="15"/>
      <c r="AB87" s="15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5"/>
    </row>
    <row r="88" ht="15.75" customHeight="1">
      <c r="C88" s="15"/>
      <c r="F88" s="15"/>
      <c r="Q88" s="15"/>
      <c r="AB88" s="15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5"/>
    </row>
    <row r="89" ht="15.75" customHeight="1">
      <c r="C89" s="15"/>
      <c r="F89" s="15"/>
      <c r="Q89" s="15"/>
      <c r="AB89" s="15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5"/>
    </row>
    <row r="90" ht="15.75" customHeight="1">
      <c r="C90" s="15"/>
      <c r="F90" s="15"/>
      <c r="Q90" s="15"/>
      <c r="AB90" s="15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5"/>
    </row>
    <row r="91" ht="15.75" customHeight="1">
      <c r="C91" s="15"/>
      <c r="F91" s="15"/>
      <c r="Q91" s="15"/>
      <c r="AB91" s="15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5"/>
    </row>
    <row r="92" ht="15.75" customHeight="1">
      <c r="C92" s="15"/>
      <c r="F92" s="15"/>
      <c r="Q92" s="15"/>
      <c r="AB92" s="15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5"/>
    </row>
    <row r="93" ht="15.75" customHeight="1">
      <c r="C93" s="15"/>
      <c r="F93" s="15"/>
      <c r="Q93" s="15"/>
      <c r="AB93" s="15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5"/>
    </row>
    <row r="94" ht="15.75" customHeight="1">
      <c r="C94" s="15"/>
      <c r="F94" s="15"/>
      <c r="Q94" s="15"/>
      <c r="AB94" s="15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5"/>
    </row>
    <row r="95" ht="15.75" customHeight="1">
      <c r="C95" s="15"/>
      <c r="F95" s="15"/>
      <c r="Q95" s="15"/>
      <c r="AB95" s="15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5"/>
    </row>
    <row r="96" ht="15.75" customHeight="1">
      <c r="C96" s="15"/>
      <c r="F96" s="15"/>
      <c r="Q96" s="15"/>
      <c r="AB96" s="15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5"/>
    </row>
    <row r="97" ht="15.75" customHeight="1">
      <c r="C97" s="15"/>
      <c r="F97" s="15"/>
      <c r="Q97" s="15"/>
      <c r="AB97" s="15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5"/>
    </row>
    <row r="98" ht="15.75" customHeight="1">
      <c r="C98" s="15"/>
      <c r="F98" s="15"/>
      <c r="Q98" s="15"/>
      <c r="AB98" s="15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5"/>
    </row>
    <row r="99" ht="15.75" customHeight="1">
      <c r="C99" s="15"/>
      <c r="F99" s="15"/>
      <c r="Q99" s="15"/>
      <c r="AB99" s="15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5"/>
    </row>
    <row r="100" ht="15.75" customHeight="1">
      <c r="C100" s="15"/>
      <c r="F100" s="15"/>
      <c r="Q100" s="15"/>
      <c r="AB100" s="15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5"/>
    </row>
    <row r="101" ht="15.75" customHeight="1">
      <c r="C101" s="15"/>
      <c r="F101" s="15"/>
      <c r="Q101" s="15"/>
      <c r="AB101" s="15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5"/>
    </row>
    <row r="102" ht="15.75" customHeight="1">
      <c r="C102" s="15"/>
      <c r="F102" s="15"/>
      <c r="Q102" s="15"/>
      <c r="AB102" s="15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5"/>
    </row>
    <row r="103" ht="15.75" customHeight="1">
      <c r="C103" s="15"/>
      <c r="F103" s="15"/>
      <c r="Q103" s="15"/>
      <c r="AB103" s="15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5"/>
    </row>
    <row r="104" ht="15.75" customHeight="1">
      <c r="C104" s="15"/>
      <c r="F104" s="15"/>
      <c r="Q104" s="15"/>
      <c r="AB104" s="15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5"/>
    </row>
    <row r="105" ht="15.75" customHeight="1">
      <c r="C105" s="15"/>
      <c r="F105" s="15"/>
      <c r="Q105" s="15"/>
      <c r="AB105" s="15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5"/>
    </row>
    <row r="106" ht="15.75" customHeight="1">
      <c r="C106" s="15"/>
      <c r="F106" s="15"/>
      <c r="Q106" s="15"/>
      <c r="AB106" s="15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5"/>
    </row>
    <row r="107" ht="15.75" customHeight="1">
      <c r="C107" s="15"/>
      <c r="F107" s="15"/>
      <c r="Q107" s="15"/>
      <c r="AB107" s="15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5"/>
    </row>
    <row r="108" ht="15.75" customHeight="1">
      <c r="C108" s="15"/>
      <c r="F108" s="15"/>
      <c r="Q108" s="15"/>
      <c r="AB108" s="15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5"/>
    </row>
    <row r="109" ht="15.75" customHeight="1">
      <c r="C109" s="15"/>
      <c r="F109" s="15"/>
      <c r="Q109" s="15"/>
      <c r="AB109" s="15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5"/>
    </row>
    <row r="110" ht="15.75" customHeight="1">
      <c r="C110" s="15"/>
      <c r="F110" s="15"/>
      <c r="Q110" s="15"/>
      <c r="AB110" s="15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5"/>
    </row>
    <row r="111" ht="15.75" customHeight="1">
      <c r="C111" s="15"/>
      <c r="F111" s="15"/>
      <c r="Q111" s="15"/>
      <c r="AB111" s="15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5"/>
    </row>
    <row r="112" ht="15.75" customHeight="1">
      <c r="C112" s="15"/>
      <c r="F112" s="15"/>
      <c r="Q112" s="15"/>
      <c r="AB112" s="15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5"/>
    </row>
    <row r="113" ht="15.75" customHeight="1">
      <c r="C113" s="15"/>
      <c r="F113" s="15"/>
      <c r="Q113" s="15"/>
      <c r="AB113" s="15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5"/>
    </row>
    <row r="114" ht="15.75" customHeight="1">
      <c r="C114" s="15"/>
      <c r="F114" s="15"/>
      <c r="Q114" s="15"/>
      <c r="AB114" s="15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5"/>
    </row>
    <row r="115" ht="15.75" customHeight="1">
      <c r="C115" s="15"/>
      <c r="F115" s="15"/>
      <c r="Q115" s="15"/>
      <c r="AB115" s="15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5"/>
    </row>
    <row r="116" ht="15.75" customHeight="1">
      <c r="C116" s="15"/>
      <c r="F116" s="15"/>
      <c r="Q116" s="15"/>
      <c r="AB116" s="15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5"/>
    </row>
    <row r="117" ht="15.75" customHeight="1">
      <c r="C117" s="15"/>
      <c r="F117" s="15"/>
      <c r="Q117" s="15"/>
      <c r="AB117" s="15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5"/>
    </row>
    <row r="118" ht="15.75" customHeight="1">
      <c r="C118" s="15"/>
      <c r="F118" s="15"/>
      <c r="Q118" s="15"/>
      <c r="AB118" s="15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5"/>
    </row>
    <row r="119" ht="15.75" customHeight="1">
      <c r="C119" s="15"/>
      <c r="F119" s="15"/>
      <c r="Q119" s="15"/>
      <c r="AB119" s="15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5"/>
    </row>
    <row r="120" ht="15.75" customHeight="1">
      <c r="C120" s="15"/>
      <c r="F120" s="15"/>
      <c r="Q120" s="15"/>
      <c r="AB120" s="15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5"/>
    </row>
    <row r="121" ht="15.75" customHeight="1">
      <c r="C121" s="15"/>
      <c r="F121" s="15"/>
      <c r="Q121" s="15"/>
      <c r="AB121" s="15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5"/>
    </row>
    <row r="122" ht="15.75" customHeight="1">
      <c r="C122" s="15"/>
      <c r="F122" s="15"/>
      <c r="Q122" s="15"/>
      <c r="AB122" s="15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5"/>
    </row>
    <row r="123" ht="15.75" customHeight="1">
      <c r="C123" s="15"/>
      <c r="F123" s="15"/>
      <c r="Q123" s="15"/>
      <c r="AB123" s="15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5"/>
    </row>
    <row r="124" ht="15.75" customHeight="1">
      <c r="C124" s="15"/>
      <c r="F124" s="15"/>
      <c r="Q124" s="15"/>
      <c r="AB124" s="15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5"/>
    </row>
    <row r="125" ht="15.75" customHeight="1">
      <c r="C125" s="15"/>
      <c r="F125" s="15"/>
      <c r="Q125" s="15"/>
      <c r="AB125" s="15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5"/>
    </row>
    <row r="126" ht="15.75" customHeight="1">
      <c r="C126" s="15"/>
      <c r="F126" s="15"/>
      <c r="Q126" s="15"/>
      <c r="AB126" s="15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5"/>
    </row>
    <row r="127" ht="15.75" customHeight="1">
      <c r="C127" s="15"/>
      <c r="F127" s="15"/>
      <c r="Q127" s="15"/>
      <c r="AB127" s="15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5"/>
    </row>
    <row r="128" ht="15.75" customHeight="1">
      <c r="C128" s="15"/>
      <c r="F128" s="15"/>
      <c r="Q128" s="15"/>
      <c r="AB128" s="15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5"/>
    </row>
    <row r="129" ht="15.75" customHeight="1">
      <c r="C129" s="15"/>
      <c r="F129" s="15"/>
      <c r="Q129" s="15"/>
      <c r="AB129" s="15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5"/>
    </row>
    <row r="130" ht="15.75" customHeight="1">
      <c r="C130" s="15"/>
      <c r="F130" s="15"/>
      <c r="Q130" s="15"/>
      <c r="AB130" s="15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5"/>
    </row>
    <row r="131" ht="15.75" customHeight="1">
      <c r="C131" s="15"/>
      <c r="F131" s="15"/>
      <c r="Q131" s="15"/>
      <c r="AB131" s="15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5"/>
    </row>
    <row r="132" ht="15.75" customHeight="1">
      <c r="C132" s="15"/>
      <c r="F132" s="15"/>
      <c r="Q132" s="15"/>
      <c r="AB132" s="15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5"/>
    </row>
    <row r="133" ht="15.75" customHeight="1">
      <c r="C133" s="15"/>
      <c r="F133" s="15"/>
      <c r="Q133" s="15"/>
      <c r="AB133" s="15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5"/>
    </row>
    <row r="134" ht="15.75" customHeight="1">
      <c r="C134" s="15"/>
      <c r="F134" s="15"/>
      <c r="Q134" s="15"/>
      <c r="AB134" s="15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5"/>
    </row>
    <row r="135" ht="15.75" customHeight="1">
      <c r="C135" s="15"/>
      <c r="F135" s="15"/>
      <c r="Q135" s="15"/>
      <c r="AB135" s="15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5"/>
    </row>
    <row r="136" ht="15.75" customHeight="1">
      <c r="C136" s="15"/>
      <c r="F136" s="15"/>
      <c r="Q136" s="15"/>
      <c r="AB136" s="15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5"/>
    </row>
    <row r="137" ht="15.75" customHeight="1">
      <c r="C137" s="15"/>
      <c r="F137" s="15"/>
      <c r="Q137" s="15"/>
      <c r="AB137" s="15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5"/>
    </row>
    <row r="138" ht="15.75" customHeight="1">
      <c r="C138" s="15"/>
      <c r="F138" s="15"/>
      <c r="Q138" s="15"/>
      <c r="AB138" s="15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5"/>
    </row>
    <row r="139" ht="15.75" customHeight="1">
      <c r="C139" s="15"/>
      <c r="F139" s="15"/>
      <c r="Q139" s="15"/>
      <c r="AB139" s="15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5"/>
    </row>
    <row r="140" ht="15.75" customHeight="1">
      <c r="C140" s="15"/>
      <c r="F140" s="15"/>
      <c r="Q140" s="15"/>
      <c r="AB140" s="15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5"/>
    </row>
    <row r="141" ht="15.75" customHeight="1">
      <c r="C141" s="15"/>
      <c r="F141" s="15"/>
      <c r="Q141" s="15"/>
      <c r="AB141" s="15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5"/>
    </row>
    <row r="142" ht="15.75" customHeight="1">
      <c r="C142" s="15"/>
      <c r="F142" s="15"/>
      <c r="Q142" s="15"/>
      <c r="AB142" s="15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5"/>
    </row>
    <row r="143" ht="15.75" customHeight="1">
      <c r="C143" s="15"/>
      <c r="F143" s="15"/>
      <c r="Q143" s="15"/>
      <c r="AB143" s="15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5"/>
    </row>
    <row r="144" ht="15.75" customHeight="1">
      <c r="C144" s="15"/>
      <c r="F144" s="15"/>
      <c r="Q144" s="15"/>
      <c r="AB144" s="15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5"/>
    </row>
    <row r="145" ht="15.75" customHeight="1">
      <c r="C145" s="15"/>
      <c r="F145" s="15"/>
      <c r="Q145" s="15"/>
      <c r="AB145" s="15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5"/>
    </row>
    <row r="146" ht="15.75" customHeight="1">
      <c r="C146" s="15"/>
      <c r="F146" s="15"/>
      <c r="Q146" s="15"/>
      <c r="AB146" s="15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5"/>
    </row>
    <row r="147" ht="15.75" customHeight="1">
      <c r="C147" s="15"/>
      <c r="F147" s="15"/>
      <c r="Q147" s="15"/>
      <c r="AB147" s="15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5"/>
    </row>
    <row r="148" ht="15.75" customHeight="1">
      <c r="C148" s="15"/>
      <c r="F148" s="15"/>
      <c r="Q148" s="15"/>
      <c r="AB148" s="15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5"/>
    </row>
    <row r="149" ht="15.75" customHeight="1">
      <c r="C149" s="15"/>
      <c r="F149" s="15"/>
      <c r="Q149" s="15"/>
      <c r="AB149" s="15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5"/>
    </row>
    <row r="150" ht="15.75" customHeight="1">
      <c r="C150" s="15"/>
      <c r="F150" s="15"/>
      <c r="Q150" s="15"/>
      <c r="AB150" s="15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5"/>
    </row>
    <row r="151" ht="15.75" customHeight="1">
      <c r="C151" s="15"/>
      <c r="F151" s="15"/>
      <c r="Q151" s="15"/>
      <c r="AB151" s="15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5"/>
    </row>
    <row r="152" ht="15.75" customHeight="1">
      <c r="C152" s="15"/>
      <c r="F152" s="15"/>
      <c r="Q152" s="15"/>
      <c r="AB152" s="15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5"/>
    </row>
    <row r="153" ht="15.75" customHeight="1">
      <c r="C153" s="15"/>
      <c r="F153" s="15"/>
      <c r="Q153" s="15"/>
      <c r="AB153" s="15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5"/>
    </row>
    <row r="154" ht="15.75" customHeight="1">
      <c r="C154" s="15"/>
      <c r="F154" s="15"/>
      <c r="Q154" s="15"/>
      <c r="AB154" s="15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5"/>
    </row>
    <row r="155" ht="15.75" customHeight="1">
      <c r="C155" s="15"/>
      <c r="F155" s="15"/>
      <c r="Q155" s="15"/>
      <c r="AB155" s="15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5"/>
    </row>
    <row r="156" ht="15.75" customHeight="1">
      <c r="C156" s="15"/>
      <c r="F156" s="15"/>
      <c r="Q156" s="15"/>
      <c r="AB156" s="15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5"/>
    </row>
    <row r="157" ht="15.75" customHeight="1">
      <c r="C157" s="15"/>
      <c r="F157" s="15"/>
      <c r="Q157" s="15"/>
      <c r="AB157" s="15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5"/>
    </row>
    <row r="158" ht="15.75" customHeight="1">
      <c r="C158" s="15"/>
      <c r="F158" s="15"/>
      <c r="Q158" s="15"/>
      <c r="AB158" s="15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5"/>
    </row>
    <row r="159" ht="15.75" customHeight="1">
      <c r="C159" s="15"/>
      <c r="F159" s="15"/>
      <c r="Q159" s="15"/>
      <c r="AB159" s="15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5"/>
    </row>
    <row r="160" ht="15.75" customHeight="1">
      <c r="C160" s="15"/>
      <c r="F160" s="15"/>
      <c r="Q160" s="15"/>
      <c r="AB160" s="15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5"/>
    </row>
    <row r="161" ht="15.75" customHeight="1">
      <c r="C161" s="15"/>
      <c r="F161" s="15"/>
      <c r="Q161" s="15"/>
      <c r="AB161" s="15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5"/>
    </row>
    <row r="162" ht="15.75" customHeight="1">
      <c r="C162" s="15"/>
      <c r="F162" s="15"/>
      <c r="Q162" s="15"/>
      <c r="AB162" s="15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5"/>
    </row>
    <row r="163" ht="15.75" customHeight="1">
      <c r="C163" s="15"/>
      <c r="F163" s="15"/>
      <c r="Q163" s="15"/>
      <c r="AB163" s="15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5"/>
    </row>
    <row r="164" ht="15.75" customHeight="1">
      <c r="C164" s="15"/>
      <c r="F164" s="15"/>
      <c r="Q164" s="15"/>
      <c r="AB164" s="15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5"/>
    </row>
    <row r="165" ht="15.75" customHeight="1">
      <c r="C165" s="15"/>
      <c r="F165" s="15"/>
      <c r="Q165" s="15"/>
      <c r="AB165" s="15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5"/>
    </row>
    <row r="166" ht="15.75" customHeight="1">
      <c r="C166" s="15"/>
      <c r="F166" s="15"/>
      <c r="Q166" s="15"/>
      <c r="AB166" s="15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5"/>
    </row>
    <row r="167" ht="15.75" customHeight="1">
      <c r="C167" s="15"/>
      <c r="F167" s="15"/>
      <c r="Q167" s="15"/>
      <c r="AB167" s="15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5"/>
    </row>
    <row r="168" ht="15.75" customHeight="1">
      <c r="C168" s="15"/>
      <c r="F168" s="15"/>
      <c r="Q168" s="15"/>
      <c r="AB168" s="15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5"/>
    </row>
    <row r="169" ht="15.75" customHeight="1">
      <c r="C169" s="15"/>
      <c r="F169" s="15"/>
      <c r="Q169" s="15"/>
      <c r="AB169" s="15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5"/>
    </row>
    <row r="170" ht="15.75" customHeight="1">
      <c r="C170" s="15"/>
      <c r="F170" s="15"/>
      <c r="Q170" s="15"/>
      <c r="AB170" s="15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5"/>
    </row>
    <row r="171" ht="15.75" customHeight="1">
      <c r="C171" s="15"/>
      <c r="F171" s="15"/>
      <c r="Q171" s="15"/>
      <c r="AB171" s="15"/>
      <c r="AM171" s="15"/>
    </row>
    <row r="172" ht="15.75" customHeight="1">
      <c r="C172" s="15"/>
      <c r="F172" s="15"/>
      <c r="Q172" s="15"/>
      <c r="AB172" s="15"/>
      <c r="AM172" s="15"/>
    </row>
    <row r="173" ht="15.75" customHeight="1">
      <c r="C173" s="15"/>
      <c r="F173" s="15"/>
      <c r="Q173" s="15"/>
      <c r="AB173" s="15"/>
      <c r="AM173" s="15"/>
    </row>
    <row r="174" ht="15.75" customHeight="1">
      <c r="C174" s="15"/>
      <c r="F174" s="15"/>
      <c r="Q174" s="15"/>
      <c r="AB174" s="15"/>
      <c r="AM174" s="15"/>
    </row>
    <row r="175" ht="15.75" customHeight="1">
      <c r="C175" s="15"/>
      <c r="F175" s="15"/>
      <c r="Q175" s="15"/>
      <c r="AB175" s="15"/>
      <c r="AM175" s="15"/>
    </row>
    <row r="176" ht="15.75" customHeight="1">
      <c r="C176" s="15"/>
      <c r="F176" s="15"/>
      <c r="Q176" s="15"/>
      <c r="AB176" s="15"/>
      <c r="AM176" s="15"/>
    </row>
    <row r="177" ht="15.75" customHeight="1">
      <c r="C177" s="15"/>
      <c r="F177" s="15"/>
      <c r="Q177" s="15"/>
      <c r="AB177" s="15"/>
      <c r="AM177" s="15"/>
    </row>
    <row r="178" ht="15.75" customHeight="1">
      <c r="C178" s="15"/>
      <c r="F178" s="15"/>
      <c r="Q178" s="15"/>
      <c r="AB178" s="15"/>
      <c r="AM178" s="15"/>
    </row>
    <row r="179" ht="15.75" customHeight="1">
      <c r="C179" s="15"/>
      <c r="F179" s="15"/>
      <c r="Q179" s="15"/>
      <c r="AB179" s="15"/>
      <c r="AM179" s="15"/>
    </row>
    <row r="180" ht="15.75" customHeight="1">
      <c r="C180" s="15"/>
      <c r="F180" s="15"/>
      <c r="Q180" s="15"/>
      <c r="AB180" s="15"/>
      <c r="AM180" s="15"/>
    </row>
    <row r="181" ht="15.75" customHeight="1">
      <c r="C181" s="15"/>
      <c r="F181" s="15"/>
      <c r="Q181" s="15"/>
      <c r="AB181" s="15"/>
      <c r="AM181" s="15"/>
    </row>
    <row r="182" ht="15.75" customHeight="1">
      <c r="C182" s="15"/>
      <c r="F182" s="15"/>
      <c r="Q182" s="15"/>
      <c r="AB182" s="15"/>
      <c r="AM182" s="15"/>
    </row>
    <row r="183" ht="15.75" customHeight="1">
      <c r="C183" s="15"/>
      <c r="F183" s="15"/>
      <c r="Q183" s="15"/>
      <c r="AB183" s="15"/>
      <c r="AM183" s="15"/>
    </row>
    <row r="184" ht="15.75" customHeight="1">
      <c r="C184" s="15"/>
      <c r="F184" s="15"/>
      <c r="Q184" s="15"/>
      <c r="AB184" s="15"/>
      <c r="AM184" s="15"/>
    </row>
    <row r="185" ht="15.75" customHeight="1">
      <c r="C185" s="15"/>
      <c r="F185" s="15"/>
      <c r="Q185" s="15"/>
      <c r="AB185" s="15"/>
      <c r="AM185" s="15"/>
    </row>
    <row r="186" ht="15.75" customHeight="1">
      <c r="C186" s="15"/>
      <c r="F186" s="15"/>
      <c r="Q186" s="15"/>
      <c r="AB186" s="15"/>
      <c r="AM186" s="15"/>
    </row>
    <row r="187" ht="15.75" customHeight="1">
      <c r="C187" s="15"/>
      <c r="F187" s="15"/>
      <c r="Q187" s="15"/>
      <c r="AB187" s="15"/>
      <c r="AM187" s="15"/>
    </row>
    <row r="188" ht="15.75" customHeight="1">
      <c r="C188" s="15"/>
      <c r="F188" s="15"/>
      <c r="Q188" s="15"/>
      <c r="AB188" s="15"/>
      <c r="AM188" s="15"/>
    </row>
    <row r="189" ht="15.75" customHeight="1">
      <c r="C189" s="15"/>
      <c r="F189" s="15"/>
      <c r="Q189" s="15"/>
      <c r="AB189" s="15"/>
      <c r="AM189" s="15"/>
    </row>
    <row r="190" ht="15.75" customHeight="1">
      <c r="C190" s="15"/>
      <c r="F190" s="15"/>
      <c r="Q190" s="15"/>
      <c r="AB190" s="15"/>
      <c r="AM190" s="15"/>
    </row>
    <row r="191" ht="15.75" customHeight="1">
      <c r="C191" s="15"/>
      <c r="F191" s="15"/>
      <c r="Q191" s="15"/>
      <c r="AB191" s="15"/>
      <c r="AM191" s="15"/>
    </row>
    <row r="192" ht="15.75" customHeight="1">
      <c r="C192" s="15"/>
      <c r="F192" s="15"/>
      <c r="Q192" s="15"/>
      <c r="AB192" s="15"/>
      <c r="AM192" s="15"/>
    </row>
    <row r="193" ht="15.75" customHeight="1">
      <c r="C193" s="15"/>
      <c r="F193" s="15"/>
      <c r="Q193" s="15"/>
      <c r="AB193" s="15"/>
      <c r="AM193" s="15"/>
    </row>
    <row r="194" ht="15.75" customHeight="1">
      <c r="C194" s="15"/>
      <c r="F194" s="15"/>
      <c r="Q194" s="15"/>
      <c r="AB194" s="15"/>
      <c r="AM194" s="15"/>
    </row>
    <row r="195" ht="15.75" customHeight="1">
      <c r="C195" s="15"/>
      <c r="F195" s="15"/>
      <c r="Q195" s="15"/>
      <c r="AB195" s="15"/>
      <c r="AM195" s="15"/>
    </row>
    <row r="196" ht="15.75" customHeight="1">
      <c r="C196" s="15"/>
      <c r="F196" s="15"/>
      <c r="Q196" s="15"/>
      <c r="AB196" s="15"/>
      <c r="AM196" s="15"/>
    </row>
    <row r="197" ht="15.75" customHeight="1">
      <c r="C197" s="15"/>
      <c r="F197" s="15"/>
      <c r="Q197" s="15"/>
      <c r="AB197" s="15"/>
      <c r="AM197" s="15"/>
    </row>
    <row r="198" ht="15.75" customHeight="1">
      <c r="C198" s="15"/>
      <c r="F198" s="15"/>
      <c r="Q198" s="15"/>
      <c r="AB198" s="15"/>
      <c r="AM198" s="15"/>
    </row>
    <row r="199" ht="15.75" customHeight="1">
      <c r="C199" s="15"/>
      <c r="F199" s="15"/>
      <c r="Q199" s="15"/>
      <c r="AB199" s="15"/>
      <c r="AM199" s="15"/>
    </row>
    <row r="200" ht="15.75" customHeight="1">
      <c r="C200" s="15"/>
      <c r="F200" s="15"/>
      <c r="Q200" s="15"/>
      <c r="AB200" s="15"/>
      <c r="AM200" s="15"/>
    </row>
    <row r="201" ht="15.75" customHeight="1">
      <c r="C201" s="15"/>
      <c r="F201" s="15"/>
      <c r="Q201" s="15"/>
      <c r="AB201" s="15"/>
      <c r="AM201" s="15"/>
    </row>
    <row r="202" ht="15.75" customHeight="1">
      <c r="C202" s="15"/>
      <c r="F202" s="15"/>
      <c r="Q202" s="15"/>
      <c r="AB202" s="15"/>
      <c r="AM202" s="15"/>
    </row>
    <row r="203" ht="15.75" customHeight="1">
      <c r="C203" s="15"/>
      <c r="F203" s="15"/>
      <c r="Q203" s="15"/>
      <c r="AB203" s="15"/>
      <c r="AM203" s="15"/>
    </row>
    <row r="204" ht="15.75" customHeight="1">
      <c r="C204" s="15"/>
      <c r="F204" s="15"/>
      <c r="Q204" s="15"/>
      <c r="AB204" s="15"/>
      <c r="AM204" s="15"/>
    </row>
    <row r="205" ht="15.75" customHeight="1">
      <c r="C205" s="15"/>
      <c r="F205" s="15"/>
      <c r="Q205" s="15"/>
      <c r="AB205" s="15"/>
      <c r="AM205" s="15"/>
    </row>
    <row r="206" ht="15.75" customHeight="1">
      <c r="C206" s="15"/>
      <c r="F206" s="15"/>
      <c r="Q206" s="15"/>
      <c r="AB206" s="15"/>
      <c r="AM206" s="15"/>
    </row>
    <row r="207" ht="15.75" customHeight="1">
      <c r="C207" s="15"/>
      <c r="F207" s="15"/>
      <c r="Q207" s="15"/>
      <c r="AB207" s="15"/>
      <c r="AM207" s="15"/>
    </row>
    <row r="208" ht="15.75" customHeight="1">
      <c r="C208" s="15"/>
      <c r="F208" s="15"/>
      <c r="Q208" s="15"/>
      <c r="AB208" s="15"/>
      <c r="AM208" s="15"/>
    </row>
    <row r="209" ht="15.75" customHeight="1">
      <c r="C209" s="15"/>
      <c r="F209" s="15"/>
      <c r="Q209" s="15"/>
      <c r="AB209" s="15"/>
      <c r="AM209" s="15"/>
    </row>
    <row r="210" ht="15.75" customHeight="1">
      <c r="C210" s="15"/>
      <c r="F210" s="15"/>
      <c r="Q210" s="15"/>
      <c r="AB210" s="15"/>
      <c r="AM210" s="15"/>
    </row>
    <row r="211" ht="15.75" customHeight="1">
      <c r="C211" s="15"/>
      <c r="F211" s="15"/>
      <c r="Q211" s="15"/>
      <c r="AB211" s="15"/>
      <c r="AM211" s="15"/>
    </row>
    <row r="212" ht="15.75" customHeight="1">
      <c r="C212" s="15"/>
      <c r="F212" s="15"/>
      <c r="Q212" s="15"/>
      <c r="AB212" s="15"/>
      <c r="AM212" s="15"/>
    </row>
    <row r="213" ht="15.75" customHeight="1">
      <c r="C213" s="15"/>
      <c r="F213" s="15"/>
      <c r="Q213" s="15"/>
      <c r="AB213" s="15"/>
      <c r="AM213" s="15"/>
    </row>
    <row r="214" ht="15.75" customHeight="1">
      <c r="C214" s="15"/>
      <c r="F214" s="15"/>
      <c r="Q214" s="15"/>
      <c r="AB214" s="15"/>
      <c r="AM214" s="15"/>
    </row>
    <row r="215" ht="15.75" customHeight="1">
      <c r="C215" s="15"/>
      <c r="F215" s="15"/>
      <c r="Q215" s="15"/>
      <c r="AB215" s="15"/>
      <c r="AM215" s="15"/>
    </row>
    <row r="216" ht="15.75" customHeight="1">
      <c r="C216" s="15"/>
      <c r="F216" s="15"/>
      <c r="Q216" s="15"/>
      <c r="AB216" s="15"/>
      <c r="AM216" s="15"/>
    </row>
    <row r="217" ht="15.75" customHeight="1">
      <c r="C217" s="15"/>
      <c r="F217" s="15"/>
      <c r="Q217" s="15"/>
      <c r="AB217" s="15"/>
      <c r="AM217" s="15"/>
    </row>
    <row r="218" ht="15.75" customHeight="1">
      <c r="C218" s="15"/>
      <c r="F218" s="15"/>
      <c r="Q218" s="15"/>
      <c r="AB218" s="15"/>
      <c r="AM218" s="15"/>
    </row>
    <row r="219" ht="15.75" customHeight="1">
      <c r="C219" s="15"/>
      <c r="F219" s="15"/>
      <c r="Q219" s="15"/>
      <c r="AB219" s="15"/>
      <c r="AM219" s="15"/>
    </row>
    <row r="220" ht="15.75" customHeight="1">
      <c r="C220" s="15"/>
      <c r="F220" s="15"/>
      <c r="Q220" s="15"/>
      <c r="AB220" s="15"/>
      <c r="AM220" s="15"/>
    </row>
    <row r="221" ht="15.75" customHeight="1">
      <c r="C221" s="15"/>
      <c r="F221" s="15"/>
      <c r="Q221" s="15"/>
      <c r="AB221" s="15"/>
      <c r="AM221" s="15"/>
    </row>
    <row r="222" ht="15.75" customHeight="1">
      <c r="C222" s="15"/>
      <c r="F222" s="15"/>
      <c r="Q222" s="15"/>
      <c r="AB222" s="15"/>
      <c r="AM222" s="15"/>
    </row>
    <row r="223" ht="15.75" customHeight="1">
      <c r="C223" s="15"/>
      <c r="F223" s="15"/>
      <c r="Q223" s="15"/>
      <c r="AB223" s="15"/>
      <c r="AM223" s="15"/>
    </row>
    <row r="224" ht="15.75" customHeight="1">
      <c r="C224" s="15"/>
      <c r="F224" s="15"/>
      <c r="Q224" s="15"/>
      <c r="AB224" s="15"/>
      <c r="AM224" s="15"/>
    </row>
    <row r="225" ht="15.75" customHeight="1">
      <c r="C225" s="15"/>
      <c r="F225" s="15"/>
      <c r="Q225" s="15"/>
      <c r="AB225" s="15"/>
      <c r="AM225" s="15"/>
    </row>
    <row r="226" ht="15.75" customHeight="1">
      <c r="C226" s="15"/>
      <c r="F226" s="15"/>
      <c r="Q226" s="15"/>
      <c r="AB226" s="15"/>
      <c r="AM226" s="15"/>
    </row>
    <row r="227" ht="15.75" customHeight="1">
      <c r="C227" s="15"/>
      <c r="F227" s="15"/>
      <c r="Q227" s="15"/>
      <c r="AB227" s="15"/>
      <c r="AM227" s="15"/>
    </row>
    <row r="228" ht="15.75" customHeight="1">
      <c r="C228" s="15"/>
      <c r="F228" s="15"/>
      <c r="Q228" s="15"/>
      <c r="AB228" s="15"/>
      <c r="AM228" s="15"/>
    </row>
    <row r="229" ht="15.75" customHeight="1">
      <c r="C229" s="15"/>
      <c r="F229" s="15"/>
      <c r="Q229" s="15"/>
      <c r="AB229" s="15"/>
      <c r="AM229" s="15"/>
    </row>
    <row r="230" ht="15.75" customHeight="1">
      <c r="C230" s="15"/>
      <c r="F230" s="15"/>
      <c r="Q230" s="15"/>
      <c r="AB230" s="15"/>
      <c r="AM230" s="15"/>
    </row>
    <row r="231" ht="15.75" customHeight="1">
      <c r="C231" s="15"/>
      <c r="F231" s="15"/>
      <c r="Q231" s="15"/>
      <c r="AB231" s="15"/>
      <c r="AM231" s="15"/>
    </row>
    <row r="232" ht="15.75" customHeight="1">
      <c r="C232" s="15"/>
      <c r="F232" s="15"/>
      <c r="Q232" s="15"/>
      <c r="AB232" s="15"/>
      <c r="AM232" s="15"/>
    </row>
    <row r="233" ht="15.75" customHeight="1">
      <c r="C233" s="15"/>
      <c r="F233" s="15"/>
      <c r="Q233" s="15"/>
      <c r="AB233" s="15"/>
      <c r="AM233" s="15"/>
    </row>
    <row r="234" ht="15.75" customHeight="1">
      <c r="C234" s="15"/>
      <c r="F234" s="15"/>
      <c r="Q234" s="15"/>
      <c r="AB234" s="15"/>
      <c r="AM234" s="15"/>
    </row>
    <row r="235" ht="15.75" customHeight="1">
      <c r="C235" s="15"/>
      <c r="F235" s="15"/>
      <c r="Q235" s="15"/>
      <c r="AB235" s="15"/>
      <c r="AM235" s="15"/>
    </row>
    <row r="236" ht="15.75" customHeight="1">
      <c r="C236" s="15"/>
      <c r="F236" s="15"/>
      <c r="Q236" s="15"/>
      <c r="AB236" s="15"/>
      <c r="AM236" s="15"/>
    </row>
    <row r="237" ht="15.75" customHeight="1">
      <c r="C237" s="15"/>
      <c r="F237" s="15"/>
      <c r="Q237" s="15"/>
      <c r="AB237" s="15"/>
      <c r="AM237" s="15"/>
    </row>
    <row r="238" ht="15.75" customHeight="1">
      <c r="C238" s="15"/>
      <c r="F238" s="15"/>
      <c r="Q238" s="15"/>
      <c r="AB238" s="15"/>
      <c r="AM238" s="15"/>
    </row>
    <row r="239" ht="15.75" customHeight="1">
      <c r="C239" s="15"/>
      <c r="F239" s="15"/>
      <c r="Q239" s="15"/>
      <c r="AB239" s="15"/>
      <c r="AM239" s="15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C1:AL1"/>
    <mergeCell ref="AC2:AL2"/>
    <mergeCell ref="A1:E1"/>
    <mergeCell ref="G1:P1"/>
    <mergeCell ref="R1:AA1"/>
    <mergeCell ref="A2:B2"/>
    <mergeCell ref="D2:E2"/>
    <mergeCell ref="G2:P2"/>
    <mergeCell ref="R2:AA2"/>
    <mergeCell ref="A9:B9"/>
    <mergeCell ref="A10:B10"/>
    <mergeCell ref="D12:E12"/>
    <mergeCell ref="G12:P12"/>
    <mergeCell ref="R12:AA12"/>
    <mergeCell ref="AC12:AL12"/>
    <mergeCell ref="D17:E17"/>
    <mergeCell ref="G22:P22"/>
    <mergeCell ref="R22:AA22"/>
    <mergeCell ref="AC22:AL22"/>
    <mergeCell ref="R32:AA32"/>
    <mergeCell ref="AC32:AL32"/>
    <mergeCell ref="A3:B3"/>
    <mergeCell ref="A4:B4"/>
    <mergeCell ref="A5:B5"/>
    <mergeCell ref="A6:B6"/>
    <mergeCell ref="A7:B7"/>
    <mergeCell ref="D7:E7"/>
    <mergeCell ref="A8:B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5.38"/>
    <col customWidth="1" min="3" max="3" width="1.88"/>
    <col customWidth="1" min="4" max="4" width="15.38"/>
    <col customWidth="1" min="5" max="5" width="8.5"/>
    <col customWidth="1" min="6" max="6" width="1.88"/>
    <col customWidth="1" min="8" max="9" width="14.63"/>
    <col customWidth="1" min="13" max="13" width="1.88"/>
    <col customWidth="1" min="17" max="17" width="1.88"/>
    <col customWidth="1" min="26" max="26" width="1.88"/>
    <col customWidth="1" min="31" max="31" width="1.88"/>
    <col customWidth="1" min="40" max="40" width="1.88"/>
    <col customWidth="1" min="44" max="44" width="1.88"/>
    <col customWidth="1" min="51" max="51" width="1.88"/>
  </cols>
  <sheetData>
    <row r="1" ht="15.75" customHeight="1">
      <c r="A1" s="14" t="s">
        <v>138</v>
      </c>
      <c r="F1" s="15"/>
      <c r="G1" s="14" t="s">
        <v>220</v>
      </c>
      <c r="M1" s="15"/>
      <c r="N1" s="14" t="s">
        <v>221</v>
      </c>
      <c r="Q1" s="15"/>
      <c r="R1" s="14" t="s">
        <v>222</v>
      </c>
      <c r="Z1" s="15"/>
      <c r="AA1" s="14" t="s">
        <v>223</v>
      </c>
      <c r="AE1" s="15"/>
      <c r="AF1" s="14" t="s">
        <v>224</v>
      </c>
      <c r="AN1" s="15"/>
      <c r="AO1" s="14" t="s">
        <v>225</v>
      </c>
      <c r="AR1" s="15"/>
      <c r="AS1" s="14" t="s">
        <v>226</v>
      </c>
      <c r="AY1" s="15"/>
    </row>
    <row r="2" ht="15.75" customHeight="1">
      <c r="A2" s="43" t="s">
        <v>142</v>
      </c>
      <c r="B2" s="27"/>
      <c r="C2" s="15"/>
      <c r="D2" s="43" t="s">
        <v>227</v>
      </c>
      <c r="E2" s="27"/>
      <c r="F2" s="15"/>
      <c r="G2" s="16" t="s">
        <v>228</v>
      </c>
      <c r="M2" s="15"/>
      <c r="N2" s="16" t="s">
        <v>229</v>
      </c>
      <c r="Q2" s="15"/>
      <c r="R2" s="16" t="s">
        <v>230</v>
      </c>
      <c r="Z2" s="15"/>
      <c r="AA2" s="16" t="s">
        <v>231</v>
      </c>
      <c r="AE2" s="15"/>
      <c r="AF2" s="16" t="s">
        <v>232</v>
      </c>
      <c r="AN2" s="15"/>
      <c r="AO2" s="16" t="s">
        <v>233</v>
      </c>
      <c r="AR2" s="15"/>
      <c r="AS2" s="16" t="s">
        <v>234</v>
      </c>
      <c r="AY2" s="15"/>
    </row>
    <row r="3" ht="15.75" customHeight="1">
      <c r="A3" s="87" t="s">
        <v>144</v>
      </c>
      <c r="C3" s="15"/>
      <c r="D3" s="5" t="s">
        <v>61</v>
      </c>
      <c r="E3" s="44" t="s">
        <v>145</v>
      </c>
      <c r="F3" s="15"/>
      <c r="G3" s="88">
        <v>1.0</v>
      </c>
      <c r="H3" s="89" t="s">
        <v>146</v>
      </c>
      <c r="I3" s="90" t="s">
        <v>235</v>
      </c>
      <c r="J3" s="90" t="s">
        <v>236</v>
      </c>
      <c r="K3" s="90" t="s">
        <v>237</v>
      </c>
      <c r="L3" s="90" t="s">
        <v>238</v>
      </c>
      <c r="M3" s="15"/>
      <c r="N3" s="88">
        <v>45.0</v>
      </c>
      <c r="O3" s="89" t="s">
        <v>146</v>
      </c>
      <c r="P3" s="90" t="s">
        <v>239</v>
      </c>
      <c r="Q3" s="15"/>
      <c r="R3" s="88">
        <v>3.0</v>
      </c>
      <c r="S3" s="89" t="s">
        <v>146</v>
      </c>
      <c r="T3" s="121" t="s">
        <v>240</v>
      </c>
      <c r="U3" s="90" t="s">
        <v>241</v>
      </c>
      <c r="V3" s="90" t="s">
        <v>236</v>
      </c>
      <c r="W3" s="90" t="s">
        <v>237</v>
      </c>
      <c r="X3" s="90" t="s">
        <v>238</v>
      </c>
      <c r="Y3" s="90"/>
      <c r="Z3" s="15"/>
      <c r="AA3" s="88">
        <v>20.0</v>
      </c>
      <c r="AB3" s="89" t="s">
        <v>146</v>
      </c>
      <c r="AC3" s="90" t="s">
        <v>242</v>
      </c>
      <c r="AD3" s="122" t="s">
        <v>243</v>
      </c>
      <c r="AE3" s="15"/>
      <c r="AF3" s="88">
        <v>1.0</v>
      </c>
      <c r="AG3" s="89" t="s">
        <v>146</v>
      </c>
      <c r="AH3" s="90" t="s">
        <v>1</v>
      </c>
      <c r="AI3" s="90" t="s">
        <v>244</v>
      </c>
      <c r="AJ3" s="90" t="s">
        <v>245</v>
      </c>
      <c r="AK3" s="90" t="s">
        <v>246</v>
      </c>
      <c r="AL3" s="90" t="s">
        <v>247</v>
      </c>
      <c r="AM3" s="90"/>
      <c r="AN3" s="15"/>
      <c r="AO3" s="88">
        <v>125.0</v>
      </c>
      <c r="AP3" s="89" t="s">
        <v>146</v>
      </c>
      <c r="AQ3" s="90" t="s">
        <v>248</v>
      </c>
      <c r="AR3" s="15"/>
      <c r="AS3" s="88">
        <v>2.0</v>
      </c>
      <c r="AT3" s="89" t="s">
        <v>146</v>
      </c>
      <c r="AU3" s="90" t="s">
        <v>1</v>
      </c>
      <c r="AV3" s="90" t="s">
        <v>249</v>
      </c>
      <c r="AW3" s="90" t="s">
        <v>244</v>
      </c>
      <c r="AX3" s="90" t="s">
        <v>245</v>
      </c>
      <c r="AY3" s="15"/>
    </row>
    <row r="4" ht="15.75" customHeight="1">
      <c r="A4" s="93" t="s">
        <v>153</v>
      </c>
      <c r="C4" s="15"/>
      <c r="D4" s="2" t="s">
        <v>59</v>
      </c>
      <c r="E4" s="49">
        <f>'Distance Cost Calculator'!G16</f>
        <v>28</v>
      </c>
      <c r="F4" s="15"/>
      <c r="G4" s="90" t="s">
        <v>154</v>
      </c>
      <c r="H4" s="94"/>
      <c r="I4" s="95">
        <v>1.0</v>
      </c>
      <c r="J4" s="95">
        <v>10.0</v>
      </c>
      <c r="K4" s="95">
        <v>1.3</v>
      </c>
      <c r="L4" s="95">
        <v>1.4</v>
      </c>
      <c r="M4" s="15"/>
      <c r="N4" s="90" t="s">
        <v>154</v>
      </c>
      <c r="O4" s="94"/>
      <c r="P4" s="95">
        <v>1.0</v>
      </c>
      <c r="Q4" s="15"/>
      <c r="R4" s="90" t="s">
        <v>154</v>
      </c>
      <c r="S4" s="94"/>
      <c r="T4" s="102" t="s">
        <v>250</v>
      </c>
      <c r="U4" s="95">
        <v>1.0</v>
      </c>
      <c r="V4" s="95">
        <v>9.5</v>
      </c>
      <c r="W4" s="95">
        <v>1.5</v>
      </c>
      <c r="X4" s="95">
        <v>1.75</v>
      </c>
      <c r="Y4" s="95"/>
      <c r="Z4" s="15"/>
      <c r="AA4" s="90" t="s">
        <v>154</v>
      </c>
      <c r="AB4" s="94"/>
      <c r="AC4" s="95">
        <v>1.0</v>
      </c>
      <c r="AD4" s="95">
        <v>1.3</v>
      </c>
      <c r="AE4" s="15"/>
      <c r="AF4" s="90" t="s">
        <v>154</v>
      </c>
      <c r="AG4" s="94"/>
      <c r="AH4" s="95">
        <v>1.0</v>
      </c>
      <c r="AI4" s="95">
        <v>3.1</v>
      </c>
      <c r="AJ4" s="95">
        <v>3.5</v>
      </c>
      <c r="AK4" s="95">
        <v>3.4</v>
      </c>
      <c r="AL4" s="95">
        <v>4.2</v>
      </c>
      <c r="AM4" s="95"/>
      <c r="AN4" s="15"/>
      <c r="AO4" s="90" t="s">
        <v>154</v>
      </c>
      <c r="AP4" s="94"/>
      <c r="AQ4" s="95">
        <v>1.0</v>
      </c>
      <c r="AR4" s="15"/>
      <c r="AS4" s="90" t="s">
        <v>154</v>
      </c>
      <c r="AT4" s="94"/>
      <c r="AU4" s="95">
        <v>1.0</v>
      </c>
      <c r="AV4" s="95">
        <v>2.1</v>
      </c>
      <c r="AW4" s="95">
        <v>3.0</v>
      </c>
      <c r="AX4" s="95">
        <v>1.5</v>
      </c>
      <c r="AY4" s="15"/>
    </row>
    <row r="5" ht="15.75" customHeight="1">
      <c r="A5" s="96" t="s">
        <v>157</v>
      </c>
      <c r="C5" s="15"/>
      <c r="D5" s="20" t="s">
        <v>71</v>
      </c>
      <c r="E5" s="49">
        <f>'Distance Cost Calculator'!G17</f>
        <v>17</v>
      </c>
      <c r="F5" s="15"/>
      <c r="G5" s="90" t="s">
        <v>158</v>
      </c>
      <c r="H5" s="90" t="s">
        <v>99</v>
      </c>
      <c r="I5" s="90" t="s">
        <v>99</v>
      </c>
      <c r="J5" s="90" t="s">
        <v>99</v>
      </c>
      <c r="K5" s="90" t="s">
        <v>190</v>
      </c>
      <c r="L5" s="90" t="s">
        <v>190</v>
      </c>
      <c r="M5" s="15"/>
      <c r="N5" s="90" t="s">
        <v>158</v>
      </c>
      <c r="O5" s="90" t="s">
        <v>99</v>
      </c>
      <c r="P5" s="90" t="s">
        <v>99</v>
      </c>
      <c r="Q5" s="15"/>
      <c r="R5" s="90" t="s">
        <v>158</v>
      </c>
      <c r="S5" s="90" t="s">
        <v>99</v>
      </c>
      <c r="T5" s="116" t="s">
        <v>251</v>
      </c>
      <c r="U5" s="90" t="s">
        <v>99</v>
      </c>
      <c r="V5" s="90" t="s">
        <v>99</v>
      </c>
      <c r="W5" s="90" t="s">
        <v>190</v>
      </c>
      <c r="X5" s="90" t="s">
        <v>190</v>
      </c>
      <c r="Y5" s="90"/>
      <c r="Z5" s="15"/>
      <c r="AA5" s="90" t="s">
        <v>158</v>
      </c>
      <c r="AB5" s="90" t="s">
        <v>99</v>
      </c>
      <c r="AC5" s="90" t="s">
        <v>99</v>
      </c>
      <c r="AD5" s="90" t="s">
        <v>99</v>
      </c>
      <c r="AE5" s="15"/>
      <c r="AF5" s="90" t="s">
        <v>158</v>
      </c>
      <c r="AG5" s="90" t="s">
        <v>99</v>
      </c>
      <c r="AH5" s="90" t="s">
        <v>99</v>
      </c>
      <c r="AI5" s="90" t="s">
        <v>99</v>
      </c>
      <c r="AJ5" s="90" t="s">
        <v>99</v>
      </c>
      <c r="AK5" s="90" t="s">
        <v>190</v>
      </c>
      <c r="AL5" s="90" t="s">
        <v>190</v>
      </c>
      <c r="AM5" s="90"/>
      <c r="AN5" s="15"/>
      <c r="AO5" s="90" t="s">
        <v>158</v>
      </c>
      <c r="AP5" s="90" t="s">
        <v>99</v>
      </c>
      <c r="AQ5" s="90" t="s">
        <v>99</v>
      </c>
      <c r="AR5" s="15"/>
      <c r="AS5" s="90" t="s">
        <v>158</v>
      </c>
      <c r="AT5" s="90" t="s">
        <v>99</v>
      </c>
      <c r="AU5" s="90" t="s">
        <v>99</v>
      </c>
      <c r="AV5" s="90" t="s">
        <v>99</v>
      </c>
      <c r="AW5" s="90" t="s">
        <v>99</v>
      </c>
      <c r="AX5" s="90" t="s">
        <v>99</v>
      </c>
      <c r="AY5" s="15"/>
    </row>
    <row r="6" ht="15.75" customHeight="1">
      <c r="A6" s="99" t="s">
        <v>161</v>
      </c>
      <c r="C6" s="15"/>
      <c r="D6" s="2" t="s">
        <v>72</v>
      </c>
      <c r="E6" s="49">
        <f>'Distance Cost Calculator'!G18</f>
        <v>25</v>
      </c>
      <c r="F6" s="15"/>
      <c r="G6" s="100" t="s">
        <v>162</v>
      </c>
      <c r="H6" s="90">
        <v>0.0</v>
      </c>
      <c r="I6" s="101">
        <f t="shared" ref="I6:L6" si="1">($G$3*I$4)+$H6</f>
        <v>1</v>
      </c>
      <c r="J6" s="101">
        <f t="shared" si="1"/>
        <v>10</v>
      </c>
      <c r="K6" s="101">
        <f t="shared" si="1"/>
        <v>1.3</v>
      </c>
      <c r="L6" s="101">
        <f t="shared" si="1"/>
        <v>1.4</v>
      </c>
      <c r="M6" s="15"/>
      <c r="N6" s="100" t="s">
        <v>162</v>
      </c>
      <c r="O6" s="103">
        <f>$E$14</f>
        <v>17</v>
      </c>
      <c r="P6" s="103">
        <f t="shared" ref="P6:P9" si="7">($N$3*P$4)+$O6</f>
        <v>62</v>
      </c>
      <c r="Q6" s="15"/>
      <c r="R6" s="100" t="s">
        <v>162</v>
      </c>
      <c r="S6" s="90">
        <v>0.0</v>
      </c>
      <c r="T6" s="123">
        <f t="shared" ref="T6:T9" si="8">U6*2</f>
        <v>6</v>
      </c>
      <c r="U6" s="101">
        <f t="shared" ref="U6:X6" si="2">($R$3*U$4)+$S6</f>
        <v>3</v>
      </c>
      <c r="V6" s="101">
        <f t="shared" si="2"/>
        <v>28.5</v>
      </c>
      <c r="W6" s="101">
        <f t="shared" si="2"/>
        <v>4.5</v>
      </c>
      <c r="X6" s="101">
        <f t="shared" si="2"/>
        <v>5.25</v>
      </c>
      <c r="Y6" s="90"/>
      <c r="Z6" s="15"/>
      <c r="AA6" s="100" t="s">
        <v>162</v>
      </c>
      <c r="AB6" s="103">
        <f>$E$14</f>
        <v>17</v>
      </c>
      <c r="AC6" s="101">
        <f t="shared" ref="AC6:AD6" si="3">($AA$3*AC$4)+$AB6</f>
        <v>37</v>
      </c>
      <c r="AD6" s="101">
        <f t="shared" si="3"/>
        <v>43</v>
      </c>
      <c r="AE6" s="15"/>
      <c r="AF6" s="100" t="s">
        <v>162</v>
      </c>
      <c r="AG6" s="90">
        <v>0.0</v>
      </c>
      <c r="AH6" s="101">
        <f t="shared" ref="AH6:AL6" si="4">($AF$3*AH$4)+$AG6</f>
        <v>1</v>
      </c>
      <c r="AI6" s="101">
        <f t="shared" si="4"/>
        <v>3.1</v>
      </c>
      <c r="AJ6" s="101">
        <f t="shared" si="4"/>
        <v>3.5</v>
      </c>
      <c r="AK6" s="101">
        <f t="shared" si="4"/>
        <v>3.4</v>
      </c>
      <c r="AL6" s="101">
        <f t="shared" si="4"/>
        <v>4.2</v>
      </c>
      <c r="AM6" s="90"/>
      <c r="AN6" s="15"/>
      <c r="AO6" s="100" t="s">
        <v>162</v>
      </c>
      <c r="AP6" s="90">
        <v>0.0</v>
      </c>
      <c r="AQ6" s="101">
        <f t="shared" ref="AQ6:AQ9" si="12">($AO$3*AQ$4)+$AP6</f>
        <v>125</v>
      </c>
      <c r="AR6" s="15"/>
      <c r="AS6" s="100" t="s">
        <v>162</v>
      </c>
      <c r="AT6" s="90">
        <v>0.0</v>
      </c>
      <c r="AU6" s="90">
        <f t="shared" ref="AU6:AX6" si="5">($AS$3*AU$4)+$AT6</f>
        <v>2</v>
      </c>
      <c r="AV6" s="101">
        <f t="shared" si="5"/>
        <v>4.2</v>
      </c>
      <c r="AW6" s="90">
        <f t="shared" si="5"/>
        <v>6</v>
      </c>
      <c r="AX6" s="90">
        <f t="shared" si="5"/>
        <v>3</v>
      </c>
      <c r="AY6" s="15"/>
    </row>
    <row r="7" ht="15.75" customHeight="1">
      <c r="A7" s="104" t="s">
        <v>163</v>
      </c>
      <c r="C7" s="15"/>
      <c r="D7" s="43" t="s">
        <v>252</v>
      </c>
      <c r="E7" s="27"/>
      <c r="F7" s="15"/>
      <c r="G7" s="105" t="s">
        <v>165</v>
      </c>
      <c r="H7" s="106">
        <f>$E$4</f>
        <v>28</v>
      </c>
      <c r="I7" s="106">
        <f t="shared" ref="I7:L7" si="6">($G$3*I$4)+$H7</f>
        <v>29</v>
      </c>
      <c r="J7" s="106">
        <f t="shared" si="6"/>
        <v>38</v>
      </c>
      <c r="K7" s="106">
        <f t="shared" si="6"/>
        <v>29.3</v>
      </c>
      <c r="L7" s="106">
        <f t="shared" si="6"/>
        <v>29.4</v>
      </c>
      <c r="M7" s="15"/>
      <c r="N7" s="105" t="s">
        <v>165</v>
      </c>
      <c r="O7" s="103">
        <f>$E$15</f>
        <v>25</v>
      </c>
      <c r="P7" s="103">
        <f t="shared" si="7"/>
        <v>70</v>
      </c>
      <c r="Q7" s="15"/>
      <c r="R7" s="105" t="s">
        <v>165</v>
      </c>
      <c r="S7" s="106">
        <f>$E$4</f>
        <v>28</v>
      </c>
      <c r="T7" s="102">
        <f t="shared" si="8"/>
        <v>62</v>
      </c>
      <c r="U7" s="106">
        <f t="shared" ref="U7:X7" si="9">($R$3*U$4)+$S7</f>
        <v>31</v>
      </c>
      <c r="V7" s="106">
        <f t="shared" si="9"/>
        <v>56.5</v>
      </c>
      <c r="W7" s="106">
        <f t="shared" si="9"/>
        <v>32.5</v>
      </c>
      <c r="X7" s="106">
        <f t="shared" si="9"/>
        <v>33.25</v>
      </c>
      <c r="Y7" s="90"/>
      <c r="Z7" s="15"/>
      <c r="AA7" s="105" t="s">
        <v>165</v>
      </c>
      <c r="AB7" s="103">
        <f>$E$15</f>
        <v>25</v>
      </c>
      <c r="AC7" s="101">
        <f t="shared" ref="AC7:AD7" si="10">($AA$3*AC$4)+$AB7</f>
        <v>45</v>
      </c>
      <c r="AD7" s="101">
        <f t="shared" si="10"/>
        <v>51</v>
      </c>
      <c r="AE7" s="15"/>
      <c r="AF7" s="105" t="s">
        <v>165</v>
      </c>
      <c r="AG7" s="106">
        <f>$E$4</f>
        <v>28</v>
      </c>
      <c r="AH7" s="106">
        <f t="shared" ref="AH7:AL7" si="11">($AF$3*AH$4)+$AG7</f>
        <v>29</v>
      </c>
      <c r="AI7" s="106">
        <f t="shared" si="11"/>
        <v>31.1</v>
      </c>
      <c r="AJ7" s="106">
        <f t="shared" si="11"/>
        <v>31.5</v>
      </c>
      <c r="AK7" s="106">
        <f t="shared" si="11"/>
        <v>31.4</v>
      </c>
      <c r="AL7" s="106">
        <f t="shared" si="11"/>
        <v>32.2</v>
      </c>
      <c r="AM7" s="90"/>
      <c r="AN7" s="15"/>
      <c r="AO7" s="105" t="s">
        <v>165</v>
      </c>
      <c r="AP7" s="106">
        <f>$E$4</f>
        <v>28</v>
      </c>
      <c r="AQ7" s="106">
        <f t="shared" si="12"/>
        <v>153</v>
      </c>
      <c r="AR7" s="15"/>
      <c r="AS7" s="105" t="s">
        <v>165</v>
      </c>
      <c r="AT7" s="106">
        <f>$E$4</f>
        <v>28</v>
      </c>
      <c r="AU7" s="106">
        <f t="shared" ref="AU7:AX7" si="13">($AS$3*AU$4)+$AT7</f>
        <v>30</v>
      </c>
      <c r="AV7" s="106">
        <f t="shared" si="13"/>
        <v>32.2</v>
      </c>
      <c r="AW7" s="106">
        <f t="shared" si="13"/>
        <v>34</v>
      </c>
      <c r="AX7" s="106">
        <f t="shared" si="13"/>
        <v>31</v>
      </c>
      <c r="AY7" s="15"/>
    </row>
    <row r="8" ht="15.75" customHeight="1">
      <c r="A8" s="88" t="s">
        <v>166</v>
      </c>
      <c r="C8" s="15"/>
      <c r="D8" s="5" t="s">
        <v>61</v>
      </c>
      <c r="E8" s="44" t="s">
        <v>145</v>
      </c>
      <c r="F8" s="15"/>
      <c r="G8" s="108" t="s">
        <v>167</v>
      </c>
      <c r="H8" s="103">
        <f>$E$16</f>
        <v>9</v>
      </c>
      <c r="I8" s="103">
        <f t="shared" ref="I8:L8" si="14">($G$3*I$4)+$H8</f>
        <v>10</v>
      </c>
      <c r="J8" s="103">
        <f t="shared" si="14"/>
        <v>19</v>
      </c>
      <c r="K8" s="103">
        <f t="shared" si="14"/>
        <v>10.3</v>
      </c>
      <c r="L8" s="103">
        <f t="shared" si="14"/>
        <v>10.4</v>
      </c>
      <c r="M8" s="15"/>
      <c r="N8" s="108" t="s">
        <v>167</v>
      </c>
      <c r="O8" s="103">
        <f>$E$16</f>
        <v>9</v>
      </c>
      <c r="P8" s="103">
        <f t="shared" si="7"/>
        <v>54</v>
      </c>
      <c r="Q8" s="15"/>
      <c r="R8" s="108" t="s">
        <v>167</v>
      </c>
      <c r="S8" s="103">
        <f>$E$16</f>
        <v>9</v>
      </c>
      <c r="T8" s="102">
        <f t="shared" si="8"/>
        <v>24</v>
      </c>
      <c r="U8" s="103">
        <f t="shared" ref="U8:X8" si="15">($R$3*U$4)+$S8</f>
        <v>12</v>
      </c>
      <c r="V8" s="103">
        <f t="shared" si="15"/>
        <v>37.5</v>
      </c>
      <c r="W8" s="103">
        <f t="shared" si="15"/>
        <v>13.5</v>
      </c>
      <c r="X8" s="103">
        <f t="shared" si="15"/>
        <v>14.25</v>
      </c>
      <c r="Y8" s="90"/>
      <c r="Z8" s="15"/>
      <c r="AA8" s="108" t="s">
        <v>167</v>
      </c>
      <c r="AB8" s="103">
        <f>$E$16</f>
        <v>9</v>
      </c>
      <c r="AC8" s="101">
        <f t="shared" ref="AC8:AD8" si="16">($AA$3*AC$4)+$AB8</f>
        <v>29</v>
      </c>
      <c r="AD8" s="101">
        <f t="shared" si="16"/>
        <v>35</v>
      </c>
      <c r="AE8" s="15"/>
      <c r="AF8" s="108" t="s">
        <v>167</v>
      </c>
      <c r="AG8" s="103">
        <f>$E$16</f>
        <v>9</v>
      </c>
      <c r="AH8" s="103">
        <f t="shared" ref="AH8:AL8" si="17">($AF$3*AH$4)+$AG8</f>
        <v>10</v>
      </c>
      <c r="AI8" s="103">
        <f t="shared" si="17"/>
        <v>12.1</v>
      </c>
      <c r="AJ8" s="103">
        <f t="shared" si="17"/>
        <v>12.5</v>
      </c>
      <c r="AK8" s="103">
        <f t="shared" si="17"/>
        <v>12.4</v>
      </c>
      <c r="AL8" s="103">
        <f t="shared" si="17"/>
        <v>13.2</v>
      </c>
      <c r="AM8" s="90"/>
      <c r="AN8" s="15"/>
      <c r="AO8" s="108" t="s">
        <v>167</v>
      </c>
      <c r="AP8" s="106">
        <f>$E$6</f>
        <v>25</v>
      </c>
      <c r="AQ8" s="106">
        <f t="shared" si="12"/>
        <v>150</v>
      </c>
      <c r="AR8" s="15"/>
      <c r="AS8" s="108" t="s">
        <v>167</v>
      </c>
      <c r="AT8" s="106">
        <f>$E$6</f>
        <v>25</v>
      </c>
      <c r="AU8" s="106">
        <f t="shared" ref="AU8:AX8" si="18">($AS$3*AU$4)+$AT8</f>
        <v>27</v>
      </c>
      <c r="AV8" s="106">
        <f t="shared" si="18"/>
        <v>29.2</v>
      </c>
      <c r="AW8" s="106">
        <f t="shared" si="18"/>
        <v>31</v>
      </c>
      <c r="AX8" s="106">
        <f t="shared" si="18"/>
        <v>28</v>
      </c>
      <c r="AY8" s="15"/>
    </row>
    <row r="9" ht="15.75" customHeight="1">
      <c r="A9" s="110" t="s">
        <v>168</v>
      </c>
      <c r="C9" s="15"/>
      <c r="D9" s="20" t="s">
        <v>58</v>
      </c>
      <c r="E9" s="49">
        <f>'Distance Cost Calculator'!O16</f>
        <v>28</v>
      </c>
      <c r="F9" s="15"/>
      <c r="G9" s="111" t="s">
        <v>123</v>
      </c>
      <c r="H9" s="90">
        <v>0.0</v>
      </c>
      <c r="I9" s="101">
        <f t="shared" ref="I9:L9" si="19">($G$3*I$4)+$H9</f>
        <v>1</v>
      </c>
      <c r="J9" s="101">
        <f t="shared" si="19"/>
        <v>10</v>
      </c>
      <c r="K9" s="101">
        <f t="shared" si="19"/>
        <v>1.3</v>
      </c>
      <c r="L9" s="101">
        <f t="shared" si="19"/>
        <v>1.4</v>
      </c>
      <c r="M9" s="15"/>
      <c r="N9" s="111" t="s">
        <v>123</v>
      </c>
      <c r="O9" s="90">
        <v>0.0</v>
      </c>
      <c r="P9" s="101">
        <f t="shared" si="7"/>
        <v>45</v>
      </c>
      <c r="Q9" s="15"/>
      <c r="R9" s="111" t="s">
        <v>123</v>
      </c>
      <c r="S9" s="90">
        <v>0.0</v>
      </c>
      <c r="T9" s="123">
        <f t="shared" si="8"/>
        <v>6</v>
      </c>
      <c r="U9" s="101">
        <f t="shared" ref="U9:X9" si="20">($R$3*U$4)+$S9</f>
        <v>3</v>
      </c>
      <c r="V9" s="101">
        <f t="shared" si="20"/>
        <v>28.5</v>
      </c>
      <c r="W9" s="101">
        <f t="shared" si="20"/>
        <v>4.5</v>
      </c>
      <c r="X9" s="101">
        <f t="shared" si="20"/>
        <v>5.25</v>
      </c>
      <c r="Y9" s="90"/>
      <c r="Z9" s="15"/>
      <c r="AA9" s="111" t="s">
        <v>123</v>
      </c>
      <c r="AB9" s="90">
        <v>0.0</v>
      </c>
      <c r="AC9" s="101">
        <f t="shared" ref="AC9:AD9" si="21">($AA$3*AC$4)+$AB9</f>
        <v>20</v>
      </c>
      <c r="AD9" s="101">
        <f t="shared" si="21"/>
        <v>26</v>
      </c>
      <c r="AE9" s="15"/>
      <c r="AF9" s="111" t="s">
        <v>123</v>
      </c>
      <c r="AG9" s="90">
        <v>0.0</v>
      </c>
      <c r="AH9" s="101">
        <f t="shared" ref="AH9:AL9" si="22">($AF$3*AH$4)+$AG9</f>
        <v>1</v>
      </c>
      <c r="AI9" s="101">
        <f t="shared" si="22"/>
        <v>3.1</v>
      </c>
      <c r="AJ9" s="101">
        <f t="shared" si="22"/>
        <v>3.5</v>
      </c>
      <c r="AK9" s="101">
        <f t="shared" si="22"/>
        <v>3.4</v>
      </c>
      <c r="AL9" s="101">
        <f t="shared" si="22"/>
        <v>4.2</v>
      </c>
      <c r="AM9" s="90"/>
      <c r="AN9" s="15"/>
      <c r="AO9" s="111" t="s">
        <v>123</v>
      </c>
      <c r="AP9" s="106">
        <f>$E$5</f>
        <v>17</v>
      </c>
      <c r="AQ9" s="106">
        <f t="shared" si="12"/>
        <v>142</v>
      </c>
      <c r="AR9" s="15"/>
      <c r="AS9" s="111" t="s">
        <v>123</v>
      </c>
      <c r="AT9" s="106">
        <f>$E$5</f>
        <v>17</v>
      </c>
      <c r="AU9" s="106">
        <f t="shared" ref="AU9:AX9" si="23">($AS$3*AU$4)+$AT9</f>
        <v>19</v>
      </c>
      <c r="AV9" s="106">
        <f t="shared" si="23"/>
        <v>21.2</v>
      </c>
      <c r="AW9" s="106">
        <f t="shared" si="23"/>
        <v>23</v>
      </c>
      <c r="AX9" s="106">
        <f t="shared" si="23"/>
        <v>20</v>
      </c>
      <c r="AY9" s="15"/>
    </row>
    <row r="10" ht="15.75" customHeight="1">
      <c r="A10" s="66" t="s">
        <v>169</v>
      </c>
      <c r="B10" s="67"/>
      <c r="C10" s="21"/>
      <c r="D10" s="20" t="s">
        <v>71</v>
      </c>
      <c r="E10" s="49">
        <f>'Distance Cost Calculator'!O17</f>
        <v>25</v>
      </c>
      <c r="F10" s="21"/>
      <c r="M10" s="21"/>
      <c r="Q10" s="21"/>
      <c r="R10" s="114" t="s">
        <v>253</v>
      </c>
      <c r="Z10" s="21"/>
      <c r="AE10" s="21"/>
      <c r="AN10" s="21"/>
      <c r="AR10" s="21"/>
      <c r="AY10" s="21"/>
    </row>
    <row r="11" ht="15.75" customHeight="1">
      <c r="A11" s="112">
        <f>'Distance Cost Calculator'!B14</f>
        <v>1</v>
      </c>
      <c r="B11" s="113" t="s">
        <v>170</v>
      </c>
      <c r="C11" s="22"/>
      <c r="D11" s="2" t="s">
        <v>72</v>
      </c>
      <c r="E11" s="49">
        <f>'Distance Cost Calculator'!O18</f>
        <v>34</v>
      </c>
      <c r="F11" s="22"/>
      <c r="M11" s="22"/>
      <c r="Q11" s="22"/>
      <c r="Z11" s="22"/>
      <c r="AE11" s="22"/>
      <c r="AN11" s="22"/>
      <c r="AR11" s="22"/>
      <c r="AY11" s="22"/>
    </row>
    <row r="12" ht="15.75" customHeight="1">
      <c r="A12" s="114" t="s">
        <v>171</v>
      </c>
      <c r="B12" s="115"/>
      <c r="C12" s="23"/>
      <c r="D12" s="43" t="s">
        <v>254</v>
      </c>
      <c r="E12" s="27"/>
      <c r="F12" s="23"/>
      <c r="G12" s="16" t="s">
        <v>255</v>
      </c>
      <c r="M12" s="23"/>
      <c r="N12" s="16" t="s">
        <v>256</v>
      </c>
      <c r="Q12" s="23"/>
      <c r="R12" s="16" t="s">
        <v>257</v>
      </c>
      <c r="Z12" s="23"/>
      <c r="AA12" s="16" t="s">
        <v>231</v>
      </c>
      <c r="AE12" s="23"/>
      <c r="AF12" s="16" t="s">
        <v>258</v>
      </c>
      <c r="AN12" s="23"/>
      <c r="AO12" s="16" t="s">
        <v>259</v>
      </c>
      <c r="AR12" s="23"/>
      <c r="AS12" s="16" t="s">
        <v>260</v>
      </c>
      <c r="AY12" s="23"/>
    </row>
    <row r="13" ht="15.75" customHeight="1">
      <c r="C13" s="23"/>
      <c r="D13" s="5" t="s">
        <v>61</v>
      </c>
      <c r="E13" s="44" t="s">
        <v>145</v>
      </c>
      <c r="F13" s="23"/>
      <c r="G13" s="88">
        <v>2.0</v>
      </c>
      <c r="H13" s="89" t="s">
        <v>146</v>
      </c>
      <c r="I13" s="90" t="s">
        <v>235</v>
      </c>
      <c r="J13" s="90" t="s">
        <v>236</v>
      </c>
      <c r="K13" s="90" t="s">
        <v>237</v>
      </c>
      <c r="L13" s="90" t="s">
        <v>238</v>
      </c>
      <c r="M13" s="23"/>
      <c r="N13" s="88">
        <v>34.0</v>
      </c>
      <c r="O13" s="89" t="s">
        <v>146</v>
      </c>
      <c r="P13" s="90" t="s">
        <v>261</v>
      </c>
      <c r="Q13" s="23"/>
      <c r="R13" s="88">
        <v>14.0</v>
      </c>
      <c r="S13" s="89" t="s">
        <v>146</v>
      </c>
      <c r="T13" s="121" t="s">
        <v>240</v>
      </c>
      <c r="U13" s="90" t="s">
        <v>241</v>
      </c>
      <c r="V13" s="90" t="s">
        <v>236</v>
      </c>
      <c r="W13" s="90" t="s">
        <v>237</v>
      </c>
      <c r="X13" s="90" t="s">
        <v>238</v>
      </c>
      <c r="Y13" s="90"/>
      <c r="Z13" s="23"/>
      <c r="AA13" s="88">
        <v>25.0</v>
      </c>
      <c r="AB13" s="89" t="s">
        <v>146</v>
      </c>
      <c r="AC13" s="90" t="s">
        <v>262</v>
      </c>
      <c r="AD13" s="122"/>
      <c r="AE13" s="23"/>
      <c r="AF13" s="88">
        <v>2.0</v>
      </c>
      <c r="AG13" s="89" t="s">
        <v>146</v>
      </c>
      <c r="AH13" s="90" t="s">
        <v>1</v>
      </c>
      <c r="AI13" s="90" t="s">
        <v>244</v>
      </c>
      <c r="AJ13" s="90" t="s">
        <v>245</v>
      </c>
      <c r="AK13" s="90" t="s">
        <v>246</v>
      </c>
      <c r="AL13" s="90" t="s">
        <v>247</v>
      </c>
      <c r="AM13" s="90"/>
      <c r="AN13" s="23"/>
      <c r="AO13" s="88">
        <v>200.0</v>
      </c>
      <c r="AP13" s="89" t="s">
        <v>146</v>
      </c>
      <c r="AQ13" s="90" t="s">
        <v>248</v>
      </c>
      <c r="AR13" s="23"/>
      <c r="AS13" s="88">
        <v>15.0</v>
      </c>
      <c r="AT13" s="89" t="s">
        <v>146</v>
      </c>
      <c r="AU13" s="90" t="s">
        <v>1</v>
      </c>
      <c r="AV13" s="90" t="s">
        <v>238</v>
      </c>
      <c r="AW13" s="90"/>
      <c r="AX13" s="90"/>
      <c r="AY13" s="23"/>
    </row>
    <row r="14" ht="15.75" customHeight="1">
      <c r="C14" s="23"/>
      <c r="D14" s="20" t="s">
        <v>58</v>
      </c>
      <c r="E14" s="49">
        <f>'Distance Cost Calculator'!G21</f>
        <v>17</v>
      </c>
      <c r="F14" s="23"/>
      <c r="G14" s="90" t="s">
        <v>154</v>
      </c>
      <c r="H14" s="94"/>
      <c r="I14" s="95">
        <v>1.0</v>
      </c>
      <c r="J14" s="95">
        <v>10.0</v>
      </c>
      <c r="K14" s="95">
        <v>1.3</v>
      </c>
      <c r="L14" s="95">
        <v>1.4</v>
      </c>
      <c r="M14" s="23"/>
      <c r="N14" s="90" t="s">
        <v>154</v>
      </c>
      <c r="O14" s="94"/>
      <c r="P14" s="95">
        <v>1.0</v>
      </c>
      <c r="Q14" s="23"/>
      <c r="R14" s="90" t="s">
        <v>154</v>
      </c>
      <c r="S14" s="94"/>
      <c r="T14" s="102" t="s">
        <v>187</v>
      </c>
      <c r="U14" s="95">
        <v>1.0</v>
      </c>
      <c r="V14" s="95">
        <v>9.84</v>
      </c>
      <c r="W14" s="95">
        <v>1.5</v>
      </c>
      <c r="X14" s="95">
        <v>1.85</v>
      </c>
      <c r="Y14" s="95"/>
      <c r="Z14" s="23"/>
      <c r="AA14" s="90" t="s">
        <v>154</v>
      </c>
      <c r="AB14" s="94"/>
      <c r="AC14" s="95">
        <v>1.0</v>
      </c>
      <c r="AD14" s="95"/>
      <c r="AE14" s="23"/>
      <c r="AF14" s="90" t="s">
        <v>154</v>
      </c>
      <c r="AG14" s="94"/>
      <c r="AH14" s="95">
        <v>1.0</v>
      </c>
      <c r="AI14" s="95">
        <v>3.1</v>
      </c>
      <c r="AJ14" s="95">
        <v>3.5</v>
      </c>
      <c r="AK14" s="95">
        <v>3.4</v>
      </c>
      <c r="AL14" s="95">
        <v>4.2</v>
      </c>
      <c r="AM14" s="95"/>
      <c r="AN14" s="23"/>
      <c r="AO14" s="90" t="s">
        <v>154</v>
      </c>
      <c r="AP14" s="94"/>
      <c r="AQ14" s="95">
        <v>1.0</v>
      </c>
      <c r="AR14" s="23"/>
      <c r="AS14" s="90" t="s">
        <v>154</v>
      </c>
      <c r="AT14" s="94"/>
      <c r="AU14" s="95">
        <v>1.0</v>
      </c>
      <c r="AV14" s="95">
        <v>1.2</v>
      </c>
      <c r="AW14" s="95"/>
      <c r="AX14" s="95"/>
      <c r="AY14" s="23"/>
    </row>
    <row r="15" ht="15.75" customHeight="1">
      <c r="C15" s="23"/>
      <c r="D15" s="2" t="s">
        <v>59</v>
      </c>
      <c r="E15" s="49">
        <f>'Distance Cost Calculator'!G22</f>
        <v>25</v>
      </c>
      <c r="F15" s="23"/>
      <c r="G15" s="90" t="s">
        <v>158</v>
      </c>
      <c r="H15" s="90" t="s">
        <v>99</v>
      </c>
      <c r="I15" s="90" t="s">
        <v>99</v>
      </c>
      <c r="J15" s="90" t="s">
        <v>99</v>
      </c>
      <c r="K15" s="90" t="s">
        <v>190</v>
      </c>
      <c r="L15" s="90" t="s">
        <v>190</v>
      </c>
      <c r="M15" s="23"/>
      <c r="N15" s="90" t="s">
        <v>158</v>
      </c>
      <c r="O15" s="90" t="s">
        <v>99</v>
      </c>
      <c r="P15" s="90" t="s">
        <v>99</v>
      </c>
      <c r="Q15" s="23"/>
      <c r="R15" s="90" t="s">
        <v>158</v>
      </c>
      <c r="S15" s="90" t="s">
        <v>99</v>
      </c>
      <c r="T15" s="116" t="s">
        <v>263</v>
      </c>
      <c r="U15" s="90" t="s">
        <v>99</v>
      </c>
      <c r="V15" s="90" t="s">
        <v>99</v>
      </c>
      <c r="W15" s="90" t="s">
        <v>190</v>
      </c>
      <c r="X15" s="90" t="s">
        <v>190</v>
      </c>
      <c r="Y15" s="90"/>
      <c r="Z15" s="23"/>
      <c r="AA15" s="90" t="s">
        <v>158</v>
      </c>
      <c r="AB15" s="90" t="s">
        <v>99</v>
      </c>
      <c r="AC15" s="90" t="s">
        <v>99</v>
      </c>
      <c r="AD15" s="90" t="s">
        <v>99</v>
      </c>
      <c r="AE15" s="23"/>
      <c r="AF15" s="90" t="s">
        <v>158</v>
      </c>
      <c r="AG15" s="90" t="s">
        <v>99</v>
      </c>
      <c r="AH15" s="90" t="s">
        <v>99</v>
      </c>
      <c r="AI15" s="90" t="s">
        <v>99</v>
      </c>
      <c r="AJ15" s="90" t="s">
        <v>99</v>
      </c>
      <c r="AK15" s="90" t="s">
        <v>190</v>
      </c>
      <c r="AL15" s="90" t="s">
        <v>190</v>
      </c>
      <c r="AM15" s="90"/>
      <c r="AN15" s="23"/>
      <c r="AO15" s="90" t="s">
        <v>158</v>
      </c>
      <c r="AP15" s="90" t="s">
        <v>99</v>
      </c>
      <c r="AQ15" s="90" t="s">
        <v>99</v>
      </c>
      <c r="AR15" s="23"/>
      <c r="AS15" s="90" t="s">
        <v>158</v>
      </c>
      <c r="AT15" s="90" t="s">
        <v>99</v>
      </c>
      <c r="AU15" s="90" t="s">
        <v>99</v>
      </c>
      <c r="AV15" s="90" t="s">
        <v>190</v>
      </c>
      <c r="AW15" s="90"/>
      <c r="AX15" s="90"/>
      <c r="AY15" s="23"/>
    </row>
    <row r="16" ht="15.75" customHeight="1">
      <c r="C16" s="23"/>
      <c r="D16" s="2" t="s">
        <v>72</v>
      </c>
      <c r="E16" s="49">
        <f>'Distance Cost Calculator'!G23</f>
        <v>9</v>
      </c>
      <c r="F16" s="23"/>
      <c r="G16" s="100" t="s">
        <v>162</v>
      </c>
      <c r="H16" s="90">
        <v>0.0</v>
      </c>
      <c r="I16" s="101">
        <f t="shared" ref="I16:L16" si="24">($G$13*I$14)+$H16</f>
        <v>2</v>
      </c>
      <c r="J16" s="101">
        <f t="shared" si="24"/>
        <v>20</v>
      </c>
      <c r="K16" s="101">
        <f t="shared" si="24"/>
        <v>2.6</v>
      </c>
      <c r="L16" s="101">
        <f t="shared" si="24"/>
        <v>2.8</v>
      </c>
      <c r="M16" s="23"/>
      <c r="N16" s="100" t="s">
        <v>162</v>
      </c>
      <c r="O16" s="90">
        <v>0.0</v>
      </c>
      <c r="P16" s="101">
        <f t="shared" ref="P16:P19" si="30">($N$13*P$14)+$O16</f>
        <v>34</v>
      </c>
      <c r="Q16" s="23"/>
      <c r="R16" s="100" t="s">
        <v>162</v>
      </c>
      <c r="S16" s="117">
        <f>$E$9</f>
        <v>28</v>
      </c>
      <c r="T16" s="124">
        <f t="shared" ref="T16:T19" si="31">U16*0.07</f>
        <v>2.94</v>
      </c>
      <c r="U16" s="117">
        <f t="shared" ref="U16:X16" si="25">($R$13*U$14)+$S16</f>
        <v>42</v>
      </c>
      <c r="V16" s="117">
        <f t="shared" si="25"/>
        <v>165.76</v>
      </c>
      <c r="W16" s="117">
        <f t="shared" si="25"/>
        <v>49</v>
      </c>
      <c r="X16" s="117">
        <f t="shared" si="25"/>
        <v>53.9</v>
      </c>
      <c r="Y16" s="90"/>
      <c r="Z16" s="23"/>
      <c r="AA16" s="100" t="s">
        <v>162</v>
      </c>
      <c r="AB16" s="103">
        <f>$E$14</f>
        <v>17</v>
      </c>
      <c r="AC16" s="101">
        <f t="shared" ref="AC16:AD16" si="26">($AA$13*AC$14)+$AB16</f>
        <v>42</v>
      </c>
      <c r="AD16" s="101">
        <f t="shared" si="26"/>
        <v>17</v>
      </c>
      <c r="AE16" s="23"/>
      <c r="AF16" s="100" t="s">
        <v>162</v>
      </c>
      <c r="AG16" s="118">
        <f>$E$19</f>
        <v>25</v>
      </c>
      <c r="AH16" s="118">
        <f t="shared" ref="AH16:AL16" si="27">($AF$13*AH$14)+$AG16</f>
        <v>27</v>
      </c>
      <c r="AI16" s="118">
        <f t="shared" si="27"/>
        <v>31.2</v>
      </c>
      <c r="AJ16" s="118">
        <f t="shared" si="27"/>
        <v>32</v>
      </c>
      <c r="AK16" s="118">
        <f t="shared" si="27"/>
        <v>31.8</v>
      </c>
      <c r="AL16" s="118">
        <f t="shared" si="27"/>
        <v>33.4</v>
      </c>
      <c r="AM16" s="90"/>
      <c r="AN16" s="23"/>
      <c r="AO16" s="100" t="s">
        <v>162</v>
      </c>
      <c r="AP16" s="90">
        <v>0.0</v>
      </c>
      <c r="AQ16" s="101">
        <f t="shared" ref="AQ16:AQ19" si="35">($AO$13*AQ$14)+$AP16</f>
        <v>200</v>
      </c>
      <c r="AR16" s="23"/>
      <c r="AS16" s="100" t="s">
        <v>162</v>
      </c>
      <c r="AT16" s="117">
        <f>$E$9</f>
        <v>28</v>
      </c>
      <c r="AU16" s="117">
        <f t="shared" ref="AU16:AV16" si="28">($AS$13*AU$14)+$AT16</f>
        <v>43</v>
      </c>
      <c r="AV16" s="117">
        <f t="shared" si="28"/>
        <v>46</v>
      </c>
      <c r="AW16" s="105"/>
      <c r="AX16" s="105"/>
      <c r="AY16" s="23"/>
    </row>
    <row r="17" ht="15.75" customHeight="1">
      <c r="C17" s="23"/>
      <c r="D17" s="43" t="s">
        <v>264</v>
      </c>
      <c r="E17" s="27"/>
      <c r="F17" s="23"/>
      <c r="G17" s="105" t="s">
        <v>165</v>
      </c>
      <c r="H17" s="106">
        <f>$E$4</f>
        <v>28</v>
      </c>
      <c r="I17" s="106">
        <f t="shared" ref="I17:L17" si="29">($G$13*I$14)+$H17</f>
        <v>30</v>
      </c>
      <c r="J17" s="106">
        <f t="shared" si="29"/>
        <v>48</v>
      </c>
      <c r="K17" s="106">
        <f t="shared" si="29"/>
        <v>30.6</v>
      </c>
      <c r="L17" s="106">
        <f t="shared" si="29"/>
        <v>30.8</v>
      </c>
      <c r="M17" s="23"/>
      <c r="N17" s="105" t="s">
        <v>165</v>
      </c>
      <c r="O17" s="106">
        <f>$E$4</f>
        <v>28</v>
      </c>
      <c r="P17" s="106">
        <f t="shared" si="30"/>
        <v>62</v>
      </c>
      <c r="Q17" s="23"/>
      <c r="R17" s="105" t="s">
        <v>165</v>
      </c>
      <c r="S17" s="90">
        <v>0.0</v>
      </c>
      <c r="T17" s="125">
        <f t="shared" si="31"/>
        <v>0.98</v>
      </c>
      <c r="U17" s="101">
        <f t="shared" ref="U17:X17" si="32">($R$13*U$14)+$S17</f>
        <v>14</v>
      </c>
      <c r="V17" s="101">
        <f t="shared" si="32"/>
        <v>137.76</v>
      </c>
      <c r="W17" s="101">
        <f t="shared" si="32"/>
        <v>21</v>
      </c>
      <c r="X17" s="101">
        <f t="shared" si="32"/>
        <v>25.9</v>
      </c>
      <c r="Y17" s="90"/>
      <c r="Z17" s="23"/>
      <c r="AA17" s="105" t="s">
        <v>165</v>
      </c>
      <c r="AB17" s="103">
        <f>$E$15</f>
        <v>25</v>
      </c>
      <c r="AC17" s="101">
        <f t="shared" ref="AC17:AD17" si="33">($AA$13*AC$14)+$AB17</f>
        <v>50</v>
      </c>
      <c r="AD17" s="101">
        <f t="shared" si="33"/>
        <v>25</v>
      </c>
      <c r="AE17" s="23"/>
      <c r="AF17" s="105" t="s">
        <v>165</v>
      </c>
      <c r="AG17" s="118">
        <f>$E$20</f>
        <v>34</v>
      </c>
      <c r="AH17" s="118">
        <f t="shared" ref="AH17:AL17" si="34">($AF$13*AH$14)+$AG17</f>
        <v>36</v>
      </c>
      <c r="AI17" s="118">
        <f t="shared" si="34"/>
        <v>40.2</v>
      </c>
      <c r="AJ17" s="118">
        <f t="shared" si="34"/>
        <v>41</v>
      </c>
      <c r="AK17" s="118">
        <f t="shared" si="34"/>
        <v>40.8</v>
      </c>
      <c r="AL17" s="118">
        <f t="shared" si="34"/>
        <v>42.4</v>
      </c>
      <c r="AM17" s="90"/>
      <c r="AN17" s="23"/>
      <c r="AO17" s="105" t="s">
        <v>165</v>
      </c>
      <c r="AP17" s="106">
        <f>$E$4</f>
        <v>28</v>
      </c>
      <c r="AQ17" s="106">
        <f t="shared" si="35"/>
        <v>228</v>
      </c>
      <c r="AR17" s="23"/>
      <c r="AS17" s="105" t="s">
        <v>165</v>
      </c>
      <c r="AT17" s="90">
        <v>0.0</v>
      </c>
      <c r="AU17" s="90">
        <f t="shared" ref="AU17:AV17" si="36">($AS$13*AU$14)+$AT17</f>
        <v>15</v>
      </c>
      <c r="AV17" s="90">
        <f t="shared" si="36"/>
        <v>18</v>
      </c>
      <c r="AW17" s="90"/>
      <c r="AX17" s="90"/>
      <c r="AY17" s="23"/>
    </row>
    <row r="18" ht="15.75" customHeight="1">
      <c r="C18" s="23"/>
      <c r="D18" s="5" t="s">
        <v>61</v>
      </c>
      <c r="E18" s="44" t="s">
        <v>145</v>
      </c>
      <c r="F18" s="23"/>
      <c r="G18" s="108" t="s">
        <v>167</v>
      </c>
      <c r="H18" s="106">
        <f>$E$6</f>
        <v>25</v>
      </c>
      <c r="I18" s="106">
        <f t="shared" ref="I18:L18" si="37">($G$13*I$14)+$H18</f>
        <v>27</v>
      </c>
      <c r="J18" s="106">
        <f t="shared" si="37"/>
        <v>45</v>
      </c>
      <c r="K18" s="106">
        <f t="shared" si="37"/>
        <v>27.6</v>
      </c>
      <c r="L18" s="106">
        <f t="shared" si="37"/>
        <v>27.8</v>
      </c>
      <c r="M18" s="23"/>
      <c r="N18" s="108" t="s">
        <v>167</v>
      </c>
      <c r="O18" s="103">
        <f>$E$16</f>
        <v>9</v>
      </c>
      <c r="P18" s="103">
        <f t="shared" si="30"/>
        <v>43</v>
      </c>
      <c r="Q18" s="23"/>
      <c r="R18" s="108" t="s">
        <v>167</v>
      </c>
      <c r="S18" s="117">
        <f>$E$11</f>
        <v>34</v>
      </c>
      <c r="T18" s="124">
        <f t="shared" si="31"/>
        <v>3.36</v>
      </c>
      <c r="U18" s="117">
        <f t="shared" ref="U18:X18" si="38">($R$13*U$14)+$S18</f>
        <v>48</v>
      </c>
      <c r="V18" s="117">
        <f t="shared" si="38"/>
        <v>171.76</v>
      </c>
      <c r="W18" s="117">
        <f t="shared" si="38"/>
        <v>55</v>
      </c>
      <c r="X18" s="117">
        <f t="shared" si="38"/>
        <v>59.9</v>
      </c>
      <c r="Y18" s="90"/>
      <c r="Z18" s="23"/>
      <c r="AA18" s="108" t="s">
        <v>167</v>
      </c>
      <c r="AB18" s="103">
        <f>$E$16</f>
        <v>9</v>
      </c>
      <c r="AC18" s="101">
        <f t="shared" ref="AC18:AD18" si="39">($AA$13*AC$14)+$AB18</f>
        <v>34</v>
      </c>
      <c r="AD18" s="101">
        <f t="shared" si="39"/>
        <v>9</v>
      </c>
      <c r="AE18" s="23"/>
      <c r="AF18" s="108" t="s">
        <v>167</v>
      </c>
      <c r="AG18" s="90">
        <v>0.0</v>
      </c>
      <c r="AH18" s="101">
        <f t="shared" ref="AH18:AL18" si="40">($AF$13*AH$14)+$AG18</f>
        <v>2</v>
      </c>
      <c r="AI18" s="101">
        <f t="shared" si="40"/>
        <v>6.2</v>
      </c>
      <c r="AJ18" s="101">
        <f t="shared" si="40"/>
        <v>7</v>
      </c>
      <c r="AK18" s="101">
        <f t="shared" si="40"/>
        <v>6.8</v>
      </c>
      <c r="AL18" s="101">
        <f t="shared" si="40"/>
        <v>8.4</v>
      </c>
      <c r="AM18" s="90"/>
      <c r="AN18" s="23"/>
      <c r="AO18" s="108" t="s">
        <v>167</v>
      </c>
      <c r="AP18" s="106">
        <f>$E$6</f>
        <v>25</v>
      </c>
      <c r="AQ18" s="106">
        <f t="shared" si="35"/>
        <v>225</v>
      </c>
      <c r="AR18" s="23"/>
      <c r="AS18" s="108" t="s">
        <v>167</v>
      </c>
      <c r="AT18" s="117">
        <f>$E$11</f>
        <v>34</v>
      </c>
      <c r="AU18" s="117">
        <f t="shared" ref="AU18:AV18" si="41">($AS$13*AU$14)+$AT18</f>
        <v>49</v>
      </c>
      <c r="AV18" s="117">
        <f t="shared" si="41"/>
        <v>52</v>
      </c>
      <c r="AW18" s="105"/>
      <c r="AX18" s="105"/>
      <c r="AY18" s="23"/>
    </row>
    <row r="19" ht="15.75" customHeight="1">
      <c r="C19" s="23"/>
      <c r="D19" s="20" t="s">
        <v>58</v>
      </c>
      <c r="E19" s="49">
        <f>'Distance Cost Calculator'!O21</f>
        <v>25</v>
      </c>
      <c r="F19" s="23"/>
      <c r="G19" s="111" t="s">
        <v>123</v>
      </c>
      <c r="H19" s="90">
        <v>0.0</v>
      </c>
      <c r="I19" s="101">
        <f t="shared" ref="I19:L19" si="42">($G$13*I$14)+$H19</f>
        <v>2</v>
      </c>
      <c r="J19" s="101">
        <f t="shared" si="42"/>
        <v>20</v>
      </c>
      <c r="K19" s="101">
        <f t="shared" si="42"/>
        <v>2.6</v>
      </c>
      <c r="L19" s="101">
        <f t="shared" si="42"/>
        <v>2.8</v>
      </c>
      <c r="M19" s="23"/>
      <c r="N19" s="111" t="s">
        <v>123</v>
      </c>
      <c r="O19" s="90">
        <v>0.0</v>
      </c>
      <c r="P19" s="101">
        <f t="shared" si="30"/>
        <v>34</v>
      </c>
      <c r="Q19" s="23"/>
      <c r="R19" s="111" t="s">
        <v>123</v>
      </c>
      <c r="S19" s="117">
        <f>$E$10</f>
        <v>25</v>
      </c>
      <c r="T19" s="124">
        <f t="shared" si="31"/>
        <v>2.73</v>
      </c>
      <c r="U19" s="117">
        <f t="shared" ref="U19:X19" si="43">($R$13*U$14)+$S19</f>
        <v>39</v>
      </c>
      <c r="V19" s="117">
        <f t="shared" si="43"/>
        <v>162.76</v>
      </c>
      <c r="W19" s="117">
        <f t="shared" si="43"/>
        <v>46</v>
      </c>
      <c r="X19" s="117">
        <f t="shared" si="43"/>
        <v>50.9</v>
      </c>
      <c r="Y19" s="90"/>
      <c r="Z19" s="23"/>
      <c r="AA19" s="111" t="s">
        <v>123</v>
      </c>
      <c r="AB19" s="90">
        <v>0.0</v>
      </c>
      <c r="AC19" s="101">
        <f t="shared" ref="AC19:AD19" si="44">($AA$13*AC$14)+$AB19</f>
        <v>25</v>
      </c>
      <c r="AD19" s="101">
        <f t="shared" si="44"/>
        <v>0</v>
      </c>
      <c r="AE19" s="23"/>
      <c r="AF19" s="111" t="s">
        <v>123</v>
      </c>
      <c r="AG19" s="118">
        <f>$E$21</f>
        <v>9</v>
      </c>
      <c r="AH19" s="118">
        <f t="shared" ref="AH19:AL19" si="45">($AF$13*AH$14)+$AG19</f>
        <v>11</v>
      </c>
      <c r="AI19" s="118">
        <f t="shared" si="45"/>
        <v>15.2</v>
      </c>
      <c r="AJ19" s="118">
        <f t="shared" si="45"/>
        <v>16</v>
      </c>
      <c r="AK19" s="118">
        <f t="shared" si="45"/>
        <v>15.8</v>
      </c>
      <c r="AL19" s="118">
        <f t="shared" si="45"/>
        <v>17.4</v>
      </c>
      <c r="AM19" s="90"/>
      <c r="AN19" s="23"/>
      <c r="AO19" s="111" t="s">
        <v>123</v>
      </c>
      <c r="AP19" s="106">
        <f>$E$5</f>
        <v>17</v>
      </c>
      <c r="AQ19" s="106">
        <f t="shared" si="35"/>
        <v>217</v>
      </c>
      <c r="AR19" s="23"/>
      <c r="AS19" s="111" t="s">
        <v>123</v>
      </c>
      <c r="AT19" s="117">
        <f>$E$10</f>
        <v>25</v>
      </c>
      <c r="AU19" s="117">
        <f t="shared" ref="AU19:AV19" si="46">($AS$13*AU$14)+$AT19</f>
        <v>40</v>
      </c>
      <c r="AV19" s="117">
        <f t="shared" si="46"/>
        <v>43</v>
      </c>
      <c r="AW19" s="105"/>
      <c r="AX19" s="105"/>
      <c r="AY19" s="23"/>
    </row>
    <row r="20" ht="15.75" customHeight="1">
      <c r="C20" s="23"/>
      <c r="D20" s="2" t="s">
        <v>59</v>
      </c>
      <c r="E20" s="49">
        <f>'Distance Cost Calculator'!O22</f>
        <v>34</v>
      </c>
      <c r="F20" s="23"/>
      <c r="M20" s="23"/>
      <c r="Q20" s="23"/>
      <c r="Z20" s="23"/>
      <c r="AE20" s="23"/>
      <c r="AN20" s="23"/>
      <c r="AR20" s="23"/>
      <c r="AY20" s="23"/>
    </row>
    <row r="21" ht="15.75" customHeight="1">
      <c r="C21" s="23"/>
      <c r="D21" s="20" t="s">
        <v>71</v>
      </c>
      <c r="E21" s="49">
        <f>'Distance Cost Calculator'!O23</f>
        <v>9</v>
      </c>
      <c r="F21" s="23"/>
      <c r="M21" s="23"/>
      <c r="Q21" s="23"/>
      <c r="Z21" s="23"/>
      <c r="AE21" s="23"/>
      <c r="AN21" s="23"/>
      <c r="AR21" s="23"/>
      <c r="AY21" s="23"/>
    </row>
    <row r="22" ht="15.75" customHeight="1">
      <c r="C22" s="23"/>
      <c r="F22" s="23"/>
      <c r="G22" s="16" t="s">
        <v>265</v>
      </c>
      <c r="M22" s="23"/>
      <c r="N22" s="16" t="s">
        <v>266</v>
      </c>
      <c r="Q22" s="23"/>
      <c r="R22" s="16" t="s">
        <v>267</v>
      </c>
      <c r="Z22" s="23"/>
      <c r="AE22" s="23"/>
      <c r="AF22" s="16" t="s">
        <v>268</v>
      </c>
      <c r="AN22" s="23"/>
      <c r="AO22" s="16" t="s">
        <v>269</v>
      </c>
      <c r="AR22" s="23"/>
      <c r="AY22" s="23"/>
    </row>
    <row r="23" ht="15.75" customHeight="1">
      <c r="C23" s="23"/>
      <c r="F23" s="23"/>
      <c r="G23" s="88">
        <v>3.0</v>
      </c>
      <c r="H23" s="89" t="s">
        <v>146</v>
      </c>
      <c r="I23" s="90" t="s">
        <v>235</v>
      </c>
      <c r="J23" s="90" t="s">
        <v>270</v>
      </c>
      <c r="K23" s="90"/>
      <c r="L23" s="90"/>
      <c r="M23" s="23"/>
      <c r="N23" s="88">
        <v>13.0</v>
      </c>
      <c r="O23" s="89" t="s">
        <v>146</v>
      </c>
      <c r="P23" s="90" t="s">
        <v>239</v>
      </c>
      <c r="Q23" s="23"/>
      <c r="R23" s="88">
        <v>9.0</v>
      </c>
      <c r="S23" s="89" t="s">
        <v>146</v>
      </c>
      <c r="T23" s="121" t="s">
        <v>240</v>
      </c>
      <c r="U23" s="90" t="s">
        <v>241</v>
      </c>
      <c r="V23" s="90" t="s">
        <v>236</v>
      </c>
      <c r="W23" s="90" t="s">
        <v>237</v>
      </c>
      <c r="X23" s="90" t="s">
        <v>238</v>
      </c>
      <c r="Y23" s="90"/>
      <c r="Z23" s="23"/>
      <c r="AE23" s="23"/>
      <c r="AF23" s="88">
        <v>1.0</v>
      </c>
      <c r="AG23" s="89" t="s">
        <v>146</v>
      </c>
      <c r="AH23" s="90" t="s">
        <v>1</v>
      </c>
      <c r="AI23" s="90"/>
      <c r="AJ23" s="90"/>
      <c r="AK23" s="90"/>
      <c r="AL23" s="90"/>
      <c r="AM23" s="90"/>
      <c r="AN23" s="23"/>
      <c r="AO23" s="88">
        <v>175.0</v>
      </c>
      <c r="AP23" s="89" t="s">
        <v>146</v>
      </c>
      <c r="AQ23" s="90" t="s">
        <v>248</v>
      </c>
      <c r="AR23" s="23"/>
      <c r="AY23" s="23"/>
    </row>
    <row r="24" ht="15.75" customHeight="1">
      <c r="C24" s="23"/>
      <c r="F24" s="23"/>
      <c r="G24" s="90" t="s">
        <v>154</v>
      </c>
      <c r="H24" s="94"/>
      <c r="I24" s="95">
        <v>1.0</v>
      </c>
      <c r="J24" s="95">
        <v>2.0</v>
      </c>
      <c r="K24" s="95"/>
      <c r="L24" s="95"/>
      <c r="M24" s="23"/>
      <c r="N24" s="90" t="s">
        <v>154</v>
      </c>
      <c r="O24" s="94"/>
      <c r="P24" s="95">
        <v>1.0</v>
      </c>
      <c r="Q24" s="23"/>
      <c r="R24" s="90" t="s">
        <v>154</v>
      </c>
      <c r="S24" s="94"/>
      <c r="T24" s="102" t="s">
        <v>271</v>
      </c>
      <c r="U24" s="95">
        <v>1.0</v>
      </c>
      <c r="V24" s="95">
        <v>9.25</v>
      </c>
      <c r="W24" s="95">
        <v>1.3</v>
      </c>
      <c r="X24" s="95">
        <v>1.45</v>
      </c>
      <c r="Y24" s="95"/>
      <c r="Z24" s="23"/>
      <c r="AE24" s="23"/>
      <c r="AF24" s="90" t="s">
        <v>154</v>
      </c>
      <c r="AG24" s="94"/>
      <c r="AH24" s="95">
        <v>1.0</v>
      </c>
      <c r="AI24" s="95"/>
      <c r="AJ24" s="95"/>
      <c r="AK24" s="95"/>
      <c r="AL24" s="95"/>
      <c r="AM24" s="95"/>
      <c r="AN24" s="23"/>
      <c r="AO24" s="90" t="s">
        <v>154</v>
      </c>
      <c r="AP24" s="94"/>
      <c r="AQ24" s="95">
        <v>1.0</v>
      </c>
      <c r="AR24" s="23"/>
      <c r="AY24" s="23"/>
    </row>
    <row r="25" ht="15.75" customHeight="1">
      <c r="C25" s="23"/>
      <c r="F25" s="23"/>
      <c r="G25" s="90" t="s">
        <v>158</v>
      </c>
      <c r="H25" s="90" t="s">
        <v>99</v>
      </c>
      <c r="I25" s="90" t="s">
        <v>99</v>
      </c>
      <c r="J25" s="90" t="s">
        <v>190</v>
      </c>
      <c r="K25" s="90"/>
      <c r="L25" s="90"/>
      <c r="M25" s="23"/>
      <c r="N25" s="90" t="s">
        <v>158</v>
      </c>
      <c r="O25" s="90" t="s">
        <v>99</v>
      </c>
      <c r="P25" s="90" t="s">
        <v>99</v>
      </c>
      <c r="Q25" s="23"/>
      <c r="R25" s="90" t="s">
        <v>158</v>
      </c>
      <c r="S25" s="90" t="s">
        <v>99</v>
      </c>
      <c r="T25" s="116" t="s">
        <v>272</v>
      </c>
      <c r="U25" s="90" t="s">
        <v>99</v>
      </c>
      <c r="V25" s="90" t="s">
        <v>99</v>
      </c>
      <c r="W25" s="90" t="s">
        <v>190</v>
      </c>
      <c r="X25" s="90" t="s">
        <v>190</v>
      </c>
      <c r="Y25" s="90"/>
      <c r="Z25" s="23"/>
      <c r="AE25" s="23"/>
      <c r="AF25" s="90" t="s">
        <v>158</v>
      </c>
      <c r="AG25" s="90" t="s">
        <v>99</v>
      </c>
      <c r="AH25" s="90" t="s">
        <v>99</v>
      </c>
      <c r="AI25" s="90"/>
      <c r="AJ25" s="90"/>
      <c r="AK25" s="90"/>
      <c r="AL25" s="90"/>
      <c r="AM25" s="90"/>
      <c r="AN25" s="23"/>
      <c r="AO25" s="90" t="s">
        <v>158</v>
      </c>
      <c r="AP25" s="90" t="s">
        <v>99</v>
      </c>
      <c r="AQ25" s="90" t="s">
        <v>99</v>
      </c>
      <c r="AR25" s="23"/>
      <c r="AY25" s="23"/>
    </row>
    <row r="26" ht="15.75" customHeight="1">
      <c r="C26" s="23"/>
      <c r="F26" s="23"/>
      <c r="G26" s="100" t="s">
        <v>162</v>
      </c>
      <c r="H26" s="90">
        <v>0.0</v>
      </c>
      <c r="I26" s="101">
        <f t="shared" ref="I26:L26" si="47">($G$23*I$24)+$H26</f>
        <v>3</v>
      </c>
      <c r="J26" s="101">
        <f t="shared" si="47"/>
        <v>6</v>
      </c>
      <c r="K26" s="101">
        <f t="shared" si="47"/>
        <v>0</v>
      </c>
      <c r="L26" s="101">
        <f t="shared" si="47"/>
        <v>0</v>
      </c>
      <c r="M26" s="23"/>
      <c r="N26" s="100" t="s">
        <v>162</v>
      </c>
      <c r="O26" s="103">
        <f>$E$14</f>
        <v>17</v>
      </c>
      <c r="P26" s="103">
        <f t="shared" ref="P26:P29" si="50">($N$23*P$24)+$O26</f>
        <v>30</v>
      </c>
      <c r="Q26" s="23"/>
      <c r="R26" s="100" t="s">
        <v>162</v>
      </c>
      <c r="S26" s="90">
        <v>0.0</v>
      </c>
      <c r="T26" s="125">
        <f t="shared" ref="T26:T29" si="51">U26*0.1</f>
        <v>0.9</v>
      </c>
      <c r="U26" s="101">
        <f t="shared" ref="U26:X26" si="48">($R$23*U$24)+$S26</f>
        <v>9</v>
      </c>
      <c r="V26" s="101">
        <f t="shared" si="48"/>
        <v>83.25</v>
      </c>
      <c r="W26" s="101">
        <f t="shared" si="48"/>
        <v>11.7</v>
      </c>
      <c r="X26" s="101">
        <f t="shared" si="48"/>
        <v>13.05</v>
      </c>
      <c r="Y26" s="90"/>
      <c r="Z26" s="23"/>
      <c r="AE26" s="23"/>
      <c r="AF26" s="100" t="s">
        <v>162</v>
      </c>
      <c r="AG26" s="118">
        <f>$E$19</f>
        <v>25</v>
      </c>
      <c r="AH26" s="118">
        <f t="shared" ref="AH26:AH29" si="53">($AF$23*AH$24)+$AG26</f>
        <v>26</v>
      </c>
      <c r="AI26" s="118"/>
      <c r="AJ26" s="118"/>
      <c r="AK26" s="118"/>
      <c r="AL26" s="118"/>
      <c r="AM26" s="90"/>
      <c r="AN26" s="23"/>
      <c r="AO26" s="100" t="s">
        <v>162</v>
      </c>
      <c r="AP26" s="90">
        <v>0.0</v>
      </c>
      <c r="AQ26" s="101">
        <f t="shared" ref="AQ26:AQ29" si="54">($AO$23*AQ$24)+$AP26</f>
        <v>175</v>
      </c>
      <c r="AR26" s="23"/>
      <c r="AY26" s="23"/>
    </row>
    <row r="27" ht="15.75" customHeight="1">
      <c r="C27" s="23"/>
      <c r="F27" s="23"/>
      <c r="G27" s="105" t="s">
        <v>165</v>
      </c>
      <c r="H27" s="106">
        <f>$E$4</f>
        <v>28</v>
      </c>
      <c r="I27" s="106">
        <f t="shared" ref="I27:L27" si="49">($G$23*I$24)+$H27</f>
        <v>31</v>
      </c>
      <c r="J27" s="106">
        <f t="shared" si="49"/>
        <v>34</v>
      </c>
      <c r="K27" s="106">
        <f t="shared" si="49"/>
        <v>28</v>
      </c>
      <c r="L27" s="106">
        <f t="shared" si="49"/>
        <v>28</v>
      </c>
      <c r="M27" s="23"/>
      <c r="N27" s="105" t="s">
        <v>165</v>
      </c>
      <c r="O27" s="103">
        <f>$E$15</f>
        <v>25</v>
      </c>
      <c r="P27" s="103">
        <f t="shared" si="50"/>
        <v>38</v>
      </c>
      <c r="Q27" s="23"/>
      <c r="R27" s="105" t="s">
        <v>165</v>
      </c>
      <c r="S27" s="106">
        <f>$E$4</f>
        <v>28</v>
      </c>
      <c r="T27" s="124">
        <f t="shared" si="51"/>
        <v>3.7</v>
      </c>
      <c r="U27" s="106">
        <f t="shared" ref="U27:X27" si="52">($R$23*U$24)+$S27</f>
        <v>37</v>
      </c>
      <c r="V27" s="106">
        <f t="shared" si="52"/>
        <v>111.25</v>
      </c>
      <c r="W27" s="106">
        <f t="shared" si="52"/>
        <v>39.7</v>
      </c>
      <c r="X27" s="106">
        <f t="shared" si="52"/>
        <v>41.05</v>
      </c>
      <c r="Y27" s="90"/>
      <c r="Z27" s="23"/>
      <c r="AE27" s="23"/>
      <c r="AF27" s="105" t="s">
        <v>165</v>
      </c>
      <c r="AG27" s="118">
        <f>$E$20</f>
        <v>34</v>
      </c>
      <c r="AH27" s="118">
        <f t="shared" si="53"/>
        <v>35</v>
      </c>
      <c r="AI27" s="118"/>
      <c r="AJ27" s="118"/>
      <c r="AK27" s="118"/>
      <c r="AL27" s="118"/>
      <c r="AM27" s="90"/>
      <c r="AN27" s="23"/>
      <c r="AO27" s="105" t="s">
        <v>165</v>
      </c>
      <c r="AP27" s="106">
        <f>$E$4</f>
        <v>28</v>
      </c>
      <c r="AQ27" s="106">
        <f t="shared" si="54"/>
        <v>203</v>
      </c>
      <c r="AR27" s="23"/>
      <c r="AY27" s="23"/>
    </row>
    <row r="28" ht="15.75" customHeight="1">
      <c r="C28" s="23"/>
      <c r="F28" s="23"/>
      <c r="G28" s="108" t="s">
        <v>167</v>
      </c>
      <c r="H28" s="106">
        <f>$E$6</f>
        <v>25</v>
      </c>
      <c r="I28" s="106">
        <f t="shared" ref="I28:L28" si="55">($G$23*I$24)+$H28</f>
        <v>28</v>
      </c>
      <c r="J28" s="106">
        <f t="shared" si="55"/>
        <v>31</v>
      </c>
      <c r="K28" s="106">
        <f t="shared" si="55"/>
        <v>25</v>
      </c>
      <c r="L28" s="106">
        <f t="shared" si="55"/>
        <v>25</v>
      </c>
      <c r="M28" s="23"/>
      <c r="N28" s="108" t="s">
        <v>167</v>
      </c>
      <c r="O28" s="103">
        <f>$E$16</f>
        <v>9</v>
      </c>
      <c r="P28" s="103">
        <f t="shared" si="50"/>
        <v>22</v>
      </c>
      <c r="Q28" s="23"/>
      <c r="R28" s="108" t="s">
        <v>167</v>
      </c>
      <c r="S28" s="103">
        <f>$E$16</f>
        <v>9</v>
      </c>
      <c r="T28" s="124">
        <f t="shared" si="51"/>
        <v>1.8</v>
      </c>
      <c r="U28" s="103">
        <f t="shared" ref="U28:X28" si="56">($R$23*U$24)+$S28</f>
        <v>18</v>
      </c>
      <c r="V28" s="103">
        <f t="shared" si="56"/>
        <v>92.25</v>
      </c>
      <c r="W28" s="103">
        <f t="shared" si="56"/>
        <v>20.7</v>
      </c>
      <c r="X28" s="103">
        <f t="shared" si="56"/>
        <v>22.05</v>
      </c>
      <c r="Y28" s="90"/>
      <c r="Z28" s="23"/>
      <c r="AE28" s="23"/>
      <c r="AF28" s="108" t="s">
        <v>167</v>
      </c>
      <c r="AG28" s="90">
        <v>0.0</v>
      </c>
      <c r="AH28" s="101">
        <f t="shared" si="53"/>
        <v>1</v>
      </c>
      <c r="AI28" s="101"/>
      <c r="AJ28" s="101"/>
      <c r="AK28" s="101"/>
      <c r="AL28" s="101"/>
      <c r="AM28" s="90"/>
      <c r="AN28" s="23"/>
      <c r="AO28" s="108" t="s">
        <v>167</v>
      </c>
      <c r="AP28" s="106">
        <f>$E$6</f>
        <v>25</v>
      </c>
      <c r="AQ28" s="106">
        <f t="shared" si="54"/>
        <v>200</v>
      </c>
      <c r="AR28" s="23"/>
      <c r="AY28" s="23"/>
    </row>
    <row r="29" ht="15.75" customHeight="1">
      <c r="C29" s="23"/>
      <c r="F29" s="23"/>
      <c r="G29" s="111" t="s">
        <v>123</v>
      </c>
      <c r="H29" s="90">
        <v>0.0</v>
      </c>
      <c r="I29" s="101">
        <f t="shared" ref="I29:L29" si="57">($G$23*I$24)+$H29</f>
        <v>3</v>
      </c>
      <c r="J29" s="101">
        <f t="shared" si="57"/>
        <v>6</v>
      </c>
      <c r="K29" s="101">
        <f t="shared" si="57"/>
        <v>0</v>
      </c>
      <c r="L29" s="101">
        <f t="shared" si="57"/>
        <v>0</v>
      </c>
      <c r="M29" s="23"/>
      <c r="N29" s="111" t="s">
        <v>123</v>
      </c>
      <c r="O29" s="90">
        <v>0.0</v>
      </c>
      <c r="P29" s="101">
        <f t="shared" si="50"/>
        <v>13</v>
      </c>
      <c r="Q29" s="23"/>
      <c r="R29" s="111" t="s">
        <v>123</v>
      </c>
      <c r="S29" s="90">
        <v>0.0</v>
      </c>
      <c r="T29" s="125">
        <f t="shared" si="51"/>
        <v>0.9</v>
      </c>
      <c r="U29" s="101">
        <f t="shared" ref="U29:X29" si="58">($R$23*U$24)+$S29</f>
        <v>9</v>
      </c>
      <c r="V29" s="101">
        <f t="shared" si="58"/>
        <v>83.25</v>
      </c>
      <c r="W29" s="101">
        <f t="shared" si="58"/>
        <v>11.7</v>
      </c>
      <c r="X29" s="101">
        <f t="shared" si="58"/>
        <v>13.05</v>
      </c>
      <c r="Y29" s="90"/>
      <c r="Z29" s="23"/>
      <c r="AE29" s="23"/>
      <c r="AF29" s="111" t="s">
        <v>123</v>
      </c>
      <c r="AG29" s="118">
        <f>$E$21</f>
        <v>9</v>
      </c>
      <c r="AH29" s="118">
        <f t="shared" si="53"/>
        <v>10</v>
      </c>
      <c r="AI29" s="118"/>
      <c r="AJ29" s="118"/>
      <c r="AK29" s="118"/>
      <c r="AL29" s="118"/>
      <c r="AM29" s="90"/>
      <c r="AN29" s="23"/>
      <c r="AO29" s="111" t="s">
        <v>123</v>
      </c>
      <c r="AP29" s="106">
        <f>$E$5</f>
        <v>17</v>
      </c>
      <c r="AQ29" s="106">
        <f t="shared" si="54"/>
        <v>192</v>
      </c>
      <c r="AR29" s="23"/>
      <c r="AY29" s="23"/>
    </row>
    <row r="30" ht="15.75" customHeight="1">
      <c r="C30" s="23"/>
      <c r="F30" s="23"/>
      <c r="M30" s="23"/>
      <c r="Q30" s="23"/>
      <c r="Z30" s="23"/>
      <c r="AE30" s="23"/>
      <c r="AN30" s="23"/>
      <c r="AR30" s="23"/>
      <c r="AY30" s="23"/>
    </row>
    <row r="31" ht="15.75" customHeight="1">
      <c r="C31" s="23"/>
      <c r="F31" s="23"/>
      <c r="M31" s="23"/>
      <c r="Q31" s="23"/>
      <c r="Z31" s="23"/>
      <c r="AE31" s="23"/>
      <c r="AN31" s="23"/>
      <c r="AR31" s="23"/>
      <c r="AY31" s="23"/>
    </row>
    <row r="32" ht="15.75" customHeight="1">
      <c r="C32" s="23"/>
      <c r="F32" s="23"/>
      <c r="M32" s="23"/>
      <c r="N32" s="16" t="s">
        <v>273</v>
      </c>
      <c r="Q32" s="23"/>
      <c r="R32" s="16" t="s">
        <v>274</v>
      </c>
      <c r="Z32" s="23"/>
      <c r="AE32" s="23"/>
      <c r="AN32" s="23"/>
      <c r="AR32" s="23"/>
      <c r="AY32" s="23"/>
    </row>
    <row r="33" ht="15.75" customHeight="1">
      <c r="C33" s="23"/>
      <c r="F33" s="23"/>
      <c r="M33" s="23"/>
      <c r="N33" s="88">
        <v>67.0</v>
      </c>
      <c r="O33" s="89" t="s">
        <v>146</v>
      </c>
      <c r="P33" s="90" t="s">
        <v>239</v>
      </c>
      <c r="Q33" s="23"/>
      <c r="R33" s="88">
        <v>6.0</v>
      </c>
      <c r="S33" s="89" t="s">
        <v>146</v>
      </c>
      <c r="T33" s="121" t="s">
        <v>240</v>
      </c>
      <c r="U33" s="90" t="s">
        <v>241</v>
      </c>
      <c r="V33" s="90" t="s">
        <v>236</v>
      </c>
      <c r="W33" s="90" t="s">
        <v>237</v>
      </c>
      <c r="X33" s="90" t="s">
        <v>238</v>
      </c>
      <c r="Y33" s="90"/>
      <c r="Z33" s="23"/>
      <c r="AE33" s="23"/>
      <c r="AN33" s="23"/>
      <c r="AR33" s="23"/>
      <c r="AY33" s="23"/>
    </row>
    <row r="34" ht="15.75" customHeight="1">
      <c r="C34" s="23"/>
      <c r="F34" s="23"/>
      <c r="M34" s="23"/>
      <c r="N34" s="90" t="s">
        <v>154</v>
      </c>
      <c r="O34" s="94"/>
      <c r="P34" s="95">
        <v>1.0</v>
      </c>
      <c r="Q34" s="23"/>
      <c r="R34" s="90" t="s">
        <v>154</v>
      </c>
      <c r="S34" s="94"/>
      <c r="T34" s="102" t="s">
        <v>275</v>
      </c>
      <c r="U34" s="95">
        <v>1.0</v>
      </c>
      <c r="V34" s="95">
        <v>8.75</v>
      </c>
      <c r="W34" s="95">
        <v>1.78</v>
      </c>
      <c r="X34" s="95">
        <v>2.04</v>
      </c>
      <c r="Y34" s="95"/>
      <c r="Z34" s="23"/>
      <c r="AE34" s="23"/>
      <c r="AN34" s="23"/>
      <c r="AR34" s="23"/>
      <c r="AY34" s="23"/>
    </row>
    <row r="35" ht="15.75" customHeight="1">
      <c r="C35" s="23"/>
      <c r="F35" s="23"/>
      <c r="M35" s="23"/>
      <c r="N35" s="90" t="s">
        <v>158</v>
      </c>
      <c r="O35" s="90" t="s">
        <v>99</v>
      </c>
      <c r="P35" s="90" t="s">
        <v>99</v>
      </c>
      <c r="Q35" s="23"/>
      <c r="R35" s="90" t="s">
        <v>158</v>
      </c>
      <c r="S35" s="90" t="s">
        <v>99</v>
      </c>
      <c r="T35" s="116" t="s">
        <v>276</v>
      </c>
      <c r="U35" s="90" t="s">
        <v>99</v>
      </c>
      <c r="V35" s="90" t="s">
        <v>99</v>
      </c>
      <c r="W35" s="90" t="s">
        <v>190</v>
      </c>
      <c r="X35" s="90" t="s">
        <v>190</v>
      </c>
      <c r="Y35" s="90"/>
      <c r="Z35" s="23"/>
      <c r="AE35" s="23"/>
      <c r="AN35" s="23"/>
      <c r="AR35" s="23"/>
      <c r="AY35" s="23"/>
    </row>
    <row r="36" ht="15.75" customHeight="1">
      <c r="C36" s="23"/>
      <c r="F36" s="23"/>
      <c r="M36" s="23"/>
      <c r="N36" s="100" t="s">
        <v>162</v>
      </c>
      <c r="O36" s="90">
        <v>0.0</v>
      </c>
      <c r="P36" s="101">
        <f t="shared" ref="P36:P39" si="60">($N$33*P$34)+$O36</f>
        <v>67</v>
      </c>
      <c r="Q36" s="23"/>
      <c r="R36" s="100" t="s">
        <v>162</v>
      </c>
      <c r="S36" s="90">
        <v>0.0</v>
      </c>
      <c r="T36" s="125">
        <f t="shared" ref="T36:T39" si="61">U36*0.33</f>
        <v>1.98</v>
      </c>
      <c r="U36" s="101">
        <f t="shared" ref="U36:X36" si="59">($R$33*U$34)+$S36</f>
        <v>6</v>
      </c>
      <c r="V36" s="101">
        <f t="shared" si="59"/>
        <v>52.5</v>
      </c>
      <c r="W36" s="101">
        <f t="shared" si="59"/>
        <v>10.68</v>
      </c>
      <c r="X36" s="101">
        <f t="shared" si="59"/>
        <v>12.24</v>
      </c>
      <c r="Y36" s="90"/>
      <c r="Z36" s="23"/>
      <c r="AE36" s="23"/>
      <c r="AN36" s="23"/>
      <c r="AR36" s="23"/>
      <c r="AY36" s="23"/>
    </row>
    <row r="37" ht="15.75" customHeight="1">
      <c r="C37" s="23"/>
      <c r="F37" s="23"/>
      <c r="M37" s="23"/>
      <c r="N37" s="105" t="s">
        <v>165</v>
      </c>
      <c r="O37" s="106">
        <f>$E$4</f>
        <v>28</v>
      </c>
      <c r="P37" s="106">
        <f t="shared" si="60"/>
        <v>95</v>
      </c>
      <c r="Q37" s="23"/>
      <c r="R37" s="105" t="s">
        <v>165</v>
      </c>
      <c r="S37" s="106">
        <f>$E$4</f>
        <v>28</v>
      </c>
      <c r="T37" s="124">
        <f t="shared" si="61"/>
        <v>11.22</v>
      </c>
      <c r="U37" s="106">
        <f t="shared" ref="U37:X37" si="62">($R$33*U$34)+$S37</f>
        <v>34</v>
      </c>
      <c r="V37" s="106">
        <f t="shared" si="62"/>
        <v>80.5</v>
      </c>
      <c r="W37" s="106">
        <f t="shared" si="62"/>
        <v>38.68</v>
      </c>
      <c r="X37" s="106">
        <f t="shared" si="62"/>
        <v>40.24</v>
      </c>
      <c r="Y37" s="90"/>
      <c r="Z37" s="23"/>
      <c r="AE37" s="23"/>
      <c r="AN37" s="23"/>
      <c r="AR37" s="23"/>
      <c r="AY37" s="23"/>
    </row>
    <row r="38" ht="15.75" customHeight="1">
      <c r="C38" s="15"/>
      <c r="F38" s="15"/>
      <c r="M38" s="15"/>
      <c r="N38" s="108" t="s">
        <v>167</v>
      </c>
      <c r="O38" s="103">
        <f>$E$16</f>
        <v>9</v>
      </c>
      <c r="P38" s="103">
        <f t="shared" si="60"/>
        <v>76</v>
      </c>
      <c r="Q38" s="15"/>
      <c r="R38" s="108" t="s">
        <v>167</v>
      </c>
      <c r="S38" s="106">
        <f>$E$6</f>
        <v>25</v>
      </c>
      <c r="T38" s="124">
        <f t="shared" si="61"/>
        <v>10.23</v>
      </c>
      <c r="U38" s="106">
        <f t="shared" ref="U38:X38" si="63">($R$33*U$34)+$S38</f>
        <v>31</v>
      </c>
      <c r="V38" s="106">
        <f t="shared" si="63"/>
        <v>77.5</v>
      </c>
      <c r="W38" s="106">
        <f t="shared" si="63"/>
        <v>35.68</v>
      </c>
      <c r="X38" s="106">
        <f t="shared" si="63"/>
        <v>37.24</v>
      </c>
      <c r="Y38" s="90"/>
      <c r="Z38" s="15"/>
      <c r="AE38" s="15"/>
      <c r="AN38" s="15"/>
      <c r="AR38" s="15"/>
      <c r="AY38" s="15"/>
    </row>
    <row r="39" ht="15.75" customHeight="1">
      <c r="C39" s="15"/>
      <c r="F39" s="15"/>
      <c r="M39" s="15"/>
      <c r="N39" s="111" t="s">
        <v>123</v>
      </c>
      <c r="O39" s="90">
        <v>0.0</v>
      </c>
      <c r="P39" s="101">
        <f t="shared" si="60"/>
        <v>67</v>
      </c>
      <c r="Q39" s="15"/>
      <c r="R39" s="111" t="s">
        <v>123</v>
      </c>
      <c r="S39" s="106">
        <f>$E$5</f>
        <v>17</v>
      </c>
      <c r="T39" s="124">
        <f t="shared" si="61"/>
        <v>7.59</v>
      </c>
      <c r="U39" s="106">
        <f t="shared" ref="U39:X39" si="64">($R$33*U$34)+$S39</f>
        <v>23</v>
      </c>
      <c r="V39" s="106">
        <f t="shared" si="64"/>
        <v>69.5</v>
      </c>
      <c r="W39" s="106">
        <f t="shared" si="64"/>
        <v>27.68</v>
      </c>
      <c r="X39" s="106">
        <f t="shared" si="64"/>
        <v>29.24</v>
      </c>
      <c r="Y39" s="90"/>
      <c r="Z39" s="15"/>
      <c r="AE39" s="15"/>
      <c r="AN39" s="15"/>
      <c r="AR39" s="15"/>
      <c r="AY39" s="15"/>
    </row>
    <row r="40" ht="15.75" customHeight="1">
      <c r="C40" s="15"/>
      <c r="F40" s="15"/>
      <c r="M40" s="15"/>
      <c r="Q40" s="15"/>
      <c r="Z40" s="15"/>
      <c r="AE40" s="15"/>
      <c r="AN40" s="15"/>
      <c r="AR40" s="15"/>
      <c r="AY40" s="15"/>
    </row>
    <row r="41" ht="15.75" customHeight="1">
      <c r="C41" s="15"/>
      <c r="F41" s="15"/>
      <c r="M41" s="15"/>
      <c r="Q41" s="15"/>
      <c r="Z41" s="15"/>
      <c r="AE41" s="15"/>
      <c r="AN41" s="15"/>
      <c r="AR41" s="15"/>
      <c r="AY41" s="15"/>
    </row>
    <row r="42" ht="15.75" customHeight="1">
      <c r="C42" s="15"/>
      <c r="F42" s="15"/>
      <c r="M42" s="15"/>
      <c r="N42" s="16" t="s">
        <v>277</v>
      </c>
      <c r="Q42" s="15"/>
      <c r="R42" s="16" t="s">
        <v>278</v>
      </c>
      <c r="Z42" s="15"/>
      <c r="AE42" s="15"/>
      <c r="AN42" s="15"/>
      <c r="AR42" s="15"/>
      <c r="AY42" s="15"/>
    </row>
    <row r="43" ht="15.75" customHeight="1">
      <c r="C43" s="15"/>
      <c r="F43" s="15"/>
      <c r="M43" s="15"/>
      <c r="N43" s="88">
        <v>9.0</v>
      </c>
      <c r="O43" s="89" t="s">
        <v>146</v>
      </c>
      <c r="P43" s="90" t="s">
        <v>279</v>
      </c>
      <c r="Q43" s="15"/>
      <c r="R43" s="88">
        <v>12.0</v>
      </c>
      <c r="S43" s="89" t="s">
        <v>146</v>
      </c>
      <c r="T43" s="121" t="s">
        <v>240</v>
      </c>
      <c r="U43" s="90" t="s">
        <v>241</v>
      </c>
      <c r="V43" s="90" t="s">
        <v>236</v>
      </c>
      <c r="W43" s="90" t="s">
        <v>237</v>
      </c>
      <c r="X43" s="90" t="s">
        <v>238</v>
      </c>
      <c r="Y43" s="90"/>
      <c r="Z43" s="15"/>
      <c r="AE43" s="15"/>
      <c r="AN43" s="15"/>
      <c r="AR43" s="15"/>
      <c r="AY43" s="15"/>
    </row>
    <row r="44" ht="15.75" customHeight="1">
      <c r="C44" s="15"/>
      <c r="F44" s="15"/>
      <c r="M44" s="15"/>
      <c r="N44" s="90" t="s">
        <v>154</v>
      </c>
      <c r="O44" s="94"/>
      <c r="P44" s="95">
        <v>1.0</v>
      </c>
      <c r="Q44" s="15"/>
      <c r="R44" s="90" t="s">
        <v>154</v>
      </c>
      <c r="S44" s="94"/>
      <c r="T44" s="102" t="s">
        <v>275</v>
      </c>
      <c r="U44" s="95">
        <v>1.0</v>
      </c>
      <c r="V44" s="95">
        <v>8.75</v>
      </c>
      <c r="W44" s="95">
        <v>1.78</v>
      </c>
      <c r="X44" s="95">
        <v>2.04</v>
      </c>
      <c r="Y44" s="95"/>
      <c r="Z44" s="15"/>
      <c r="AE44" s="15"/>
      <c r="AN44" s="15"/>
      <c r="AR44" s="15"/>
      <c r="AY44" s="15"/>
    </row>
    <row r="45" ht="15.75" customHeight="1">
      <c r="C45" s="15"/>
      <c r="F45" s="15"/>
      <c r="M45" s="15"/>
      <c r="N45" s="90" t="s">
        <v>158</v>
      </c>
      <c r="O45" s="90" t="s">
        <v>99</v>
      </c>
      <c r="P45" s="90" t="s">
        <v>99</v>
      </c>
      <c r="Q45" s="15"/>
      <c r="R45" s="90" t="s">
        <v>158</v>
      </c>
      <c r="S45" s="90" t="s">
        <v>99</v>
      </c>
      <c r="T45" s="116" t="s">
        <v>276</v>
      </c>
      <c r="U45" s="90" t="s">
        <v>99</v>
      </c>
      <c r="V45" s="90" t="s">
        <v>99</v>
      </c>
      <c r="W45" s="90" t="s">
        <v>190</v>
      </c>
      <c r="X45" s="90" t="s">
        <v>190</v>
      </c>
      <c r="Y45" s="90"/>
      <c r="Z45" s="15"/>
      <c r="AE45" s="15"/>
      <c r="AN45" s="15"/>
      <c r="AR45" s="15"/>
      <c r="AY45" s="15"/>
    </row>
    <row r="46" ht="15.75" customHeight="1">
      <c r="C46" s="15"/>
      <c r="F46" s="15"/>
      <c r="M46" s="15"/>
      <c r="N46" s="100" t="s">
        <v>162</v>
      </c>
      <c r="O46" s="90">
        <v>0.0</v>
      </c>
      <c r="P46" s="101">
        <f t="shared" ref="P46:P49" si="66">($N$43*P$44)+$O46</f>
        <v>9</v>
      </c>
      <c r="Q46" s="15"/>
      <c r="R46" s="100" t="s">
        <v>162</v>
      </c>
      <c r="S46" s="118">
        <f>$E$19</f>
        <v>25</v>
      </c>
      <c r="T46" s="124">
        <f t="shared" ref="T46:T49" si="67">U46*0.33</f>
        <v>12.21</v>
      </c>
      <c r="U46" s="118">
        <f t="shared" ref="U46:X46" si="65">($R$43*U$44)+$S46</f>
        <v>37</v>
      </c>
      <c r="V46" s="118">
        <f t="shared" si="65"/>
        <v>130</v>
      </c>
      <c r="W46" s="118">
        <f t="shared" si="65"/>
        <v>46.36</v>
      </c>
      <c r="X46" s="118">
        <f t="shared" si="65"/>
        <v>49.48</v>
      </c>
      <c r="Y46" s="90"/>
      <c r="Z46" s="15"/>
      <c r="AE46" s="15"/>
      <c r="AN46" s="15"/>
      <c r="AR46" s="15"/>
      <c r="AY46" s="15"/>
    </row>
    <row r="47" ht="15.75" customHeight="1">
      <c r="C47" s="15"/>
      <c r="F47" s="15"/>
      <c r="M47" s="15"/>
      <c r="N47" s="105" t="s">
        <v>165</v>
      </c>
      <c r="O47" s="106">
        <f>$E$4</f>
        <v>28</v>
      </c>
      <c r="P47" s="106">
        <f t="shared" si="66"/>
        <v>37</v>
      </c>
      <c r="Q47" s="15"/>
      <c r="R47" s="105" t="s">
        <v>165</v>
      </c>
      <c r="S47" s="118">
        <f>$E$20</f>
        <v>34</v>
      </c>
      <c r="T47" s="124">
        <f t="shared" si="67"/>
        <v>15.18</v>
      </c>
      <c r="U47" s="118">
        <f t="shared" ref="U47:X47" si="68">($R$43*U$44)+$S47</f>
        <v>46</v>
      </c>
      <c r="V47" s="118">
        <f t="shared" si="68"/>
        <v>139</v>
      </c>
      <c r="W47" s="118">
        <f t="shared" si="68"/>
        <v>55.36</v>
      </c>
      <c r="X47" s="118">
        <f t="shared" si="68"/>
        <v>58.48</v>
      </c>
      <c r="Y47" s="90"/>
      <c r="Z47" s="15"/>
      <c r="AE47" s="15"/>
      <c r="AN47" s="15"/>
      <c r="AR47" s="15"/>
      <c r="AY47" s="15"/>
    </row>
    <row r="48" ht="15.75" customHeight="1">
      <c r="C48" s="15"/>
      <c r="F48" s="15"/>
      <c r="M48" s="15"/>
      <c r="N48" s="108" t="s">
        <v>167</v>
      </c>
      <c r="O48" s="103">
        <f>$E$16</f>
        <v>9</v>
      </c>
      <c r="P48" s="103">
        <f t="shared" si="66"/>
        <v>18</v>
      </c>
      <c r="Q48" s="15"/>
      <c r="R48" s="108" t="s">
        <v>167</v>
      </c>
      <c r="S48" s="90">
        <v>0.0</v>
      </c>
      <c r="T48" s="125">
        <f t="shared" si="67"/>
        <v>3.96</v>
      </c>
      <c r="U48" s="101">
        <f t="shared" ref="U48:X48" si="69">($R$43*U$44)+$S48</f>
        <v>12</v>
      </c>
      <c r="V48" s="101">
        <f t="shared" si="69"/>
        <v>105</v>
      </c>
      <c r="W48" s="101">
        <f t="shared" si="69"/>
        <v>21.36</v>
      </c>
      <c r="X48" s="101">
        <f t="shared" si="69"/>
        <v>24.48</v>
      </c>
      <c r="Y48" s="90"/>
      <c r="Z48" s="15"/>
      <c r="AE48" s="15"/>
      <c r="AN48" s="15"/>
      <c r="AR48" s="15"/>
      <c r="AY48" s="15"/>
    </row>
    <row r="49" ht="15.75" customHeight="1">
      <c r="C49" s="15"/>
      <c r="F49" s="15"/>
      <c r="M49" s="15"/>
      <c r="N49" s="111" t="s">
        <v>123</v>
      </c>
      <c r="O49" s="90">
        <v>0.0</v>
      </c>
      <c r="P49" s="101">
        <f t="shared" si="66"/>
        <v>9</v>
      </c>
      <c r="Q49" s="15"/>
      <c r="R49" s="111" t="s">
        <v>123</v>
      </c>
      <c r="S49" s="118">
        <f>$E$21</f>
        <v>9</v>
      </c>
      <c r="T49" s="124">
        <f t="shared" si="67"/>
        <v>6.93</v>
      </c>
      <c r="U49" s="118">
        <f t="shared" ref="U49:X49" si="70">($R$43*U$44)+$S49</f>
        <v>21</v>
      </c>
      <c r="V49" s="118">
        <f t="shared" si="70"/>
        <v>114</v>
      </c>
      <c r="W49" s="118">
        <f t="shared" si="70"/>
        <v>30.36</v>
      </c>
      <c r="X49" s="118">
        <f t="shared" si="70"/>
        <v>33.48</v>
      </c>
      <c r="Y49" s="90"/>
      <c r="Z49" s="15"/>
      <c r="AE49" s="15"/>
      <c r="AN49" s="15"/>
      <c r="AR49" s="15"/>
      <c r="AY49" s="15"/>
    </row>
    <row r="50" ht="15.75" customHeight="1">
      <c r="C50" s="15"/>
      <c r="F50" s="15"/>
      <c r="M50" s="15"/>
      <c r="Q50" s="15"/>
      <c r="Z50" s="15"/>
      <c r="AE50" s="15"/>
      <c r="AN50" s="15"/>
      <c r="AR50" s="15"/>
      <c r="AY50" s="15"/>
    </row>
    <row r="51" ht="15.75" customHeight="1">
      <c r="C51" s="15"/>
      <c r="F51" s="15"/>
      <c r="M51" s="15"/>
      <c r="Q51" s="15"/>
      <c r="Z51" s="15"/>
      <c r="AE51" s="15"/>
      <c r="AN51" s="15"/>
      <c r="AR51" s="15"/>
      <c r="AY51" s="15"/>
    </row>
    <row r="52" ht="15.75" customHeight="1">
      <c r="C52" s="15"/>
      <c r="F52" s="15"/>
      <c r="M52" s="15"/>
      <c r="Q52" s="15"/>
      <c r="R52" s="16" t="s">
        <v>280</v>
      </c>
      <c r="Z52" s="15"/>
      <c r="AE52" s="15"/>
      <c r="AN52" s="15"/>
      <c r="AR52" s="15"/>
      <c r="AY52" s="15"/>
    </row>
    <row r="53" ht="15.75" customHeight="1">
      <c r="C53" s="15"/>
      <c r="F53" s="15"/>
      <c r="M53" s="15"/>
      <c r="Q53" s="15"/>
      <c r="R53" s="88">
        <v>53.0</v>
      </c>
      <c r="S53" s="89" t="s">
        <v>146</v>
      </c>
      <c r="T53" s="121" t="s">
        <v>240</v>
      </c>
      <c r="U53" s="90" t="s">
        <v>241</v>
      </c>
      <c r="V53" s="90" t="s">
        <v>281</v>
      </c>
      <c r="W53" s="90"/>
      <c r="X53" s="90"/>
      <c r="Y53" s="90"/>
      <c r="Z53" s="15"/>
      <c r="AE53" s="15"/>
      <c r="AN53" s="15"/>
      <c r="AR53" s="15"/>
      <c r="AY53" s="15"/>
    </row>
    <row r="54" ht="15.75" customHeight="1">
      <c r="C54" s="15"/>
      <c r="F54" s="15"/>
      <c r="M54" s="15"/>
      <c r="Q54" s="15"/>
      <c r="R54" s="90" t="s">
        <v>154</v>
      </c>
      <c r="S54" s="94"/>
      <c r="T54" s="102" t="s">
        <v>275</v>
      </c>
      <c r="U54" s="95">
        <v>1.0</v>
      </c>
      <c r="V54" s="95">
        <v>5.18</v>
      </c>
      <c r="W54" s="95"/>
      <c r="X54" s="95"/>
      <c r="Y54" s="95"/>
      <c r="Z54" s="15"/>
      <c r="AE54" s="15"/>
      <c r="AN54" s="15"/>
      <c r="AR54" s="15"/>
      <c r="AY54" s="15"/>
    </row>
    <row r="55" ht="15.75" customHeight="1">
      <c r="C55" s="15"/>
      <c r="F55" s="15"/>
      <c r="M55" s="15"/>
      <c r="Q55" s="15"/>
      <c r="R55" s="90" t="s">
        <v>158</v>
      </c>
      <c r="S55" s="90" t="s">
        <v>99</v>
      </c>
      <c r="T55" s="116" t="s">
        <v>276</v>
      </c>
      <c r="U55" s="90" t="s">
        <v>99</v>
      </c>
      <c r="V55" s="90" t="s">
        <v>190</v>
      </c>
      <c r="W55" s="90"/>
      <c r="X55" s="90"/>
      <c r="Y55" s="90"/>
      <c r="Z55" s="15"/>
      <c r="AE55" s="15"/>
      <c r="AN55" s="15"/>
      <c r="AR55" s="15"/>
      <c r="AY55" s="15"/>
    </row>
    <row r="56" ht="15.75" customHeight="1">
      <c r="C56" s="15"/>
      <c r="F56" s="15"/>
      <c r="M56" s="15"/>
      <c r="Q56" s="15"/>
      <c r="R56" s="100" t="s">
        <v>162</v>
      </c>
      <c r="S56" s="118">
        <f>$E$19</f>
        <v>25</v>
      </c>
      <c r="T56" s="124">
        <f t="shared" ref="T56:T59" si="72">U56*0.33</f>
        <v>25.74</v>
      </c>
      <c r="U56" s="118">
        <f t="shared" ref="U56:V56" si="71">($R$53*U$54)+$S56</f>
        <v>78</v>
      </c>
      <c r="V56" s="118">
        <f t="shared" si="71"/>
        <v>299.54</v>
      </c>
      <c r="W56" s="118"/>
      <c r="X56" s="118"/>
      <c r="Y56" s="90"/>
      <c r="Z56" s="15"/>
      <c r="AE56" s="15"/>
      <c r="AN56" s="15"/>
      <c r="AR56" s="15"/>
      <c r="AY56" s="15"/>
    </row>
    <row r="57" ht="15.75" customHeight="1">
      <c r="C57" s="15"/>
      <c r="F57" s="15"/>
      <c r="M57" s="15"/>
      <c r="Q57" s="15"/>
      <c r="R57" s="105" t="s">
        <v>165</v>
      </c>
      <c r="S57" s="118">
        <f>$E$20</f>
        <v>34</v>
      </c>
      <c r="T57" s="124">
        <f t="shared" si="72"/>
        <v>28.71</v>
      </c>
      <c r="U57" s="118">
        <f t="shared" ref="U57:V57" si="73">($R$53*U$54)+$S57</f>
        <v>87</v>
      </c>
      <c r="V57" s="118">
        <f t="shared" si="73"/>
        <v>308.54</v>
      </c>
      <c r="W57" s="118"/>
      <c r="X57" s="118"/>
      <c r="Y57" s="90"/>
      <c r="Z57" s="15"/>
      <c r="AE57" s="15"/>
      <c r="AN57" s="15"/>
      <c r="AR57" s="15"/>
      <c r="AY57" s="15"/>
    </row>
    <row r="58" ht="15.75" customHeight="1">
      <c r="C58" s="15"/>
      <c r="F58" s="15"/>
      <c r="M58" s="15"/>
      <c r="Q58" s="15"/>
      <c r="R58" s="108" t="s">
        <v>167</v>
      </c>
      <c r="S58" s="90">
        <v>0.0</v>
      </c>
      <c r="T58" s="125">
        <f t="shared" si="72"/>
        <v>17.49</v>
      </c>
      <c r="U58" s="101">
        <f t="shared" ref="U58:V58" si="74">($R$53*U$54)+$S58</f>
        <v>53</v>
      </c>
      <c r="V58" s="101">
        <f t="shared" si="74"/>
        <v>274.54</v>
      </c>
      <c r="W58" s="101"/>
      <c r="X58" s="101"/>
      <c r="Y58" s="90"/>
      <c r="Z58" s="15"/>
      <c r="AE58" s="15"/>
      <c r="AN58" s="15"/>
      <c r="AR58" s="15"/>
      <c r="AY58" s="15"/>
    </row>
    <row r="59" ht="15.75" customHeight="1">
      <c r="C59" s="15"/>
      <c r="F59" s="15"/>
      <c r="M59" s="15"/>
      <c r="Q59" s="15"/>
      <c r="R59" s="111" t="s">
        <v>123</v>
      </c>
      <c r="S59" s="118">
        <f>$E$21</f>
        <v>9</v>
      </c>
      <c r="T59" s="124">
        <f t="shared" si="72"/>
        <v>20.46</v>
      </c>
      <c r="U59" s="118">
        <f t="shared" ref="U59:V59" si="75">($R$53*U$54)+$S59</f>
        <v>62</v>
      </c>
      <c r="V59" s="118">
        <f t="shared" si="75"/>
        <v>283.54</v>
      </c>
      <c r="W59" s="118"/>
      <c r="X59" s="118"/>
      <c r="Y59" s="90"/>
      <c r="Z59" s="15"/>
      <c r="AE59" s="15"/>
      <c r="AN59" s="15"/>
      <c r="AR59" s="15"/>
      <c r="AY59" s="15"/>
    </row>
    <row r="60" ht="15.75" customHeight="1">
      <c r="C60" s="15"/>
      <c r="F60" s="15"/>
      <c r="M60" s="15"/>
      <c r="Q60" s="15"/>
      <c r="Z60" s="15"/>
      <c r="AE60" s="15"/>
      <c r="AN60" s="15"/>
      <c r="AR60" s="15"/>
      <c r="AY60" s="15"/>
    </row>
    <row r="61" ht="15.75" customHeight="1">
      <c r="C61" s="15"/>
      <c r="F61" s="15"/>
      <c r="M61" s="15"/>
      <c r="Q61" s="15"/>
      <c r="Z61" s="15"/>
      <c r="AE61" s="15"/>
      <c r="AN61" s="15"/>
      <c r="AR61" s="15"/>
      <c r="AY61" s="15"/>
    </row>
    <row r="62" ht="15.75" customHeight="1">
      <c r="C62" s="15"/>
      <c r="F62" s="15"/>
      <c r="M62" s="15"/>
      <c r="Q62" s="15"/>
      <c r="R62" s="16" t="s">
        <v>282</v>
      </c>
      <c r="Z62" s="15"/>
      <c r="AE62" s="15"/>
      <c r="AN62" s="15"/>
      <c r="AR62" s="15"/>
      <c r="AY62" s="15"/>
    </row>
    <row r="63" ht="15.75" customHeight="1">
      <c r="C63" s="15"/>
      <c r="F63" s="15"/>
      <c r="M63" s="15"/>
      <c r="Q63" s="15"/>
      <c r="R63" s="88">
        <v>18.0</v>
      </c>
      <c r="S63" s="89" t="s">
        <v>146</v>
      </c>
      <c r="T63" s="121" t="s">
        <v>240</v>
      </c>
      <c r="U63" s="90" t="s">
        <v>241</v>
      </c>
      <c r="V63" s="90" t="s">
        <v>236</v>
      </c>
      <c r="W63" s="90" t="s">
        <v>237</v>
      </c>
      <c r="X63" s="90" t="s">
        <v>238</v>
      </c>
      <c r="Y63" s="90"/>
      <c r="Z63" s="15"/>
      <c r="AE63" s="15"/>
      <c r="AN63" s="15"/>
      <c r="AR63" s="15"/>
      <c r="AY63" s="15"/>
    </row>
    <row r="64" ht="15.75" customHeight="1">
      <c r="C64" s="15"/>
      <c r="F64" s="15"/>
      <c r="M64" s="15"/>
      <c r="Q64" s="15"/>
      <c r="R64" s="90" t="s">
        <v>154</v>
      </c>
      <c r="S64" s="94"/>
      <c r="T64" s="102" t="s">
        <v>275</v>
      </c>
      <c r="U64" s="95">
        <v>1.0</v>
      </c>
      <c r="V64" s="95">
        <v>8.5</v>
      </c>
      <c r="W64" s="95">
        <v>1.5</v>
      </c>
      <c r="X64" s="95">
        <v>1.7</v>
      </c>
      <c r="Y64" s="95"/>
      <c r="Z64" s="15"/>
      <c r="AE64" s="15"/>
      <c r="AN64" s="15"/>
      <c r="AR64" s="15"/>
      <c r="AY64" s="15"/>
    </row>
    <row r="65" ht="15.75" customHeight="1">
      <c r="C65" s="15"/>
      <c r="F65" s="15"/>
      <c r="M65" s="15"/>
      <c r="Q65" s="15"/>
      <c r="R65" s="90" t="s">
        <v>158</v>
      </c>
      <c r="S65" s="90" t="s">
        <v>99</v>
      </c>
      <c r="T65" s="116" t="s">
        <v>283</v>
      </c>
      <c r="U65" s="90" t="s">
        <v>99</v>
      </c>
      <c r="V65" s="90" t="s">
        <v>99</v>
      </c>
      <c r="W65" s="90" t="s">
        <v>190</v>
      </c>
      <c r="X65" s="90" t="s">
        <v>190</v>
      </c>
      <c r="Y65" s="90"/>
      <c r="Z65" s="15"/>
      <c r="AE65" s="15"/>
      <c r="AN65" s="15"/>
      <c r="AR65" s="15"/>
      <c r="AY65" s="15"/>
    </row>
    <row r="66" ht="15.75" customHeight="1">
      <c r="C66" s="15"/>
      <c r="F66" s="15"/>
      <c r="M66" s="15"/>
      <c r="Q66" s="15"/>
      <c r="R66" s="100" t="s">
        <v>162</v>
      </c>
      <c r="S66" s="117">
        <f>$E$9</f>
        <v>28</v>
      </c>
      <c r="T66" s="124">
        <f t="shared" ref="T66:T69" si="77">U66*0.2</f>
        <v>9.2</v>
      </c>
      <c r="U66" s="117">
        <f t="shared" ref="U66:X66" si="76">($R$63*U$64)+$S66</f>
        <v>46</v>
      </c>
      <c r="V66" s="117">
        <f t="shared" si="76"/>
        <v>181</v>
      </c>
      <c r="W66" s="117">
        <f t="shared" si="76"/>
        <v>55</v>
      </c>
      <c r="X66" s="117">
        <f t="shared" si="76"/>
        <v>58.6</v>
      </c>
      <c r="Y66" s="90"/>
      <c r="Z66" s="15"/>
      <c r="AE66" s="15"/>
      <c r="AN66" s="15"/>
      <c r="AR66" s="15"/>
      <c r="AY66" s="15"/>
    </row>
    <row r="67" ht="15.75" customHeight="1">
      <c r="C67" s="15"/>
      <c r="F67" s="15"/>
      <c r="M67" s="15"/>
      <c r="Q67" s="15"/>
      <c r="R67" s="105" t="s">
        <v>165</v>
      </c>
      <c r="S67" s="90">
        <v>0.0</v>
      </c>
      <c r="T67" s="125">
        <f t="shared" si="77"/>
        <v>3.6</v>
      </c>
      <c r="U67" s="101">
        <f t="shared" ref="U67:X67" si="78">($R$63*U$64)+$S67</f>
        <v>18</v>
      </c>
      <c r="V67" s="101">
        <f t="shared" si="78"/>
        <v>153</v>
      </c>
      <c r="W67" s="101">
        <f t="shared" si="78"/>
        <v>27</v>
      </c>
      <c r="X67" s="101">
        <f t="shared" si="78"/>
        <v>30.6</v>
      </c>
      <c r="Y67" s="90"/>
      <c r="Z67" s="15"/>
      <c r="AE67" s="15"/>
      <c r="AN67" s="15"/>
      <c r="AR67" s="15"/>
      <c r="AY67" s="15"/>
    </row>
    <row r="68" ht="15.75" customHeight="1">
      <c r="C68" s="15"/>
      <c r="F68" s="15"/>
      <c r="M68" s="15"/>
      <c r="Q68" s="15"/>
      <c r="R68" s="108" t="s">
        <v>167</v>
      </c>
      <c r="S68" s="117">
        <f>$E$11</f>
        <v>34</v>
      </c>
      <c r="T68" s="124">
        <f t="shared" si="77"/>
        <v>10.4</v>
      </c>
      <c r="U68" s="117">
        <f t="shared" ref="U68:X68" si="79">($R$63*U$64)+$S68</f>
        <v>52</v>
      </c>
      <c r="V68" s="117">
        <f t="shared" si="79"/>
        <v>187</v>
      </c>
      <c r="W68" s="117">
        <f t="shared" si="79"/>
        <v>61</v>
      </c>
      <c r="X68" s="117">
        <f t="shared" si="79"/>
        <v>64.6</v>
      </c>
      <c r="Y68" s="90"/>
      <c r="Z68" s="15"/>
      <c r="AE68" s="15"/>
      <c r="AN68" s="15"/>
      <c r="AR68" s="15"/>
      <c r="AY68" s="15"/>
    </row>
    <row r="69" ht="15.75" customHeight="1">
      <c r="C69" s="15"/>
      <c r="F69" s="15"/>
      <c r="M69" s="15"/>
      <c r="Q69" s="15"/>
      <c r="R69" s="111" t="s">
        <v>123</v>
      </c>
      <c r="S69" s="117">
        <f>$E$10</f>
        <v>25</v>
      </c>
      <c r="T69" s="124">
        <f t="shared" si="77"/>
        <v>8.6</v>
      </c>
      <c r="U69" s="117">
        <f t="shared" ref="U69:X69" si="80">($R$63*U$64)+$S69</f>
        <v>43</v>
      </c>
      <c r="V69" s="117">
        <f t="shared" si="80"/>
        <v>178</v>
      </c>
      <c r="W69" s="117">
        <f t="shared" si="80"/>
        <v>52</v>
      </c>
      <c r="X69" s="117">
        <f t="shared" si="80"/>
        <v>55.6</v>
      </c>
      <c r="Y69" s="90"/>
      <c r="Z69" s="15"/>
      <c r="AE69" s="15"/>
      <c r="AN69" s="15"/>
      <c r="AR69" s="15"/>
      <c r="AY69" s="15"/>
    </row>
    <row r="70" ht="15.75" customHeight="1">
      <c r="C70" s="15"/>
      <c r="F70" s="15"/>
      <c r="M70" s="15"/>
      <c r="Q70" s="15"/>
      <c r="Z70" s="15"/>
      <c r="AE70" s="15"/>
      <c r="AN70" s="15"/>
      <c r="AR70" s="15"/>
      <c r="AY70" s="15"/>
    </row>
    <row r="71" ht="15.75" customHeight="1">
      <c r="C71" s="15"/>
      <c r="F71" s="15"/>
      <c r="M71" s="15"/>
      <c r="Q71" s="15"/>
      <c r="Z71" s="15"/>
      <c r="AE71" s="15"/>
      <c r="AN71" s="15"/>
      <c r="AR71" s="15"/>
      <c r="AY71" s="15"/>
    </row>
    <row r="72" ht="15.75" customHeight="1">
      <c r="C72" s="15"/>
      <c r="F72" s="15"/>
      <c r="M72" s="15"/>
      <c r="Q72" s="15"/>
      <c r="R72" s="16" t="s">
        <v>284</v>
      </c>
      <c r="Z72" s="15"/>
      <c r="AE72" s="15"/>
      <c r="AN72" s="15"/>
      <c r="AR72" s="15"/>
      <c r="AY72" s="15"/>
    </row>
    <row r="73" ht="15.75" customHeight="1">
      <c r="C73" s="15"/>
      <c r="F73" s="15"/>
      <c r="M73" s="15"/>
      <c r="Q73" s="15"/>
      <c r="R73" s="88">
        <v>1.0</v>
      </c>
      <c r="S73" s="89" t="s">
        <v>146</v>
      </c>
      <c r="T73" s="121" t="s">
        <v>240</v>
      </c>
      <c r="U73" s="90" t="s">
        <v>241</v>
      </c>
      <c r="V73" s="90" t="s">
        <v>236</v>
      </c>
      <c r="W73" s="90" t="s">
        <v>237</v>
      </c>
      <c r="X73" s="90" t="s">
        <v>238</v>
      </c>
      <c r="Y73" s="90" t="s">
        <v>285</v>
      </c>
      <c r="Z73" s="15"/>
      <c r="AE73" s="15"/>
      <c r="AN73" s="15"/>
      <c r="AR73" s="15"/>
      <c r="AY73" s="15"/>
    </row>
    <row r="74" ht="15.75" customHeight="1">
      <c r="C74" s="15"/>
      <c r="F74" s="15"/>
      <c r="M74" s="15"/>
      <c r="Q74" s="15"/>
      <c r="R74" s="90" t="s">
        <v>154</v>
      </c>
      <c r="S74" s="94"/>
      <c r="T74" s="102" t="s">
        <v>286</v>
      </c>
      <c r="U74" s="95">
        <v>1.0</v>
      </c>
      <c r="V74" s="95">
        <v>8.75</v>
      </c>
      <c r="W74" s="95">
        <v>2.15</v>
      </c>
      <c r="X74" s="95">
        <v>2.45</v>
      </c>
      <c r="Y74" s="95">
        <v>2.75</v>
      </c>
      <c r="Z74" s="15"/>
      <c r="AE74" s="15"/>
      <c r="AN74" s="15"/>
      <c r="AR74" s="15"/>
      <c r="AY74" s="15"/>
    </row>
    <row r="75" ht="15.75" customHeight="1">
      <c r="C75" s="15"/>
      <c r="F75" s="15"/>
      <c r="M75" s="15"/>
      <c r="Q75" s="15"/>
      <c r="R75" s="90" t="s">
        <v>158</v>
      </c>
      <c r="S75" s="90" t="s">
        <v>99</v>
      </c>
      <c r="T75" s="116" t="s">
        <v>287</v>
      </c>
      <c r="U75" s="90" t="s">
        <v>99</v>
      </c>
      <c r="V75" s="90" t="s">
        <v>99</v>
      </c>
      <c r="W75" s="90" t="s">
        <v>190</v>
      </c>
      <c r="X75" s="90" t="s">
        <v>190</v>
      </c>
      <c r="Y75" s="90" t="s">
        <v>99</v>
      </c>
      <c r="Z75" s="15"/>
      <c r="AE75" s="15"/>
      <c r="AN75" s="15"/>
      <c r="AR75" s="15"/>
      <c r="AY75" s="15"/>
    </row>
    <row r="76" ht="15.75" customHeight="1">
      <c r="C76" s="15"/>
      <c r="F76" s="15"/>
      <c r="M76" s="15"/>
      <c r="Q76" s="15"/>
      <c r="R76" s="100" t="s">
        <v>162</v>
      </c>
      <c r="S76" s="90">
        <v>0.0</v>
      </c>
      <c r="T76" s="123">
        <f t="shared" ref="T76:T79" si="82">U76*80</f>
        <v>80</v>
      </c>
      <c r="U76" s="101">
        <f t="shared" ref="U76:Y76" si="81">($R$73*U$74)+$S76</f>
        <v>1</v>
      </c>
      <c r="V76" s="101">
        <f t="shared" si="81"/>
        <v>8.75</v>
      </c>
      <c r="W76" s="101">
        <f t="shared" si="81"/>
        <v>2.15</v>
      </c>
      <c r="X76" s="101">
        <f t="shared" si="81"/>
        <v>2.45</v>
      </c>
      <c r="Y76" s="101">
        <f t="shared" si="81"/>
        <v>2.75</v>
      </c>
      <c r="Z76" s="15"/>
      <c r="AE76" s="15"/>
      <c r="AN76" s="15"/>
      <c r="AR76" s="15"/>
      <c r="AY76" s="15"/>
    </row>
    <row r="77" ht="15.75" customHeight="1">
      <c r="C77" s="15"/>
      <c r="F77" s="15"/>
      <c r="M77" s="15"/>
      <c r="Q77" s="15"/>
      <c r="R77" s="105" t="s">
        <v>165</v>
      </c>
      <c r="S77" s="106">
        <f>$E$4</f>
        <v>28</v>
      </c>
      <c r="T77" s="102">
        <f t="shared" si="82"/>
        <v>2320</v>
      </c>
      <c r="U77" s="106">
        <f t="shared" ref="U77:Y77" si="83">($R$73*U$74)+$S77</f>
        <v>29</v>
      </c>
      <c r="V77" s="106">
        <f t="shared" si="83"/>
        <v>36.75</v>
      </c>
      <c r="W77" s="106">
        <f t="shared" si="83"/>
        <v>30.15</v>
      </c>
      <c r="X77" s="106">
        <f t="shared" si="83"/>
        <v>30.45</v>
      </c>
      <c r="Y77" s="106">
        <f t="shared" si="83"/>
        <v>30.75</v>
      </c>
      <c r="Z77" s="15"/>
      <c r="AE77" s="15"/>
      <c r="AN77" s="15"/>
      <c r="AR77" s="15"/>
      <c r="AY77" s="15"/>
    </row>
    <row r="78" ht="15.75" customHeight="1">
      <c r="C78" s="15"/>
      <c r="F78" s="15"/>
      <c r="M78" s="15"/>
      <c r="Q78" s="15"/>
      <c r="R78" s="108" t="s">
        <v>167</v>
      </c>
      <c r="S78" s="106">
        <f>$E$6</f>
        <v>25</v>
      </c>
      <c r="T78" s="102">
        <f t="shared" si="82"/>
        <v>2080</v>
      </c>
      <c r="U78" s="106">
        <f t="shared" ref="U78:Y78" si="84">($R$73*U$74)+$S78</f>
        <v>26</v>
      </c>
      <c r="V78" s="106">
        <f t="shared" si="84"/>
        <v>33.75</v>
      </c>
      <c r="W78" s="106">
        <f t="shared" si="84"/>
        <v>27.15</v>
      </c>
      <c r="X78" s="106">
        <f t="shared" si="84"/>
        <v>27.45</v>
      </c>
      <c r="Y78" s="106">
        <f t="shared" si="84"/>
        <v>27.75</v>
      </c>
      <c r="Z78" s="15"/>
      <c r="AE78" s="15"/>
      <c r="AN78" s="15"/>
      <c r="AR78" s="15"/>
      <c r="AY78" s="15"/>
    </row>
    <row r="79" ht="15.75" customHeight="1">
      <c r="C79" s="15"/>
      <c r="F79" s="15"/>
      <c r="M79" s="15"/>
      <c r="Q79" s="15"/>
      <c r="R79" s="111" t="s">
        <v>123</v>
      </c>
      <c r="S79" s="106">
        <f>$E$5</f>
        <v>17</v>
      </c>
      <c r="T79" s="102">
        <f t="shared" si="82"/>
        <v>1440</v>
      </c>
      <c r="U79" s="106">
        <f t="shared" ref="U79:Y79" si="85">($R$73*U$74)+$S79</f>
        <v>18</v>
      </c>
      <c r="V79" s="106">
        <f t="shared" si="85"/>
        <v>25.75</v>
      </c>
      <c r="W79" s="106">
        <f t="shared" si="85"/>
        <v>19.15</v>
      </c>
      <c r="X79" s="106">
        <f t="shared" si="85"/>
        <v>19.45</v>
      </c>
      <c r="Y79" s="106">
        <f t="shared" si="85"/>
        <v>19.75</v>
      </c>
      <c r="Z79" s="15"/>
      <c r="AE79" s="15"/>
      <c r="AN79" s="15"/>
      <c r="AR79" s="15"/>
      <c r="AY79" s="15"/>
    </row>
    <row r="80" ht="15.75" customHeight="1">
      <c r="C80" s="15"/>
      <c r="F80" s="15"/>
      <c r="M80" s="15"/>
      <c r="Q80" s="15"/>
      <c r="Z80" s="15"/>
      <c r="AE80" s="15"/>
      <c r="AN80" s="15"/>
      <c r="AR80" s="15"/>
      <c r="AY80" s="15"/>
    </row>
    <row r="81" ht="15.75" customHeight="1">
      <c r="C81" s="15"/>
      <c r="F81" s="15"/>
      <c r="M81" s="15"/>
      <c r="Q81" s="15"/>
      <c r="Z81" s="15"/>
      <c r="AE81" s="15"/>
      <c r="AN81" s="15"/>
      <c r="AR81" s="15"/>
      <c r="AY81" s="15"/>
    </row>
    <row r="82" ht="15.75" customHeight="1">
      <c r="C82" s="15"/>
      <c r="F82" s="15"/>
      <c r="M82" s="15"/>
      <c r="Q82" s="15"/>
      <c r="R82" s="16" t="s">
        <v>288</v>
      </c>
      <c r="Z82" s="15"/>
      <c r="AE82" s="15"/>
      <c r="AN82" s="15"/>
      <c r="AR82" s="15"/>
      <c r="AY82" s="15"/>
    </row>
    <row r="83" ht="15.75" customHeight="1">
      <c r="C83" s="15"/>
      <c r="F83" s="15"/>
      <c r="M83" s="15"/>
      <c r="Q83" s="15"/>
      <c r="R83" s="88">
        <v>4.0</v>
      </c>
      <c r="S83" s="89" t="s">
        <v>146</v>
      </c>
      <c r="T83" s="121" t="s">
        <v>240</v>
      </c>
      <c r="U83" s="90" t="s">
        <v>241</v>
      </c>
      <c r="V83" s="90" t="s">
        <v>236</v>
      </c>
      <c r="W83" s="90" t="s">
        <v>237</v>
      </c>
      <c r="X83" s="90" t="s">
        <v>238</v>
      </c>
      <c r="Y83" s="90" t="s">
        <v>289</v>
      </c>
      <c r="Z83" s="15"/>
      <c r="AE83" s="15"/>
      <c r="AN83" s="15"/>
      <c r="AR83" s="15"/>
      <c r="AY83" s="15"/>
    </row>
    <row r="84" ht="15.75" customHeight="1">
      <c r="C84" s="15"/>
      <c r="F84" s="15"/>
      <c r="M84" s="15"/>
      <c r="Q84" s="15"/>
      <c r="R84" s="90" t="s">
        <v>154</v>
      </c>
      <c r="S84" s="94"/>
      <c r="T84" s="102" t="s">
        <v>290</v>
      </c>
      <c r="U84" s="95">
        <v>1.0</v>
      </c>
      <c r="V84" s="95">
        <v>9.5</v>
      </c>
      <c r="W84" s="95">
        <v>1.3</v>
      </c>
      <c r="X84" s="95">
        <v>1.49</v>
      </c>
      <c r="Y84" s="95">
        <v>2.85</v>
      </c>
      <c r="Z84" s="15"/>
      <c r="AE84" s="15"/>
      <c r="AN84" s="15"/>
      <c r="AR84" s="15"/>
      <c r="AY84" s="15"/>
    </row>
    <row r="85" ht="15.75" customHeight="1">
      <c r="C85" s="15"/>
      <c r="F85" s="15"/>
      <c r="M85" s="15"/>
      <c r="Q85" s="15"/>
      <c r="R85" s="90" t="s">
        <v>158</v>
      </c>
      <c r="S85" s="90" t="s">
        <v>99</v>
      </c>
      <c r="T85" s="116" t="s">
        <v>291</v>
      </c>
      <c r="U85" s="90" t="s">
        <v>99</v>
      </c>
      <c r="V85" s="90" t="s">
        <v>99</v>
      </c>
      <c r="W85" s="90" t="s">
        <v>190</v>
      </c>
      <c r="X85" s="90" t="s">
        <v>190</v>
      </c>
      <c r="Y85" s="90" t="s">
        <v>99</v>
      </c>
      <c r="Z85" s="15"/>
      <c r="AE85" s="15"/>
      <c r="AN85" s="15"/>
      <c r="AR85" s="15"/>
      <c r="AY85" s="15"/>
    </row>
    <row r="86" ht="15.75" customHeight="1">
      <c r="C86" s="15"/>
      <c r="F86" s="15"/>
      <c r="M86" s="15"/>
      <c r="Q86" s="15"/>
      <c r="R86" s="100" t="s">
        <v>162</v>
      </c>
      <c r="S86" s="90">
        <v>0.0</v>
      </c>
      <c r="T86" s="125">
        <f t="shared" ref="T86:T89" si="87">U86*0.5</f>
        <v>2</v>
      </c>
      <c r="U86" s="101">
        <f t="shared" ref="U86:Y86" si="86">($R$83*U$84)+$S86</f>
        <v>4</v>
      </c>
      <c r="V86" s="101">
        <f t="shared" si="86"/>
        <v>38</v>
      </c>
      <c r="W86" s="101">
        <f t="shared" si="86"/>
        <v>5.2</v>
      </c>
      <c r="X86" s="101">
        <f t="shared" si="86"/>
        <v>5.96</v>
      </c>
      <c r="Y86" s="101">
        <f t="shared" si="86"/>
        <v>11.4</v>
      </c>
      <c r="Z86" s="15"/>
      <c r="AE86" s="15"/>
      <c r="AN86" s="15"/>
      <c r="AR86" s="15"/>
      <c r="AY86" s="15"/>
    </row>
    <row r="87" ht="15.75" customHeight="1">
      <c r="C87" s="15"/>
      <c r="F87" s="15"/>
      <c r="M87" s="15"/>
      <c r="Q87" s="15"/>
      <c r="R87" s="105" t="s">
        <v>165</v>
      </c>
      <c r="S87" s="106">
        <f>$E$4</f>
        <v>28</v>
      </c>
      <c r="T87" s="124">
        <f t="shared" si="87"/>
        <v>16</v>
      </c>
      <c r="U87" s="106">
        <f t="shared" ref="U87:Y87" si="88">($R$83*U$84)+$S87</f>
        <v>32</v>
      </c>
      <c r="V87" s="106">
        <f t="shared" si="88"/>
        <v>66</v>
      </c>
      <c r="W87" s="106">
        <f t="shared" si="88"/>
        <v>33.2</v>
      </c>
      <c r="X87" s="106">
        <f t="shared" si="88"/>
        <v>33.96</v>
      </c>
      <c r="Y87" s="106">
        <f t="shared" si="88"/>
        <v>39.4</v>
      </c>
      <c r="Z87" s="15"/>
      <c r="AE87" s="15"/>
      <c r="AN87" s="15"/>
      <c r="AR87" s="15"/>
      <c r="AY87" s="15"/>
    </row>
    <row r="88" ht="15.75" customHeight="1">
      <c r="C88" s="15"/>
      <c r="F88" s="15"/>
      <c r="M88" s="15"/>
      <c r="Q88" s="15"/>
      <c r="R88" s="108" t="s">
        <v>167</v>
      </c>
      <c r="S88" s="103">
        <f>$E$16</f>
        <v>9</v>
      </c>
      <c r="T88" s="124">
        <f t="shared" si="87"/>
        <v>6.5</v>
      </c>
      <c r="U88" s="103">
        <f t="shared" ref="U88:Y88" si="89">($R$83*U$84)+$S88</f>
        <v>13</v>
      </c>
      <c r="V88" s="103">
        <f t="shared" si="89"/>
        <v>47</v>
      </c>
      <c r="W88" s="103">
        <f t="shared" si="89"/>
        <v>14.2</v>
      </c>
      <c r="X88" s="103">
        <f t="shared" si="89"/>
        <v>14.96</v>
      </c>
      <c r="Y88" s="103">
        <f t="shared" si="89"/>
        <v>20.4</v>
      </c>
      <c r="Z88" s="15"/>
      <c r="AE88" s="15"/>
      <c r="AN88" s="15"/>
      <c r="AR88" s="15"/>
      <c r="AY88" s="15"/>
    </row>
    <row r="89" ht="15.75" customHeight="1">
      <c r="C89" s="15"/>
      <c r="F89" s="15"/>
      <c r="M89" s="15"/>
      <c r="Q89" s="15"/>
      <c r="R89" s="111" t="s">
        <v>123</v>
      </c>
      <c r="S89" s="90">
        <v>0.0</v>
      </c>
      <c r="T89" s="125">
        <f t="shared" si="87"/>
        <v>2</v>
      </c>
      <c r="U89" s="101">
        <f t="shared" ref="U89:Y89" si="90">($R$83*U$84)+$S89</f>
        <v>4</v>
      </c>
      <c r="V89" s="101">
        <f t="shared" si="90"/>
        <v>38</v>
      </c>
      <c r="W89" s="101">
        <f t="shared" si="90"/>
        <v>5.2</v>
      </c>
      <c r="X89" s="101">
        <f t="shared" si="90"/>
        <v>5.96</v>
      </c>
      <c r="Y89" s="101">
        <f t="shared" si="90"/>
        <v>11.4</v>
      </c>
      <c r="Z89" s="15"/>
      <c r="AE89" s="15"/>
      <c r="AN89" s="15"/>
      <c r="AR89" s="15"/>
      <c r="AY89" s="15"/>
    </row>
    <row r="90" ht="15.75" customHeight="1">
      <c r="C90" s="15"/>
      <c r="F90" s="15"/>
      <c r="M90" s="15"/>
      <c r="Q90" s="15"/>
      <c r="Z90" s="15"/>
      <c r="AE90" s="15"/>
      <c r="AN90" s="15"/>
      <c r="AR90" s="15"/>
      <c r="AY90" s="15"/>
    </row>
    <row r="91" ht="15.75" customHeight="1">
      <c r="C91" s="15"/>
      <c r="F91" s="15"/>
      <c r="M91" s="15"/>
      <c r="Q91" s="15"/>
      <c r="Z91" s="15"/>
      <c r="AE91" s="15"/>
      <c r="AN91" s="15"/>
      <c r="AR91" s="15"/>
      <c r="AY91" s="15"/>
    </row>
    <row r="92" ht="15.75" customHeight="1">
      <c r="C92" s="15"/>
      <c r="F92" s="15"/>
      <c r="M92" s="15"/>
      <c r="Q92" s="15"/>
      <c r="R92" s="16" t="s">
        <v>292</v>
      </c>
      <c r="Z92" s="15"/>
      <c r="AE92" s="15"/>
      <c r="AN92" s="15"/>
      <c r="AR92" s="15"/>
      <c r="AY92" s="15"/>
    </row>
    <row r="93" ht="15.75" customHeight="1">
      <c r="C93" s="15"/>
      <c r="F93" s="15"/>
      <c r="M93" s="15"/>
      <c r="Q93" s="15"/>
      <c r="R93" s="88">
        <v>10.0</v>
      </c>
      <c r="S93" s="89" t="s">
        <v>146</v>
      </c>
      <c r="T93" s="121" t="s">
        <v>240</v>
      </c>
      <c r="U93" s="90" t="s">
        <v>241</v>
      </c>
      <c r="V93" s="90" t="s">
        <v>236</v>
      </c>
      <c r="W93" s="90" t="s">
        <v>237</v>
      </c>
      <c r="X93" s="90" t="s">
        <v>238</v>
      </c>
      <c r="Y93" s="90" t="s">
        <v>289</v>
      </c>
      <c r="Z93" s="15"/>
      <c r="AE93" s="15"/>
      <c r="AN93" s="15"/>
      <c r="AR93" s="15"/>
      <c r="AY93" s="15"/>
    </row>
    <row r="94" ht="15.75" customHeight="1">
      <c r="C94" s="15"/>
      <c r="F94" s="15"/>
      <c r="M94" s="15"/>
      <c r="Q94" s="15"/>
      <c r="R94" s="90" t="s">
        <v>154</v>
      </c>
      <c r="S94" s="94"/>
      <c r="T94" s="102" t="s">
        <v>293</v>
      </c>
      <c r="U94" s="95">
        <v>1.0</v>
      </c>
      <c r="V94" s="95">
        <v>9.5</v>
      </c>
      <c r="W94" s="95">
        <v>1.3</v>
      </c>
      <c r="X94" s="95">
        <v>1.45</v>
      </c>
      <c r="Y94" s="95">
        <v>2.85</v>
      </c>
      <c r="Z94" s="15"/>
      <c r="AE94" s="15"/>
      <c r="AN94" s="15"/>
      <c r="AR94" s="15"/>
      <c r="AY94" s="15"/>
    </row>
    <row r="95" ht="15.75" customHeight="1">
      <c r="C95" s="15"/>
      <c r="F95" s="15"/>
      <c r="M95" s="15"/>
      <c r="Q95" s="15"/>
      <c r="R95" s="90" t="s">
        <v>158</v>
      </c>
      <c r="S95" s="90" t="s">
        <v>99</v>
      </c>
      <c r="T95" s="116" t="s">
        <v>294</v>
      </c>
      <c r="U95" s="90" t="s">
        <v>99</v>
      </c>
      <c r="V95" s="90" t="s">
        <v>99</v>
      </c>
      <c r="W95" s="90" t="s">
        <v>190</v>
      </c>
      <c r="X95" s="90" t="s">
        <v>190</v>
      </c>
      <c r="Y95" s="90" t="s">
        <v>99</v>
      </c>
      <c r="Z95" s="15"/>
      <c r="AE95" s="15"/>
      <c r="AN95" s="15"/>
      <c r="AR95" s="15"/>
      <c r="AY95" s="15"/>
    </row>
    <row r="96" ht="15.75" customHeight="1">
      <c r="C96" s="15"/>
      <c r="F96" s="15"/>
      <c r="M96" s="15"/>
      <c r="Q96" s="15"/>
      <c r="R96" s="100" t="s">
        <v>162</v>
      </c>
      <c r="S96" s="103">
        <f>$E$14</f>
        <v>17</v>
      </c>
      <c r="T96" s="124">
        <f t="shared" ref="T96:T99" si="92">U96*0.2</f>
        <v>5.4</v>
      </c>
      <c r="U96" s="103">
        <f t="shared" ref="U96:Y96" si="91">($R$93*U$94)+$S96</f>
        <v>27</v>
      </c>
      <c r="V96" s="103">
        <f t="shared" si="91"/>
        <v>112</v>
      </c>
      <c r="W96" s="103">
        <f t="shared" si="91"/>
        <v>30</v>
      </c>
      <c r="X96" s="103">
        <f t="shared" si="91"/>
        <v>31.5</v>
      </c>
      <c r="Y96" s="103">
        <f t="shared" si="91"/>
        <v>45.5</v>
      </c>
      <c r="Z96" s="15"/>
      <c r="AE96" s="15"/>
      <c r="AN96" s="15"/>
      <c r="AR96" s="15"/>
      <c r="AY96" s="15"/>
    </row>
    <row r="97" ht="15.75" customHeight="1">
      <c r="C97" s="15"/>
      <c r="F97" s="15"/>
      <c r="M97" s="15"/>
      <c r="Q97" s="15"/>
      <c r="R97" s="105" t="s">
        <v>165</v>
      </c>
      <c r="S97" s="103">
        <f>$E$15</f>
        <v>25</v>
      </c>
      <c r="T97" s="124">
        <f t="shared" si="92"/>
        <v>7</v>
      </c>
      <c r="U97" s="103">
        <f t="shared" ref="U97:Y97" si="93">($R$93*U$94)+$S97</f>
        <v>35</v>
      </c>
      <c r="V97" s="103">
        <f t="shared" si="93"/>
        <v>120</v>
      </c>
      <c r="W97" s="103">
        <f t="shared" si="93"/>
        <v>38</v>
      </c>
      <c r="X97" s="103">
        <f t="shared" si="93"/>
        <v>39.5</v>
      </c>
      <c r="Y97" s="103">
        <f t="shared" si="93"/>
        <v>53.5</v>
      </c>
      <c r="Z97" s="15"/>
      <c r="AE97" s="15"/>
      <c r="AN97" s="15"/>
      <c r="AR97" s="15"/>
      <c r="AY97" s="15"/>
    </row>
    <row r="98" ht="15.75" customHeight="1">
      <c r="C98" s="15"/>
      <c r="F98" s="15"/>
      <c r="M98" s="15"/>
      <c r="Q98" s="15"/>
      <c r="R98" s="108" t="s">
        <v>167</v>
      </c>
      <c r="S98" s="103">
        <f>$E$16</f>
        <v>9</v>
      </c>
      <c r="T98" s="124">
        <f t="shared" si="92"/>
        <v>3.8</v>
      </c>
      <c r="U98" s="103">
        <f t="shared" ref="U98:Y98" si="94">($R$93*U$94)+$S98</f>
        <v>19</v>
      </c>
      <c r="V98" s="103">
        <f t="shared" si="94"/>
        <v>104</v>
      </c>
      <c r="W98" s="103">
        <f t="shared" si="94"/>
        <v>22</v>
      </c>
      <c r="X98" s="103">
        <f t="shared" si="94"/>
        <v>23.5</v>
      </c>
      <c r="Y98" s="103">
        <f t="shared" si="94"/>
        <v>37.5</v>
      </c>
      <c r="Z98" s="15"/>
      <c r="AE98" s="15"/>
      <c r="AN98" s="15"/>
      <c r="AR98" s="15"/>
      <c r="AY98" s="15"/>
    </row>
    <row r="99" ht="15.75" customHeight="1">
      <c r="C99" s="15"/>
      <c r="F99" s="15"/>
      <c r="M99" s="15"/>
      <c r="Q99" s="15"/>
      <c r="R99" s="111" t="s">
        <v>123</v>
      </c>
      <c r="S99" s="90">
        <v>0.0</v>
      </c>
      <c r="T99" s="125">
        <f t="shared" si="92"/>
        <v>2</v>
      </c>
      <c r="U99" s="101">
        <f t="shared" ref="U99:Y99" si="95">($R$93*U$94)+$S99</f>
        <v>10</v>
      </c>
      <c r="V99" s="101">
        <f t="shared" si="95"/>
        <v>95</v>
      </c>
      <c r="W99" s="101">
        <f t="shared" si="95"/>
        <v>13</v>
      </c>
      <c r="X99" s="101">
        <f t="shared" si="95"/>
        <v>14.5</v>
      </c>
      <c r="Y99" s="101">
        <f t="shared" si="95"/>
        <v>28.5</v>
      </c>
      <c r="Z99" s="15"/>
      <c r="AE99" s="15"/>
      <c r="AN99" s="15"/>
      <c r="AR99" s="15"/>
      <c r="AY99" s="15"/>
    </row>
    <row r="100" ht="15.75" customHeight="1">
      <c r="C100" s="15"/>
      <c r="F100" s="15"/>
      <c r="M100" s="15"/>
      <c r="Q100" s="15"/>
      <c r="Z100" s="15"/>
      <c r="AE100" s="15"/>
      <c r="AN100" s="15"/>
      <c r="AR100" s="15"/>
      <c r="AY100" s="15"/>
    </row>
    <row r="101" ht="15.75" customHeight="1">
      <c r="C101" s="15"/>
      <c r="F101" s="15"/>
      <c r="M101" s="15"/>
      <c r="Q101" s="15"/>
      <c r="Z101" s="15"/>
      <c r="AE101" s="15"/>
      <c r="AN101" s="15"/>
      <c r="AR101" s="15"/>
      <c r="AY101" s="15"/>
    </row>
    <row r="102" ht="15.75" customHeight="1">
      <c r="C102" s="15"/>
      <c r="F102" s="15"/>
      <c r="M102" s="15"/>
      <c r="Q102" s="15"/>
      <c r="R102" s="16" t="s">
        <v>295</v>
      </c>
      <c r="Z102" s="15"/>
      <c r="AE102" s="15"/>
      <c r="AN102" s="15"/>
      <c r="AR102" s="15"/>
      <c r="AY102" s="15"/>
    </row>
    <row r="103" ht="15.75" customHeight="1">
      <c r="C103" s="15"/>
      <c r="F103" s="15"/>
      <c r="M103" s="15"/>
      <c r="Q103" s="15"/>
      <c r="R103" s="88">
        <v>9.0</v>
      </c>
      <c r="S103" s="89" t="s">
        <v>146</v>
      </c>
      <c r="T103" s="121" t="s">
        <v>240</v>
      </c>
      <c r="U103" s="90" t="s">
        <v>241</v>
      </c>
      <c r="V103" s="90" t="s">
        <v>236</v>
      </c>
      <c r="W103" s="90" t="s">
        <v>237</v>
      </c>
      <c r="X103" s="90" t="s">
        <v>238</v>
      </c>
      <c r="Y103" s="90"/>
      <c r="Z103" s="15"/>
      <c r="AE103" s="15"/>
      <c r="AN103" s="15"/>
      <c r="AR103" s="15"/>
      <c r="AY103" s="15"/>
    </row>
    <row r="104" ht="15.75" customHeight="1">
      <c r="C104" s="15"/>
      <c r="F104" s="15"/>
      <c r="M104" s="15"/>
      <c r="Q104" s="15"/>
      <c r="R104" s="90" t="s">
        <v>154</v>
      </c>
      <c r="S104" s="94"/>
      <c r="T104" s="102" t="s">
        <v>293</v>
      </c>
      <c r="U104" s="95">
        <v>1.0</v>
      </c>
      <c r="V104" s="95">
        <v>7.1</v>
      </c>
      <c r="W104" s="95">
        <v>1.21</v>
      </c>
      <c r="X104" s="95">
        <v>1.5</v>
      </c>
      <c r="Y104" s="95"/>
      <c r="Z104" s="15"/>
      <c r="AE104" s="15"/>
      <c r="AN104" s="15"/>
      <c r="AR104" s="15"/>
      <c r="AY104" s="15"/>
    </row>
    <row r="105" ht="15.75" customHeight="1">
      <c r="C105" s="15"/>
      <c r="F105" s="15"/>
      <c r="M105" s="15"/>
      <c r="Q105" s="15"/>
      <c r="R105" s="90" t="s">
        <v>158</v>
      </c>
      <c r="S105" s="90" t="s">
        <v>99</v>
      </c>
      <c r="T105" s="116" t="s">
        <v>296</v>
      </c>
      <c r="U105" s="90" t="s">
        <v>99</v>
      </c>
      <c r="V105" s="90" t="s">
        <v>99</v>
      </c>
      <c r="W105" s="90" t="s">
        <v>190</v>
      </c>
      <c r="X105" s="90" t="s">
        <v>190</v>
      </c>
      <c r="Y105" s="90"/>
      <c r="Z105" s="15"/>
      <c r="AE105" s="15"/>
      <c r="AN105" s="15"/>
      <c r="AR105" s="15"/>
      <c r="AY105" s="15"/>
    </row>
    <row r="106" ht="15.75" customHeight="1">
      <c r="C106" s="15"/>
      <c r="F106" s="15"/>
      <c r="M106" s="15"/>
      <c r="Q106" s="15"/>
      <c r="R106" s="100" t="s">
        <v>162</v>
      </c>
      <c r="S106" s="90">
        <v>0.0</v>
      </c>
      <c r="T106" s="125">
        <f t="shared" ref="T106:T109" si="97">U106*0.15</f>
        <v>1.35</v>
      </c>
      <c r="U106" s="101">
        <f t="shared" ref="U106:X106" si="96">($R$103*U$104)+$S106</f>
        <v>9</v>
      </c>
      <c r="V106" s="101">
        <f t="shared" si="96"/>
        <v>63.9</v>
      </c>
      <c r="W106" s="101">
        <f t="shared" si="96"/>
        <v>10.89</v>
      </c>
      <c r="X106" s="101">
        <f t="shared" si="96"/>
        <v>13.5</v>
      </c>
      <c r="Y106" s="90"/>
      <c r="Z106" s="15"/>
      <c r="AE106" s="15"/>
      <c r="AN106" s="15"/>
      <c r="AR106" s="15"/>
      <c r="AY106" s="15"/>
    </row>
    <row r="107" ht="15.75" customHeight="1">
      <c r="C107" s="15"/>
      <c r="F107" s="15"/>
      <c r="M107" s="15"/>
      <c r="Q107" s="15"/>
      <c r="R107" s="105" t="s">
        <v>165</v>
      </c>
      <c r="S107" s="106">
        <f>$E$4</f>
        <v>28</v>
      </c>
      <c r="T107" s="124">
        <f t="shared" si="97"/>
        <v>5.55</v>
      </c>
      <c r="U107" s="106">
        <f t="shared" ref="U107:U109" si="99">($R$103*U$104)+$S107</f>
        <v>37</v>
      </c>
      <c r="V107" s="106">
        <f>($R$103*V$24)+$S107</f>
        <v>111.25</v>
      </c>
      <c r="W107" s="106">
        <f t="shared" ref="W107:X107" si="98">($R$103*W$104)+$S107</f>
        <v>38.89</v>
      </c>
      <c r="X107" s="106">
        <f t="shared" si="98"/>
        <v>41.5</v>
      </c>
      <c r="Y107" s="90"/>
      <c r="Z107" s="15"/>
      <c r="AE107" s="15"/>
      <c r="AN107" s="15"/>
      <c r="AR107" s="15"/>
      <c r="AY107" s="15"/>
    </row>
    <row r="108" ht="15.75" customHeight="1">
      <c r="C108" s="15"/>
      <c r="F108" s="15"/>
      <c r="M108" s="15"/>
      <c r="Q108" s="15"/>
      <c r="R108" s="108" t="s">
        <v>167</v>
      </c>
      <c r="S108" s="103">
        <f>$E$16</f>
        <v>9</v>
      </c>
      <c r="T108" s="124">
        <f t="shared" si="97"/>
        <v>2.7</v>
      </c>
      <c r="U108" s="103">
        <f t="shared" si="99"/>
        <v>18</v>
      </c>
      <c r="V108" s="103">
        <f t="shared" ref="V108:X108" si="100">($R$103*V$104)+$S108</f>
        <v>72.9</v>
      </c>
      <c r="W108" s="103">
        <f t="shared" si="100"/>
        <v>19.89</v>
      </c>
      <c r="X108" s="103">
        <f t="shared" si="100"/>
        <v>22.5</v>
      </c>
      <c r="Y108" s="90"/>
      <c r="Z108" s="15"/>
      <c r="AE108" s="15"/>
      <c r="AN108" s="15"/>
      <c r="AR108" s="15"/>
      <c r="AY108" s="15"/>
    </row>
    <row r="109" ht="15.75" customHeight="1">
      <c r="C109" s="15"/>
      <c r="F109" s="15"/>
      <c r="M109" s="15"/>
      <c r="Q109" s="15"/>
      <c r="R109" s="111" t="s">
        <v>123</v>
      </c>
      <c r="S109" s="90">
        <v>0.0</v>
      </c>
      <c r="T109" s="125">
        <f t="shared" si="97"/>
        <v>1.35</v>
      </c>
      <c r="U109" s="101">
        <f t="shared" si="99"/>
        <v>9</v>
      </c>
      <c r="V109" s="101">
        <f t="shared" ref="V109:X109" si="101">($R$103*V$104)+$S109</f>
        <v>63.9</v>
      </c>
      <c r="W109" s="101">
        <f t="shared" si="101"/>
        <v>10.89</v>
      </c>
      <c r="X109" s="101">
        <f t="shared" si="101"/>
        <v>13.5</v>
      </c>
      <c r="Y109" s="90"/>
      <c r="Z109" s="15"/>
      <c r="AE109" s="15"/>
      <c r="AN109" s="15"/>
      <c r="AR109" s="15"/>
      <c r="AY109" s="15"/>
    </row>
    <row r="110" ht="15.75" customHeight="1">
      <c r="C110" s="15"/>
      <c r="F110" s="15"/>
      <c r="M110" s="15"/>
      <c r="Q110" s="15"/>
      <c r="Z110" s="15"/>
      <c r="AE110" s="15"/>
      <c r="AN110" s="15"/>
      <c r="AR110" s="15"/>
      <c r="AY110" s="15"/>
    </row>
    <row r="111" ht="15.75" customHeight="1">
      <c r="C111" s="15"/>
      <c r="F111" s="15"/>
      <c r="M111" s="15"/>
      <c r="Q111" s="15"/>
      <c r="Z111" s="15"/>
      <c r="AE111" s="15"/>
      <c r="AN111" s="15"/>
      <c r="AR111" s="15"/>
      <c r="AY111" s="15"/>
    </row>
    <row r="112" ht="15.75" customHeight="1">
      <c r="C112" s="15"/>
      <c r="F112" s="15"/>
      <c r="M112" s="15"/>
      <c r="Q112" s="15"/>
      <c r="Z112" s="15"/>
      <c r="AE112" s="15"/>
      <c r="AN112" s="15"/>
      <c r="AR112" s="15"/>
      <c r="AY112" s="15"/>
    </row>
    <row r="113" ht="15.75" customHeight="1">
      <c r="C113" s="15"/>
      <c r="F113" s="15"/>
      <c r="M113" s="15"/>
      <c r="Q113" s="15"/>
      <c r="Z113" s="15"/>
      <c r="AE113" s="15"/>
      <c r="AN113" s="15"/>
      <c r="AR113" s="15"/>
      <c r="AY113" s="15"/>
    </row>
    <row r="114" ht="15.75" customHeight="1">
      <c r="C114" s="15"/>
      <c r="F114" s="15"/>
      <c r="M114" s="15"/>
      <c r="Q114" s="15"/>
      <c r="Z114" s="15"/>
      <c r="AE114" s="15"/>
      <c r="AN114" s="15"/>
      <c r="AR114" s="15"/>
      <c r="AY114" s="15"/>
    </row>
    <row r="115" ht="15.75" customHeight="1">
      <c r="C115" s="15"/>
      <c r="F115" s="15"/>
      <c r="M115" s="15"/>
      <c r="Q115" s="15"/>
      <c r="Z115" s="15"/>
      <c r="AE115" s="15"/>
      <c r="AN115" s="15"/>
      <c r="AR115" s="15"/>
      <c r="AY115" s="15"/>
    </row>
    <row r="116" ht="15.75" customHeight="1">
      <c r="C116" s="15"/>
      <c r="F116" s="15"/>
      <c r="M116" s="15"/>
      <c r="Q116" s="15"/>
      <c r="Z116" s="15"/>
      <c r="AE116" s="15"/>
      <c r="AN116" s="15"/>
      <c r="AR116" s="15"/>
      <c r="AY116" s="15"/>
    </row>
    <row r="117" ht="15.75" customHeight="1">
      <c r="C117" s="15"/>
      <c r="F117" s="15"/>
      <c r="M117" s="15"/>
      <c r="Q117" s="15"/>
      <c r="Z117" s="15"/>
      <c r="AE117" s="15"/>
      <c r="AN117" s="15"/>
      <c r="AR117" s="15"/>
      <c r="AY117" s="15"/>
    </row>
    <row r="118" ht="15.75" customHeight="1">
      <c r="C118" s="15"/>
      <c r="F118" s="15"/>
      <c r="M118" s="15"/>
      <c r="Q118" s="15"/>
      <c r="Z118" s="15"/>
      <c r="AE118" s="15"/>
      <c r="AN118" s="15"/>
      <c r="AR118" s="15"/>
      <c r="AY118" s="15"/>
    </row>
    <row r="119" ht="15.75" customHeight="1">
      <c r="C119" s="15"/>
      <c r="F119" s="15"/>
      <c r="M119" s="15"/>
      <c r="Q119" s="15"/>
      <c r="Z119" s="15"/>
      <c r="AE119" s="15"/>
      <c r="AN119" s="15"/>
      <c r="AR119" s="15"/>
      <c r="AY119" s="15"/>
    </row>
    <row r="120" ht="15.75" customHeight="1">
      <c r="C120" s="15"/>
      <c r="F120" s="15"/>
      <c r="M120" s="15"/>
      <c r="Q120" s="15"/>
      <c r="Z120" s="15"/>
      <c r="AE120" s="15"/>
      <c r="AN120" s="15"/>
      <c r="AR120" s="15"/>
      <c r="AY120" s="15"/>
    </row>
    <row r="121" ht="15.75" customHeight="1">
      <c r="C121" s="15"/>
      <c r="F121" s="15"/>
      <c r="M121" s="15"/>
      <c r="Q121" s="15"/>
      <c r="Z121" s="15"/>
      <c r="AE121" s="15"/>
      <c r="AN121" s="15"/>
      <c r="AR121" s="15"/>
      <c r="AY121" s="15"/>
    </row>
    <row r="122" ht="15.75" customHeight="1">
      <c r="C122" s="15"/>
      <c r="F122" s="15"/>
      <c r="M122" s="15"/>
      <c r="Q122" s="15"/>
      <c r="Z122" s="15"/>
      <c r="AE122" s="15"/>
      <c r="AN122" s="15"/>
      <c r="AR122" s="15"/>
      <c r="AY122" s="15"/>
    </row>
    <row r="123" ht="15.75" customHeight="1">
      <c r="C123" s="15"/>
      <c r="F123" s="15"/>
      <c r="M123" s="15"/>
      <c r="Q123" s="15"/>
      <c r="Z123" s="15"/>
      <c r="AE123" s="15"/>
      <c r="AN123" s="15"/>
      <c r="AR123" s="15"/>
      <c r="AY123" s="15"/>
    </row>
    <row r="124" ht="15.75" customHeight="1">
      <c r="C124" s="15"/>
      <c r="F124" s="15"/>
      <c r="M124" s="15"/>
      <c r="Q124" s="15"/>
      <c r="Z124" s="15"/>
      <c r="AE124" s="15"/>
      <c r="AN124" s="15"/>
      <c r="AR124" s="15"/>
      <c r="AY124" s="15"/>
    </row>
    <row r="125" ht="15.75" customHeight="1">
      <c r="C125" s="15"/>
      <c r="F125" s="15"/>
      <c r="M125" s="15"/>
      <c r="Q125" s="15"/>
      <c r="Z125" s="15"/>
      <c r="AE125" s="15"/>
      <c r="AN125" s="15"/>
      <c r="AR125" s="15"/>
      <c r="AY125" s="15"/>
    </row>
    <row r="126" ht="15.75" customHeight="1">
      <c r="C126" s="15"/>
      <c r="F126" s="15"/>
      <c r="M126" s="15"/>
      <c r="Q126" s="15"/>
      <c r="Z126" s="15"/>
      <c r="AE126" s="15"/>
      <c r="AN126" s="15"/>
      <c r="AR126" s="15"/>
      <c r="AY126" s="15"/>
    </row>
    <row r="127" ht="15.75" customHeight="1">
      <c r="C127" s="15"/>
      <c r="F127" s="15"/>
      <c r="M127" s="15"/>
      <c r="Q127" s="15"/>
      <c r="Z127" s="15"/>
      <c r="AE127" s="15"/>
      <c r="AN127" s="15"/>
      <c r="AR127" s="15"/>
      <c r="AY127" s="15"/>
    </row>
    <row r="128" ht="15.75" customHeight="1">
      <c r="C128" s="15"/>
      <c r="F128" s="15"/>
      <c r="M128" s="15"/>
      <c r="Q128" s="15"/>
      <c r="Z128" s="15"/>
      <c r="AE128" s="15"/>
      <c r="AN128" s="15"/>
      <c r="AR128" s="15"/>
      <c r="AY128" s="15"/>
    </row>
    <row r="129" ht="15.75" customHeight="1">
      <c r="C129" s="15"/>
      <c r="F129" s="15"/>
      <c r="M129" s="15"/>
      <c r="Q129" s="15"/>
      <c r="Z129" s="15"/>
      <c r="AE129" s="15"/>
      <c r="AN129" s="15"/>
      <c r="AR129" s="15"/>
      <c r="AY129" s="15"/>
    </row>
    <row r="130" ht="15.75" customHeight="1">
      <c r="C130" s="15"/>
      <c r="F130" s="15"/>
      <c r="M130" s="15"/>
      <c r="Q130" s="15"/>
      <c r="Z130" s="15"/>
      <c r="AE130" s="15"/>
      <c r="AN130" s="15"/>
      <c r="AR130" s="15"/>
      <c r="AY130" s="15"/>
    </row>
    <row r="131" ht="15.75" customHeight="1">
      <c r="C131" s="15"/>
      <c r="F131" s="15"/>
      <c r="M131" s="15"/>
      <c r="Q131" s="15"/>
      <c r="Z131" s="15"/>
      <c r="AE131" s="15"/>
      <c r="AN131" s="15"/>
      <c r="AR131" s="15"/>
      <c r="AY131" s="15"/>
    </row>
    <row r="132" ht="15.75" customHeight="1">
      <c r="C132" s="15"/>
      <c r="F132" s="15"/>
      <c r="M132" s="15"/>
      <c r="Q132" s="15"/>
      <c r="Z132" s="15"/>
      <c r="AE132" s="15"/>
      <c r="AN132" s="15"/>
      <c r="AR132" s="15"/>
      <c r="AY132" s="15"/>
    </row>
    <row r="133" ht="15.75" customHeight="1">
      <c r="C133" s="15"/>
      <c r="F133" s="15"/>
      <c r="M133" s="15"/>
      <c r="Q133" s="15"/>
      <c r="Z133" s="15"/>
      <c r="AE133" s="15"/>
      <c r="AN133" s="15"/>
      <c r="AR133" s="15"/>
      <c r="AY133" s="15"/>
    </row>
    <row r="134" ht="15.75" customHeight="1">
      <c r="C134" s="15"/>
      <c r="F134" s="15"/>
      <c r="M134" s="15"/>
      <c r="Q134" s="15"/>
      <c r="Z134" s="15"/>
      <c r="AE134" s="15"/>
      <c r="AN134" s="15"/>
      <c r="AR134" s="15"/>
      <c r="AY134" s="15"/>
    </row>
    <row r="135" ht="15.75" customHeight="1">
      <c r="C135" s="15"/>
      <c r="F135" s="15"/>
      <c r="M135" s="15"/>
      <c r="Q135" s="15"/>
      <c r="Z135" s="15"/>
      <c r="AE135" s="15"/>
      <c r="AN135" s="15"/>
      <c r="AR135" s="15"/>
      <c r="AY135" s="15"/>
    </row>
    <row r="136" ht="15.75" customHeight="1">
      <c r="C136" s="15"/>
      <c r="F136" s="15"/>
      <c r="M136" s="15"/>
      <c r="Q136" s="15"/>
      <c r="Z136" s="15"/>
      <c r="AE136" s="15"/>
      <c r="AN136" s="15"/>
      <c r="AR136" s="15"/>
      <c r="AY136" s="15"/>
    </row>
    <row r="137" ht="15.75" customHeight="1">
      <c r="C137" s="15"/>
      <c r="F137" s="15"/>
      <c r="M137" s="15"/>
      <c r="Q137" s="15"/>
      <c r="Z137" s="15"/>
      <c r="AE137" s="15"/>
      <c r="AN137" s="15"/>
      <c r="AR137" s="15"/>
      <c r="AY137" s="15"/>
    </row>
    <row r="138" ht="15.75" customHeight="1">
      <c r="C138" s="15"/>
      <c r="F138" s="15"/>
      <c r="M138" s="15"/>
      <c r="Q138" s="15"/>
      <c r="Z138" s="15"/>
      <c r="AE138" s="15"/>
      <c r="AN138" s="15"/>
      <c r="AR138" s="15"/>
      <c r="AY138" s="15"/>
    </row>
    <row r="139" ht="15.75" customHeight="1">
      <c r="C139" s="15"/>
      <c r="F139" s="15"/>
      <c r="M139" s="15"/>
      <c r="Q139" s="15"/>
      <c r="Z139" s="15"/>
      <c r="AE139" s="15"/>
      <c r="AN139" s="15"/>
      <c r="AR139" s="15"/>
      <c r="AY139" s="15"/>
    </row>
    <row r="140" ht="15.75" customHeight="1">
      <c r="C140" s="15"/>
      <c r="F140" s="15"/>
      <c r="M140" s="15"/>
      <c r="Q140" s="15"/>
      <c r="Z140" s="15"/>
      <c r="AE140" s="15"/>
      <c r="AN140" s="15"/>
      <c r="AR140" s="15"/>
      <c r="AY140" s="15"/>
    </row>
    <row r="141" ht="15.75" customHeight="1">
      <c r="C141" s="15"/>
      <c r="F141" s="15"/>
      <c r="M141" s="15"/>
      <c r="Q141" s="15"/>
      <c r="Z141" s="15"/>
      <c r="AE141" s="15"/>
      <c r="AN141" s="15"/>
      <c r="AR141" s="15"/>
      <c r="AY141" s="15"/>
    </row>
    <row r="142" ht="15.75" customHeight="1">
      <c r="C142" s="15"/>
      <c r="F142" s="15"/>
      <c r="M142" s="15"/>
      <c r="Q142" s="15"/>
      <c r="Z142" s="15"/>
      <c r="AE142" s="15"/>
      <c r="AN142" s="15"/>
      <c r="AR142" s="15"/>
      <c r="AY142" s="15"/>
    </row>
    <row r="143" ht="15.75" customHeight="1">
      <c r="C143" s="15"/>
      <c r="F143" s="15"/>
      <c r="M143" s="15"/>
      <c r="Q143" s="15"/>
      <c r="Z143" s="15"/>
      <c r="AE143" s="15"/>
      <c r="AN143" s="15"/>
      <c r="AR143" s="15"/>
      <c r="AY143" s="15"/>
    </row>
    <row r="144" ht="15.75" customHeight="1">
      <c r="C144" s="15"/>
      <c r="F144" s="15"/>
      <c r="M144" s="15"/>
      <c r="Q144" s="15"/>
      <c r="Z144" s="15"/>
      <c r="AE144" s="15"/>
      <c r="AN144" s="15"/>
      <c r="AR144" s="15"/>
      <c r="AY144" s="15"/>
    </row>
    <row r="145" ht="15.75" customHeight="1">
      <c r="C145" s="15"/>
      <c r="F145" s="15"/>
      <c r="M145" s="15"/>
      <c r="Q145" s="15"/>
      <c r="Z145" s="15"/>
      <c r="AE145" s="15"/>
      <c r="AN145" s="15"/>
      <c r="AR145" s="15"/>
      <c r="AY145" s="15"/>
    </row>
    <row r="146" ht="15.75" customHeight="1">
      <c r="C146" s="15"/>
      <c r="F146" s="15"/>
      <c r="M146" s="15"/>
      <c r="Q146" s="15"/>
      <c r="Z146" s="15"/>
      <c r="AE146" s="15"/>
      <c r="AN146" s="15"/>
      <c r="AR146" s="15"/>
      <c r="AY146" s="15"/>
    </row>
    <row r="147" ht="15.75" customHeight="1">
      <c r="C147" s="15"/>
      <c r="F147" s="15"/>
      <c r="M147" s="15"/>
      <c r="Q147" s="15"/>
      <c r="Z147" s="15"/>
      <c r="AE147" s="15"/>
      <c r="AN147" s="15"/>
      <c r="AR147" s="15"/>
      <c r="AY147" s="15"/>
    </row>
    <row r="148" ht="15.75" customHeight="1">
      <c r="C148" s="15"/>
      <c r="F148" s="15"/>
      <c r="M148" s="15"/>
      <c r="Q148" s="15"/>
      <c r="Z148" s="15"/>
      <c r="AE148" s="15"/>
      <c r="AN148" s="15"/>
      <c r="AR148" s="15"/>
      <c r="AY148" s="15"/>
    </row>
    <row r="149" ht="15.75" customHeight="1">
      <c r="C149" s="15"/>
      <c r="F149" s="15"/>
      <c r="M149" s="15"/>
      <c r="Q149" s="15"/>
      <c r="Z149" s="15"/>
      <c r="AE149" s="15"/>
      <c r="AN149" s="15"/>
      <c r="AR149" s="15"/>
      <c r="AY149" s="15"/>
    </row>
    <row r="150" ht="15.75" customHeight="1">
      <c r="C150" s="15"/>
      <c r="F150" s="15"/>
      <c r="M150" s="15"/>
      <c r="Q150" s="15"/>
      <c r="Z150" s="15"/>
      <c r="AE150" s="15"/>
      <c r="AN150" s="15"/>
      <c r="AR150" s="15"/>
      <c r="AY150" s="15"/>
    </row>
    <row r="151" ht="15.75" customHeight="1">
      <c r="C151" s="15"/>
      <c r="F151" s="15"/>
      <c r="M151" s="15"/>
      <c r="Q151" s="15"/>
      <c r="Z151" s="15"/>
      <c r="AE151" s="15"/>
      <c r="AN151" s="15"/>
      <c r="AR151" s="15"/>
      <c r="AY151" s="15"/>
    </row>
    <row r="152" ht="15.75" customHeight="1">
      <c r="C152" s="15"/>
      <c r="F152" s="15"/>
      <c r="M152" s="15"/>
      <c r="Q152" s="15"/>
      <c r="Z152" s="15"/>
      <c r="AE152" s="15"/>
      <c r="AN152" s="15"/>
      <c r="AR152" s="15"/>
      <c r="AY152" s="15"/>
    </row>
    <row r="153" ht="15.75" customHeight="1">
      <c r="C153" s="15"/>
      <c r="F153" s="15"/>
      <c r="M153" s="15"/>
      <c r="Q153" s="15"/>
      <c r="Z153" s="15"/>
      <c r="AE153" s="15"/>
      <c r="AN153" s="15"/>
      <c r="AR153" s="15"/>
      <c r="AY153" s="15"/>
    </row>
    <row r="154" ht="15.75" customHeight="1">
      <c r="C154" s="15"/>
      <c r="F154" s="15"/>
      <c r="M154" s="15"/>
      <c r="Q154" s="15"/>
      <c r="Z154" s="15"/>
      <c r="AE154" s="15"/>
      <c r="AN154" s="15"/>
      <c r="AR154" s="15"/>
      <c r="AY154" s="15"/>
    </row>
    <row r="155" ht="15.75" customHeight="1">
      <c r="C155" s="15"/>
      <c r="F155" s="15"/>
      <c r="M155" s="15"/>
      <c r="Q155" s="15"/>
      <c r="Z155" s="15"/>
      <c r="AE155" s="15"/>
      <c r="AN155" s="15"/>
      <c r="AR155" s="15"/>
      <c r="AY155" s="15"/>
    </row>
    <row r="156" ht="15.75" customHeight="1">
      <c r="C156" s="15"/>
      <c r="F156" s="15"/>
      <c r="M156" s="15"/>
      <c r="Q156" s="15"/>
      <c r="Z156" s="15"/>
      <c r="AE156" s="15"/>
      <c r="AN156" s="15"/>
      <c r="AR156" s="15"/>
      <c r="AY156" s="15"/>
    </row>
    <row r="157" ht="15.75" customHeight="1">
      <c r="C157" s="15"/>
      <c r="F157" s="15"/>
      <c r="M157" s="15"/>
      <c r="Q157" s="15"/>
      <c r="Z157" s="15"/>
      <c r="AE157" s="15"/>
      <c r="AN157" s="15"/>
      <c r="AR157" s="15"/>
      <c r="AY157" s="15"/>
    </row>
    <row r="158" ht="15.75" customHeight="1">
      <c r="C158" s="15"/>
      <c r="F158" s="15"/>
      <c r="M158" s="15"/>
      <c r="Q158" s="15"/>
      <c r="Z158" s="15"/>
      <c r="AE158" s="15"/>
      <c r="AN158" s="15"/>
      <c r="AR158" s="15"/>
      <c r="AY158" s="15"/>
    </row>
    <row r="159" ht="15.75" customHeight="1">
      <c r="C159" s="15"/>
      <c r="F159" s="15"/>
      <c r="M159" s="15"/>
      <c r="Q159" s="15"/>
      <c r="Z159" s="15"/>
      <c r="AE159" s="15"/>
      <c r="AN159" s="15"/>
      <c r="AR159" s="15"/>
      <c r="AY159" s="15"/>
    </row>
    <row r="160" ht="15.75" customHeight="1">
      <c r="C160" s="15"/>
      <c r="F160" s="15"/>
      <c r="M160" s="15"/>
      <c r="Q160" s="15"/>
      <c r="Z160" s="15"/>
      <c r="AE160" s="15"/>
      <c r="AN160" s="15"/>
      <c r="AR160" s="15"/>
      <c r="AY160" s="15"/>
    </row>
    <row r="161" ht="15.75" customHeight="1">
      <c r="C161" s="15"/>
      <c r="F161" s="15"/>
      <c r="M161" s="15"/>
      <c r="Q161" s="15"/>
      <c r="Z161" s="15"/>
      <c r="AE161" s="15"/>
      <c r="AN161" s="15"/>
      <c r="AR161" s="15"/>
      <c r="AY161" s="15"/>
    </row>
    <row r="162" ht="15.75" customHeight="1">
      <c r="C162" s="15"/>
      <c r="F162" s="15"/>
      <c r="M162" s="15"/>
      <c r="Q162" s="15"/>
      <c r="Z162" s="15"/>
      <c r="AE162" s="15"/>
      <c r="AN162" s="15"/>
      <c r="AR162" s="15"/>
      <c r="AY162" s="15"/>
    </row>
    <row r="163" ht="15.75" customHeight="1">
      <c r="C163" s="15"/>
      <c r="F163" s="15"/>
      <c r="M163" s="15"/>
      <c r="Q163" s="15"/>
      <c r="Z163" s="15"/>
      <c r="AE163" s="15"/>
      <c r="AN163" s="15"/>
      <c r="AR163" s="15"/>
      <c r="AY163" s="15"/>
    </row>
    <row r="164" ht="15.75" customHeight="1">
      <c r="C164" s="15"/>
      <c r="F164" s="15"/>
      <c r="M164" s="15"/>
      <c r="Q164" s="15"/>
      <c r="Z164" s="15"/>
      <c r="AE164" s="15"/>
      <c r="AN164" s="15"/>
      <c r="AR164" s="15"/>
      <c r="AY164" s="15"/>
    </row>
    <row r="165" ht="15.75" customHeight="1">
      <c r="C165" s="15"/>
      <c r="F165" s="15"/>
      <c r="M165" s="15"/>
      <c r="Q165" s="15"/>
      <c r="Z165" s="15"/>
      <c r="AE165" s="15"/>
      <c r="AN165" s="15"/>
      <c r="AR165" s="15"/>
      <c r="AY165" s="15"/>
    </row>
    <row r="166" ht="15.75" customHeight="1">
      <c r="C166" s="15"/>
      <c r="F166" s="15"/>
      <c r="M166" s="15"/>
      <c r="Q166" s="15"/>
      <c r="Z166" s="15"/>
      <c r="AE166" s="15"/>
      <c r="AN166" s="15"/>
      <c r="AR166" s="15"/>
      <c r="AY166" s="15"/>
    </row>
    <row r="167" ht="15.75" customHeight="1">
      <c r="C167" s="15"/>
      <c r="F167" s="15"/>
      <c r="M167" s="15"/>
      <c r="Q167" s="15"/>
      <c r="Z167" s="15"/>
      <c r="AE167" s="15"/>
      <c r="AN167" s="15"/>
      <c r="AR167" s="15"/>
      <c r="AY167" s="15"/>
    </row>
    <row r="168" ht="15.75" customHeight="1">
      <c r="C168" s="15"/>
      <c r="F168" s="15"/>
      <c r="M168" s="15"/>
      <c r="Q168" s="15"/>
      <c r="Z168" s="15"/>
      <c r="AE168" s="15"/>
      <c r="AN168" s="15"/>
      <c r="AR168" s="15"/>
      <c r="AY168" s="15"/>
    </row>
    <row r="169" ht="15.75" customHeight="1">
      <c r="C169" s="15"/>
      <c r="F169" s="15"/>
      <c r="M169" s="15"/>
      <c r="Q169" s="15"/>
      <c r="Z169" s="15"/>
      <c r="AE169" s="15"/>
      <c r="AN169" s="15"/>
      <c r="AR169" s="15"/>
      <c r="AY169" s="15"/>
    </row>
    <row r="170" ht="15.75" customHeight="1">
      <c r="C170" s="15"/>
      <c r="F170" s="15"/>
      <c r="M170" s="15"/>
      <c r="Q170" s="15"/>
      <c r="Z170" s="15"/>
      <c r="AE170" s="15"/>
      <c r="AN170" s="15"/>
      <c r="AR170" s="15"/>
      <c r="AY170" s="15"/>
    </row>
    <row r="171" ht="15.75" customHeight="1">
      <c r="C171" s="15"/>
      <c r="F171" s="15"/>
      <c r="M171" s="15"/>
      <c r="Q171" s="15"/>
      <c r="Z171" s="15"/>
      <c r="AE171" s="15"/>
      <c r="AN171" s="15"/>
      <c r="AR171" s="15"/>
      <c r="AY171" s="15"/>
    </row>
    <row r="172" ht="15.75" customHeight="1">
      <c r="C172" s="15"/>
      <c r="F172" s="15"/>
      <c r="M172" s="15"/>
      <c r="Q172" s="15"/>
      <c r="Z172" s="15"/>
      <c r="AE172" s="15"/>
      <c r="AN172" s="15"/>
      <c r="AR172" s="15"/>
      <c r="AY172" s="15"/>
    </row>
    <row r="173" ht="15.75" customHeight="1">
      <c r="C173" s="15"/>
      <c r="F173" s="15"/>
      <c r="M173" s="15"/>
      <c r="Q173" s="15"/>
      <c r="Z173" s="15"/>
      <c r="AE173" s="15"/>
      <c r="AN173" s="15"/>
      <c r="AR173" s="15"/>
      <c r="AY173" s="15"/>
    </row>
    <row r="174" ht="15.75" customHeight="1">
      <c r="C174" s="15"/>
      <c r="F174" s="15"/>
      <c r="M174" s="15"/>
      <c r="Q174" s="15"/>
      <c r="Z174" s="15"/>
      <c r="AE174" s="15"/>
      <c r="AN174" s="15"/>
      <c r="AR174" s="15"/>
      <c r="AY174" s="15"/>
    </row>
    <row r="175" ht="15.75" customHeight="1">
      <c r="C175" s="15"/>
      <c r="F175" s="15"/>
      <c r="M175" s="15"/>
      <c r="Q175" s="15"/>
      <c r="Z175" s="15"/>
      <c r="AE175" s="15"/>
      <c r="AN175" s="15"/>
      <c r="AR175" s="15"/>
      <c r="AY175" s="15"/>
    </row>
    <row r="176" ht="15.75" customHeight="1">
      <c r="C176" s="15"/>
      <c r="F176" s="15"/>
      <c r="M176" s="15"/>
      <c r="Q176" s="15"/>
      <c r="Z176" s="15"/>
      <c r="AE176" s="15"/>
      <c r="AN176" s="15"/>
      <c r="AR176" s="15"/>
      <c r="AY176" s="15"/>
    </row>
    <row r="177" ht="15.75" customHeight="1">
      <c r="C177" s="15"/>
      <c r="F177" s="15"/>
      <c r="M177" s="15"/>
      <c r="Q177" s="15"/>
      <c r="Z177" s="15"/>
      <c r="AE177" s="15"/>
      <c r="AN177" s="15"/>
      <c r="AR177" s="15"/>
      <c r="AY177" s="15"/>
    </row>
    <row r="178" ht="15.75" customHeight="1">
      <c r="C178" s="15"/>
      <c r="F178" s="15"/>
      <c r="M178" s="15"/>
      <c r="Q178" s="15"/>
      <c r="Z178" s="15"/>
      <c r="AE178" s="15"/>
      <c r="AN178" s="15"/>
      <c r="AR178" s="15"/>
      <c r="AY178" s="15"/>
    </row>
    <row r="179" ht="15.75" customHeight="1">
      <c r="C179" s="15"/>
      <c r="F179" s="15"/>
      <c r="M179" s="15"/>
      <c r="Q179" s="15"/>
      <c r="Z179" s="15"/>
      <c r="AE179" s="15"/>
      <c r="AN179" s="15"/>
      <c r="AR179" s="15"/>
      <c r="AY179" s="15"/>
    </row>
    <row r="180" ht="15.75" customHeight="1">
      <c r="C180" s="15"/>
      <c r="F180" s="15"/>
      <c r="M180" s="15"/>
      <c r="Q180" s="15"/>
      <c r="Z180" s="15"/>
      <c r="AE180" s="15"/>
      <c r="AN180" s="15"/>
      <c r="AR180" s="15"/>
      <c r="AY180" s="15"/>
    </row>
    <row r="181" ht="15.75" customHeight="1">
      <c r="C181" s="15"/>
      <c r="F181" s="15"/>
      <c r="M181" s="15"/>
      <c r="Q181" s="15"/>
      <c r="Z181" s="15"/>
      <c r="AE181" s="15"/>
      <c r="AN181" s="15"/>
      <c r="AR181" s="15"/>
      <c r="AY181" s="15"/>
    </row>
    <row r="182" ht="15.75" customHeight="1">
      <c r="C182" s="15"/>
      <c r="F182" s="15"/>
      <c r="M182" s="15"/>
      <c r="Q182" s="15"/>
      <c r="Z182" s="15"/>
      <c r="AE182" s="15"/>
      <c r="AN182" s="15"/>
      <c r="AR182" s="15"/>
      <c r="AY182" s="15"/>
    </row>
    <row r="183" ht="15.75" customHeight="1">
      <c r="C183" s="15"/>
      <c r="F183" s="15"/>
      <c r="M183" s="15"/>
      <c r="Q183" s="15"/>
      <c r="Z183" s="15"/>
      <c r="AE183" s="15"/>
      <c r="AN183" s="15"/>
      <c r="AR183" s="15"/>
      <c r="AY183" s="15"/>
    </row>
    <row r="184" ht="15.75" customHeight="1">
      <c r="C184" s="15"/>
      <c r="F184" s="15"/>
      <c r="M184" s="15"/>
      <c r="Q184" s="15"/>
      <c r="Z184" s="15"/>
      <c r="AE184" s="15"/>
      <c r="AN184" s="15"/>
      <c r="AR184" s="15"/>
      <c r="AY184" s="15"/>
    </row>
    <row r="185" ht="15.75" customHeight="1">
      <c r="C185" s="15"/>
      <c r="F185" s="15"/>
      <c r="M185" s="15"/>
      <c r="Q185" s="15"/>
      <c r="Z185" s="15"/>
      <c r="AE185" s="15"/>
      <c r="AN185" s="15"/>
      <c r="AR185" s="15"/>
      <c r="AY185" s="15"/>
    </row>
    <row r="186" ht="15.75" customHeight="1">
      <c r="C186" s="15"/>
      <c r="F186" s="15"/>
      <c r="M186" s="15"/>
      <c r="Q186" s="15"/>
      <c r="Z186" s="15"/>
      <c r="AE186" s="15"/>
      <c r="AN186" s="15"/>
      <c r="AR186" s="15"/>
      <c r="AY186" s="15"/>
    </row>
    <row r="187" ht="15.75" customHeight="1">
      <c r="C187" s="15"/>
      <c r="F187" s="15"/>
      <c r="M187" s="15"/>
      <c r="Q187" s="15"/>
      <c r="Z187" s="15"/>
      <c r="AE187" s="15"/>
      <c r="AN187" s="15"/>
      <c r="AR187" s="15"/>
      <c r="AY187" s="15"/>
    </row>
    <row r="188" ht="15.75" customHeight="1">
      <c r="C188" s="15"/>
      <c r="F188" s="15"/>
      <c r="M188" s="15"/>
      <c r="Q188" s="15"/>
      <c r="Z188" s="15"/>
      <c r="AE188" s="15"/>
      <c r="AN188" s="15"/>
      <c r="AR188" s="15"/>
      <c r="AY188" s="15"/>
    </row>
    <row r="189" ht="15.75" customHeight="1">
      <c r="C189" s="15"/>
      <c r="F189" s="15"/>
      <c r="M189" s="15"/>
      <c r="Q189" s="15"/>
      <c r="Z189" s="15"/>
      <c r="AE189" s="15"/>
      <c r="AN189" s="15"/>
      <c r="AR189" s="15"/>
      <c r="AY189" s="15"/>
    </row>
    <row r="190" ht="15.75" customHeight="1">
      <c r="C190" s="15"/>
      <c r="F190" s="15"/>
      <c r="M190" s="15"/>
      <c r="Q190" s="15"/>
      <c r="Z190" s="15"/>
      <c r="AE190" s="15"/>
      <c r="AN190" s="15"/>
      <c r="AR190" s="15"/>
      <c r="AY190" s="15"/>
    </row>
    <row r="191" ht="15.75" customHeight="1">
      <c r="C191" s="15"/>
      <c r="F191" s="15"/>
      <c r="M191" s="15"/>
      <c r="Q191" s="15"/>
      <c r="Z191" s="15"/>
      <c r="AE191" s="15"/>
      <c r="AN191" s="15"/>
      <c r="AR191" s="15"/>
      <c r="AY191" s="15"/>
    </row>
    <row r="192" ht="15.75" customHeight="1">
      <c r="C192" s="15"/>
      <c r="F192" s="15"/>
      <c r="M192" s="15"/>
      <c r="Q192" s="15"/>
      <c r="Z192" s="15"/>
      <c r="AE192" s="15"/>
      <c r="AN192" s="15"/>
      <c r="AR192" s="15"/>
      <c r="AY192" s="15"/>
    </row>
    <row r="193" ht="15.75" customHeight="1">
      <c r="C193" s="15"/>
      <c r="F193" s="15"/>
      <c r="M193" s="15"/>
      <c r="Q193" s="15"/>
      <c r="Z193" s="15"/>
      <c r="AE193" s="15"/>
      <c r="AN193" s="15"/>
      <c r="AR193" s="15"/>
      <c r="AY193" s="15"/>
    </row>
    <row r="194" ht="15.75" customHeight="1">
      <c r="C194" s="15"/>
      <c r="F194" s="15"/>
      <c r="M194" s="15"/>
      <c r="Q194" s="15"/>
      <c r="Z194" s="15"/>
      <c r="AE194" s="15"/>
      <c r="AN194" s="15"/>
      <c r="AR194" s="15"/>
      <c r="AY194" s="15"/>
    </row>
    <row r="195" ht="15.75" customHeight="1">
      <c r="C195" s="15"/>
      <c r="F195" s="15"/>
      <c r="M195" s="15"/>
      <c r="Q195" s="15"/>
      <c r="Z195" s="15"/>
      <c r="AE195" s="15"/>
      <c r="AN195" s="15"/>
      <c r="AR195" s="15"/>
      <c r="AY195" s="15"/>
    </row>
    <row r="196" ht="15.75" customHeight="1">
      <c r="C196" s="15"/>
      <c r="F196" s="15"/>
      <c r="M196" s="15"/>
      <c r="Q196" s="15"/>
      <c r="Z196" s="15"/>
      <c r="AE196" s="15"/>
      <c r="AN196" s="15"/>
      <c r="AR196" s="15"/>
      <c r="AY196" s="15"/>
    </row>
    <row r="197" ht="15.75" customHeight="1">
      <c r="C197" s="15"/>
      <c r="F197" s="15"/>
      <c r="M197" s="15"/>
      <c r="Q197" s="15"/>
      <c r="Z197" s="15"/>
      <c r="AE197" s="15"/>
      <c r="AN197" s="15"/>
      <c r="AR197" s="15"/>
      <c r="AY197" s="15"/>
    </row>
    <row r="198" ht="15.75" customHeight="1">
      <c r="C198" s="15"/>
      <c r="F198" s="15"/>
      <c r="M198" s="15"/>
      <c r="Q198" s="15"/>
      <c r="Z198" s="15"/>
      <c r="AE198" s="15"/>
      <c r="AN198" s="15"/>
      <c r="AR198" s="15"/>
      <c r="AY198" s="15"/>
    </row>
    <row r="199" ht="15.75" customHeight="1">
      <c r="C199" s="15"/>
      <c r="F199" s="15"/>
      <c r="M199" s="15"/>
      <c r="Q199" s="15"/>
      <c r="Z199" s="15"/>
      <c r="AE199" s="15"/>
      <c r="AN199" s="15"/>
      <c r="AR199" s="15"/>
      <c r="AY199" s="15"/>
    </row>
    <row r="200" ht="15.75" customHeight="1">
      <c r="C200" s="15"/>
      <c r="F200" s="15"/>
      <c r="M200" s="15"/>
      <c r="Q200" s="15"/>
      <c r="Z200" s="15"/>
      <c r="AE200" s="15"/>
      <c r="AN200" s="15"/>
      <c r="AR200" s="15"/>
      <c r="AY200" s="15"/>
    </row>
    <row r="201" ht="15.75" customHeight="1">
      <c r="C201" s="15"/>
      <c r="F201" s="15"/>
      <c r="M201" s="15"/>
      <c r="Q201" s="15"/>
      <c r="Z201" s="15"/>
      <c r="AE201" s="15"/>
      <c r="AN201" s="15"/>
      <c r="AR201" s="15"/>
      <c r="AY201" s="15"/>
    </row>
    <row r="202" ht="15.75" customHeight="1">
      <c r="C202" s="15"/>
      <c r="F202" s="15"/>
      <c r="M202" s="15"/>
      <c r="Q202" s="15"/>
      <c r="Z202" s="15"/>
      <c r="AE202" s="15"/>
      <c r="AN202" s="15"/>
      <c r="AR202" s="15"/>
      <c r="AY202" s="15"/>
    </row>
    <row r="203" ht="15.75" customHeight="1">
      <c r="C203" s="15"/>
      <c r="F203" s="15"/>
      <c r="M203" s="15"/>
      <c r="Q203" s="15"/>
      <c r="Z203" s="15"/>
      <c r="AE203" s="15"/>
      <c r="AN203" s="15"/>
      <c r="AR203" s="15"/>
      <c r="AY203" s="15"/>
    </row>
    <row r="204" ht="15.75" customHeight="1">
      <c r="C204" s="15"/>
      <c r="F204" s="15"/>
      <c r="M204" s="15"/>
      <c r="Q204" s="15"/>
      <c r="Z204" s="15"/>
      <c r="AE204" s="15"/>
      <c r="AN204" s="15"/>
      <c r="AR204" s="15"/>
      <c r="AY204" s="15"/>
    </row>
    <row r="205" ht="15.75" customHeight="1">
      <c r="C205" s="15"/>
      <c r="F205" s="15"/>
      <c r="M205" s="15"/>
      <c r="Q205" s="15"/>
      <c r="Z205" s="15"/>
      <c r="AE205" s="15"/>
      <c r="AN205" s="15"/>
      <c r="AR205" s="15"/>
      <c r="AY205" s="15"/>
    </row>
    <row r="206" ht="15.75" customHeight="1">
      <c r="C206" s="15"/>
      <c r="F206" s="15"/>
      <c r="M206" s="15"/>
      <c r="Q206" s="15"/>
      <c r="Z206" s="15"/>
      <c r="AE206" s="15"/>
      <c r="AN206" s="15"/>
      <c r="AR206" s="15"/>
      <c r="AY206" s="15"/>
    </row>
    <row r="207" ht="15.75" customHeight="1">
      <c r="C207" s="15"/>
      <c r="F207" s="15"/>
      <c r="M207" s="15"/>
      <c r="Q207" s="15"/>
      <c r="Z207" s="15"/>
      <c r="AE207" s="15"/>
      <c r="AN207" s="15"/>
      <c r="AR207" s="15"/>
      <c r="AY207" s="15"/>
    </row>
    <row r="208" ht="15.75" customHeight="1">
      <c r="C208" s="15"/>
      <c r="F208" s="15"/>
      <c r="M208" s="15"/>
      <c r="Q208" s="15"/>
      <c r="Z208" s="15"/>
      <c r="AE208" s="15"/>
      <c r="AN208" s="15"/>
      <c r="AR208" s="15"/>
      <c r="AY208" s="15"/>
    </row>
    <row r="209" ht="15.75" customHeight="1">
      <c r="C209" s="15"/>
      <c r="F209" s="15"/>
      <c r="M209" s="15"/>
      <c r="Q209" s="15"/>
      <c r="Z209" s="15"/>
      <c r="AE209" s="15"/>
      <c r="AN209" s="15"/>
      <c r="AR209" s="15"/>
      <c r="AY209" s="15"/>
    </row>
    <row r="210" ht="15.75" customHeight="1">
      <c r="C210" s="15"/>
      <c r="F210" s="15"/>
      <c r="M210" s="15"/>
      <c r="Q210" s="15"/>
      <c r="Z210" s="15"/>
      <c r="AE210" s="15"/>
      <c r="AN210" s="15"/>
      <c r="AR210" s="15"/>
      <c r="AY210" s="15"/>
    </row>
    <row r="211" ht="15.75" customHeight="1">
      <c r="C211" s="15"/>
      <c r="F211" s="15"/>
      <c r="M211" s="15"/>
      <c r="Q211" s="15"/>
      <c r="Z211" s="15"/>
      <c r="AE211" s="15"/>
      <c r="AN211" s="15"/>
      <c r="AR211" s="15"/>
      <c r="AY211" s="15"/>
    </row>
    <row r="212" ht="15.75" customHeight="1">
      <c r="C212" s="15"/>
      <c r="F212" s="15"/>
      <c r="M212" s="15"/>
      <c r="Q212" s="15"/>
      <c r="Z212" s="15"/>
      <c r="AE212" s="15"/>
      <c r="AN212" s="15"/>
      <c r="AR212" s="15"/>
      <c r="AY212" s="15"/>
    </row>
    <row r="213" ht="15.75" customHeight="1">
      <c r="C213" s="15"/>
      <c r="F213" s="15"/>
      <c r="M213" s="15"/>
      <c r="Q213" s="15"/>
      <c r="Z213" s="15"/>
      <c r="AE213" s="15"/>
      <c r="AN213" s="15"/>
      <c r="AR213" s="15"/>
      <c r="AY213" s="15"/>
    </row>
    <row r="214" ht="15.75" customHeight="1">
      <c r="C214" s="15"/>
      <c r="F214" s="15"/>
      <c r="M214" s="15"/>
      <c r="Q214" s="15"/>
      <c r="Z214" s="15"/>
      <c r="AE214" s="15"/>
      <c r="AN214" s="15"/>
      <c r="AR214" s="15"/>
      <c r="AY214" s="15"/>
    </row>
    <row r="215" ht="15.75" customHeight="1">
      <c r="C215" s="15"/>
      <c r="F215" s="15"/>
      <c r="M215" s="15"/>
      <c r="Q215" s="15"/>
      <c r="Z215" s="15"/>
      <c r="AE215" s="15"/>
      <c r="AN215" s="15"/>
      <c r="AR215" s="15"/>
      <c r="AY215" s="15"/>
    </row>
    <row r="216" ht="15.75" customHeight="1">
      <c r="C216" s="15"/>
      <c r="F216" s="15"/>
      <c r="M216" s="15"/>
      <c r="Q216" s="15"/>
      <c r="Z216" s="15"/>
      <c r="AE216" s="15"/>
      <c r="AN216" s="15"/>
      <c r="AR216" s="15"/>
      <c r="AY216" s="15"/>
    </row>
    <row r="217" ht="15.75" customHeight="1">
      <c r="C217" s="15"/>
      <c r="F217" s="15"/>
      <c r="M217" s="15"/>
      <c r="Q217" s="15"/>
      <c r="Z217" s="15"/>
      <c r="AE217" s="15"/>
      <c r="AN217" s="15"/>
      <c r="AR217" s="15"/>
      <c r="AY217" s="15"/>
    </row>
    <row r="218" ht="15.75" customHeight="1">
      <c r="C218" s="15"/>
      <c r="F218" s="15"/>
      <c r="M218" s="15"/>
      <c r="Q218" s="15"/>
      <c r="Z218" s="15"/>
      <c r="AE218" s="15"/>
      <c r="AN218" s="15"/>
      <c r="AR218" s="15"/>
      <c r="AY218" s="15"/>
    </row>
    <row r="219" ht="15.75" customHeight="1">
      <c r="C219" s="15"/>
      <c r="F219" s="15"/>
      <c r="M219" s="15"/>
      <c r="Q219" s="15"/>
      <c r="Z219" s="15"/>
      <c r="AE219" s="15"/>
      <c r="AN219" s="15"/>
      <c r="AR219" s="15"/>
      <c r="AY219" s="15"/>
    </row>
    <row r="220" ht="15.75" customHeight="1">
      <c r="C220" s="15"/>
      <c r="F220" s="15"/>
      <c r="M220" s="15"/>
      <c r="Q220" s="15"/>
      <c r="Z220" s="15"/>
      <c r="AE220" s="15"/>
      <c r="AN220" s="15"/>
      <c r="AR220" s="15"/>
      <c r="AY220" s="15"/>
    </row>
    <row r="221" ht="15.75" customHeight="1">
      <c r="C221" s="15"/>
      <c r="F221" s="15"/>
      <c r="M221" s="15"/>
      <c r="Q221" s="15"/>
      <c r="Z221" s="15"/>
      <c r="AE221" s="15"/>
      <c r="AN221" s="15"/>
      <c r="AR221" s="15"/>
      <c r="AY221" s="15"/>
    </row>
    <row r="222" ht="15.75" customHeight="1">
      <c r="C222" s="15"/>
      <c r="F222" s="15"/>
      <c r="M222" s="15"/>
      <c r="Q222" s="15"/>
      <c r="Z222" s="15"/>
      <c r="AE222" s="15"/>
      <c r="AN222" s="15"/>
      <c r="AR222" s="15"/>
      <c r="AY222" s="15"/>
    </row>
    <row r="223" ht="15.75" customHeight="1">
      <c r="C223" s="15"/>
      <c r="F223" s="15"/>
      <c r="M223" s="15"/>
      <c r="Q223" s="15"/>
      <c r="Z223" s="15"/>
      <c r="AE223" s="15"/>
      <c r="AN223" s="15"/>
      <c r="AR223" s="15"/>
      <c r="AY223" s="15"/>
    </row>
    <row r="224" ht="15.75" customHeight="1">
      <c r="C224" s="15"/>
      <c r="F224" s="15"/>
      <c r="M224" s="15"/>
      <c r="Q224" s="15"/>
      <c r="Z224" s="15"/>
      <c r="AE224" s="15"/>
      <c r="AN224" s="15"/>
      <c r="AR224" s="15"/>
      <c r="AY224" s="15"/>
    </row>
    <row r="225" ht="15.75" customHeight="1">
      <c r="C225" s="15"/>
      <c r="F225" s="15"/>
      <c r="M225" s="15"/>
      <c r="Q225" s="15"/>
      <c r="Z225" s="15"/>
      <c r="AE225" s="15"/>
      <c r="AN225" s="15"/>
      <c r="AR225" s="15"/>
      <c r="AY225" s="15"/>
    </row>
    <row r="226" ht="15.75" customHeight="1">
      <c r="C226" s="15"/>
      <c r="F226" s="15"/>
      <c r="M226" s="15"/>
      <c r="Q226" s="15"/>
      <c r="Z226" s="15"/>
      <c r="AE226" s="15"/>
      <c r="AN226" s="15"/>
      <c r="AR226" s="15"/>
      <c r="AY226" s="15"/>
    </row>
    <row r="227" ht="15.75" customHeight="1">
      <c r="C227" s="15"/>
      <c r="F227" s="15"/>
      <c r="M227" s="15"/>
      <c r="Q227" s="15"/>
      <c r="Z227" s="15"/>
      <c r="AE227" s="15"/>
      <c r="AN227" s="15"/>
      <c r="AR227" s="15"/>
      <c r="AY227" s="15"/>
    </row>
    <row r="228" ht="15.75" customHeight="1">
      <c r="C228" s="15"/>
      <c r="F228" s="15"/>
      <c r="M228" s="15"/>
      <c r="Q228" s="15"/>
      <c r="Z228" s="15"/>
      <c r="AE228" s="15"/>
      <c r="AN228" s="15"/>
      <c r="AR228" s="15"/>
      <c r="AY228" s="15"/>
    </row>
    <row r="229" ht="15.75" customHeight="1">
      <c r="C229" s="15"/>
      <c r="F229" s="15"/>
      <c r="M229" s="15"/>
      <c r="Q229" s="15"/>
      <c r="Z229" s="15"/>
      <c r="AE229" s="15"/>
      <c r="AN229" s="15"/>
      <c r="AR229" s="15"/>
      <c r="AY229" s="15"/>
    </row>
    <row r="230" ht="15.75" customHeight="1">
      <c r="C230" s="15"/>
      <c r="F230" s="15"/>
      <c r="M230" s="15"/>
      <c r="Q230" s="15"/>
      <c r="Z230" s="15"/>
      <c r="AE230" s="15"/>
      <c r="AN230" s="15"/>
      <c r="AR230" s="15"/>
      <c r="AY230" s="15"/>
    </row>
    <row r="231" ht="15.75" customHeight="1">
      <c r="C231" s="15"/>
      <c r="F231" s="15"/>
      <c r="M231" s="15"/>
      <c r="Q231" s="15"/>
      <c r="Z231" s="15"/>
      <c r="AE231" s="15"/>
      <c r="AN231" s="15"/>
      <c r="AR231" s="15"/>
      <c r="AY231" s="15"/>
    </row>
    <row r="232" ht="15.75" customHeight="1">
      <c r="C232" s="15"/>
      <c r="F232" s="15"/>
      <c r="M232" s="15"/>
      <c r="Q232" s="15"/>
      <c r="Z232" s="15"/>
      <c r="AE232" s="15"/>
      <c r="AN232" s="15"/>
      <c r="AR232" s="15"/>
      <c r="AY232" s="15"/>
    </row>
    <row r="233" ht="15.75" customHeight="1">
      <c r="C233" s="15"/>
      <c r="F233" s="15"/>
      <c r="M233" s="15"/>
      <c r="Q233" s="15"/>
      <c r="Z233" s="15"/>
      <c r="AE233" s="15"/>
      <c r="AN233" s="15"/>
      <c r="AR233" s="15"/>
      <c r="AY233" s="15"/>
    </row>
    <row r="234" ht="15.75" customHeight="1">
      <c r="C234" s="15"/>
      <c r="F234" s="15"/>
      <c r="M234" s="15"/>
      <c r="Q234" s="15"/>
      <c r="Z234" s="15"/>
      <c r="AE234" s="15"/>
      <c r="AN234" s="15"/>
      <c r="AR234" s="15"/>
      <c r="AY234" s="15"/>
    </row>
    <row r="235" ht="15.75" customHeight="1">
      <c r="C235" s="15"/>
      <c r="F235" s="15"/>
      <c r="M235" s="15"/>
      <c r="Q235" s="15"/>
      <c r="Z235" s="15"/>
      <c r="AE235" s="15"/>
      <c r="AN235" s="15"/>
      <c r="AR235" s="15"/>
      <c r="AY235" s="15"/>
    </row>
    <row r="236" ht="15.75" customHeight="1">
      <c r="C236" s="15"/>
      <c r="F236" s="15"/>
      <c r="M236" s="15"/>
      <c r="Q236" s="15"/>
      <c r="Z236" s="15"/>
      <c r="AE236" s="15"/>
      <c r="AN236" s="15"/>
      <c r="AR236" s="15"/>
      <c r="AY236" s="15"/>
    </row>
    <row r="237" ht="15.75" customHeight="1">
      <c r="C237" s="15"/>
      <c r="F237" s="15"/>
      <c r="M237" s="15"/>
      <c r="Q237" s="15"/>
      <c r="Z237" s="15"/>
      <c r="AE237" s="15"/>
      <c r="AN237" s="15"/>
      <c r="AR237" s="15"/>
      <c r="AY237" s="15"/>
    </row>
    <row r="238" ht="15.75" customHeight="1">
      <c r="C238" s="15"/>
      <c r="F238" s="15"/>
      <c r="M238" s="15"/>
      <c r="Q238" s="15"/>
      <c r="Z238" s="15"/>
      <c r="AE238" s="15"/>
      <c r="AN238" s="15"/>
      <c r="AR238" s="15"/>
      <c r="AY238" s="15"/>
    </row>
    <row r="239" ht="15.75" customHeight="1">
      <c r="C239" s="15"/>
      <c r="F239" s="15"/>
      <c r="M239" s="15"/>
      <c r="Q239" s="15"/>
      <c r="Z239" s="15"/>
      <c r="AE239" s="15"/>
      <c r="AN239" s="15"/>
      <c r="AR239" s="15"/>
      <c r="AY239" s="15"/>
    </row>
    <row r="240" ht="15.75" customHeight="1">
      <c r="C240" s="15"/>
      <c r="F240" s="15"/>
      <c r="M240" s="15"/>
      <c r="Q240" s="15"/>
      <c r="Z240" s="15"/>
      <c r="AE240" s="15"/>
      <c r="AN240" s="15"/>
      <c r="AR240" s="15"/>
      <c r="AY240" s="15"/>
    </row>
    <row r="241" ht="15.75" customHeight="1">
      <c r="C241" s="15"/>
      <c r="F241" s="15"/>
      <c r="M241" s="15"/>
      <c r="Q241" s="15"/>
      <c r="Z241" s="15"/>
      <c r="AE241" s="15"/>
      <c r="AN241" s="15"/>
      <c r="AR241" s="15"/>
      <c r="AY241" s="15"/>
    </row>
    <row r="242" ht="15.75" customHeight="1">
      <c r="C242" s="15"/>
      <c r="F242" s="15"/>
      <c r="M242" s="15"/>
      <c r="Q242" s="15"/>
      <c r="Z242" s="15"/>
      <c r="AE242" s="15"/>
      <c r="AN242" s="15"/>
      <c r="AR242" s="15"/>
      <c r="AY242" s="15"/>
    </row>
    <row r="243" ht="15.75" customHeight="1">
      <c r="C243" s="15"/>
      <c r="F243" s="15"/>
      <c r="M243" s="15"/>
      <c r="Q243" s="15"/>
      <c r="Z243" s="15"/>
      <c r="AE243" s="15"/>
      <c r="AN243" s="15"/>
      <c r="AR243" s="15"/>
      <c r="AY243" s="15"/>
    </row>
    <row r="244" ht="15.75" customHeight="1">
      <c r="C244" s="15"/>
      <c r="F244" s="15"/>
      <c r="M244" s="15"/>
      <c r="Q244" s="15"/>
      <c r="Z244" s="15"/>
      <c r="AE244" s="15"/>
      <c r="AN244" s="15"/>
      <c r="AR244" s="15"/>
      <c r="AY244" s="15"/>
    </row>
    <row r="245" ht="15.75" customHeight="1">
      <c r="C245" s="15"/>
      <c r="F245" s="15"/>
      <c r="M245" s="15"/>
      <c r="Q245" s="15"/>
      <c r="Z245" s="15"/>
      <c r="AE245" s="15"/>
      <c r="AN245" s="15"/>
      <c r="AR245" s="15"/>
      <c r="AY245" s="15"/>
    </row>
    <row r="246" ht="15.75" customHeight="1">
      <c r="C246" s="15"/>
      <c r="F246" s="15"/>
      <c r="M246" s="15"/>
      <c r="Q246" s="15"/>
      <c r="Z246" s="15"/>
      <c r="AE246" s="15"/>
      <c r="AN246" s="15"/>
      <c r="AR246" s="15"/>
      <c r="AY246" s="15"/>
    </row>
    <row r="247" ht="15.75" customHeight="1">
      <c r="C247" s="15"/>
      <c r="F247" s="15"/>
      <c r="M247" s="15"/>
      <c r="Q247" s="15"/>
      <c r="Z247" s="15"/>
      <c r="AE247" s="15"/>
      <c r="AN247" s="15"/>
      <c r="AR247" s="15"/>
      <c r="AY247" s="15"/>
    </row>
    <row r="248" ht="15.75" customHeight="1">
      <c r="C248" s="15"/>
      <c r="F248" s="15"/>
      <c r="M248" s="15"/>
      <c r="Q248" s="15"/>
      <c r="Z248" s="15"/>
      <c r="AE248" s="15"/>
      <c r="AN248" s="15"/>
      <c r="AR248" s="15"/>
      <c r="AY248" s="15"/>
    </row>
    <row r="249" ht="15.75" customHeight="1">
      <c r="C249" s="15"/>
      <c r="F249" s="15"/>
      <c r="M249" s="15"/>
      <c r="Q249" s="15"/>
      <c r="Z249" s="15"/>
      <c r="AE249" s="15"/>
      <c r="AN249" s="15"/>
      <c r="AR249" s="15"/>
      <c r="AY249" s="15"/>
    </row>
    <row r="250" ht="15.75" customHeight="1">
      <c r="C250" s="15"/>
      <c r="F250" s="15"/>
      <c r="M250" s="15"/>
      <c r="Q250" s="15"/>
      <c r="Z250" s="15"/>
      <c r="AE250" s="15"/>
      <c r="AN250" s="15"/>
      <c r="AR250" s="15"/>
      <c r="AY250" s="15"/>
    </row>
    <row r="251" ht="15.75" customHeight="1">
      <c r="C251" s="15"/>
      <c r="F251" s="15"/>
      <c r="M251" s="15"/>
      <c r="Q251" s="15"/>
      <c r="Z251" s="15"/>
      <c r="AE251" s="15"/>
      <c r="AN251" s="15"/>
      <c r="AR251" s="15"/>
      <c r="AY251" s="15"/>
    </row>
    <row r="252" ht="15.75" customHeight="1">
      <c r="C252" s="15"/>
      <c r="F252" s="15"/>
      <c r="M252" s="15"/>
      <c r="Q252" s="15"/>
      <c r="Z252" s="15"/>
      <c r="AE252" s="15"/>
      <c r="AN252" s="15"/>
      <c r="AR252" s="15"/>
      <c r="AY252" s="15"/>
    </row>
    <row r="253" ht="15.75" customHeight="1">
      <c r="C253" s="15"/>
      <c r="F253" s="15"/>
      <c r="M253" s="15"/>
      <c r="Q253" s="15"/>
      <c r="Z253" s="15"/>
      <c r="AE253" s="15"/>
      <c r="AN253" s="15"/>
      <c r="AR253" s="15"/>
      <c r="AY253" s="15"/>
    </row>
    <row r="254" ht="15.75" customHeight="1">
      <c r="C254" s="15"/>
      <c r="F254" s="15"/>
      <c r="M254" s="15"/>
      <c r="Q254" s="15"/>
      <c r="Z254" s="15"/>
      <c r="AE254" s="15"/>
      <c r="AN254" s="15"/>
      <c r="AR254" s="15"/>
      <c r="AY254" s="15"/>
    </row>
    <row r="255" ht="15.75" customHeight="1">
      <c r="C255" s="15"/>
      <c r="F255" s="15"/>
      <c r="M255" s="15"/>
      <c r="Q255" s="15"/>
      <c r="Z255" s="15"/>
      <c r="AE255" s="15"/>
      <c r="AN255" s="15"/>
      <c r="AR255" s="15"/>
      <c r="AY255" s="15"/>
    </row>
    <row r="256" ht="15.75" customHeight="1">
      <c r="C256" s="15"/>
      <c r="F256" s="15"/>
      <c r="M256" s="15"/>
      <c r="Q256" s="15"/>
      <c r="Z256" s="15"/>
      <c r="AE256" s="15"/>
      <c r="AN256" s="15"/>
      <c r="AR256" s="15"/>
      <c r="AY256" s="15"/>
    </row>
    <row r="257" ht="15.75" customHeight="1">
      <c r="C257" s="15"/>
      <c r="F257" s="15"/>
      <c r="M257" s="15"/>
      <c r="Q257" s="15"/>
      <c r="Z257" s="15"/>
      <c r="AE257" s="15"/>
      <c r="AN257" s="15"/>
      <c r="AR257" s="15"/>
      <c r="AY257" s="15"/>
    </row>
    <row r="258" ht="15.75" customHeight="1">
      <c r="C258" s="15"/>
      <c r="F258" s="15"/>
      <c r="M258" s="15"/>
      <c r="Q258" s="15"/>
      <c r="Z258" s="15"/>
      <c r="AE258" s="15"/>
      <c r="AN258" s="15"/>
      <c r="AR258" s="15"/>
      <c r="AY258" s="15"/>
    </row>
    <row r="259" ht="15.75" customHeight="1">
      <c r="C259" s="15"/>
      <c r="F259" s="15"/>
      <c r="M259" s="15"/>
      <c r="Q259" s="15"/>
      <c r="Z259" s="15"/>
      <c r="AE259" s="15"/>
      <c r="AN259" s="15"/>
      <c r="AR259" s="15"/>
      <c r="AY259" s="15"/>
    </row>
    <row r="260" ht="15.75" customHeight="1">
      <c r="C260" s="15"/>
      <c r="F260" s="15"/>
      <c r="M260" s="15"/>
      <c r="Q260" s="15"/>
      <c r="Z260" s="15"/>
      <c r="AE260" s="15"/>
      <c r="AN260" s="15"/>
      <c r="AR260" s="15"/>
      <c r="AY260" s="15"/>
    </row>
    <row r="261" ht="15.75" customHeight="1">
      <c r="C261" s="15"/>
      <c r="F261" s="15"/>
      <c r="M261" s="15"/>
      <c r="Q261" s="15"/>
      <c r="Z261" s="15"/>
      <c r="AE261" s="15"/>
      <c r="AN261" s="15"/>
      <c r="AR261" s="15"/>
      <c r="AY261" s="15"/>
    </row>
    <row r="262" ht="15.75" customHeight="1">
      <c r="C262" s="15"/>
      <c r="F262" s="15"/>
      <c r="M262" s="15"/>
      <c r="Q262" s="15"/>
      <c r="Z262" s="15"/>
      <c r="AE262" s="15"/>
      <c r="AN262" s="15"/>
      <c r="AR262" s="15"/>
      <c r="AY262" s="15"/>
    </row>
    <row r="263" ht="15.75" customHeight="1">
      <c r="C263" s="15"/>
      <c r="F263" s="15"/>
      <c r="M263" s="15"/>
      <c r="Q263" s="15"/>
      <c r="Z263" s="15"/>
      <c r="AE263" s="15"/>
      <c r="AN263" s="15"/>
      <c r="AR263" s="15"/>
      <c r="AY263" s="15"/>
    </row>
    <row r="264" ht="15.75" customHeight="1">
      <c r="C264" s="15"/>
      <c r="F264" s="15"/>
      <c r="M264" s="15"/>
      <c r="Q264" s="15"/>
      <c r="Z264" s="15"/>
      <c r="AE264" s="15"/>
      <c r="AN264" s="15"/>
      <c r="AR264" s="15"/>
      <c r="AY264" s="15"/>
    </row>
    <row r="265" ht="15.75" customHeight="1">
      <c r="C265" s="15"/>
      <c r="F265" s="15"/>
      <c r="M265" s="15"/>
      <c r="Q265" s="15"/>
      <c r="Z265" s="15"/>
      <c r="AE265" s="15"/>
      <c r="AN265" s="15"/>
      <c r="AR265" s="15"/>
      <c r="AY265" s="15"/>
    </row>
    <row r="266" ht="15.75" customHeight="1">
      <c r="C266" s="15"/>
      <c r="F266" s="15"/>
      <c r="M266" s="15"/>
      <c r="Q266" s="15"/>
      <c r="Z266" s="15"/>
      <c r="AE266" s="15"/>
      <c r="AN266" s="15"/>
      <c r="AR266" s="15"/>
      <c r="AY266" s="15"/>
    </row>
    <row r="267" ht="15.75" customHeight="1">
      <c r="C267" s="15"/>
      <c r="F267" s="15"/>
      <c r="M267" s="15"/>
      <c r="Q267" s="15"/>
      <c r="Z267" s="15"/>
      <c r="AE267" s="15"/>
      <c r="AN267" s="15"/>
      <c r="AR267" s="15"/>
      <c r="AY267" s="15"/>
    </row>
    <row r="268" ht="15.75" customHeight="1">
      <c r="C268" s="15"/>
      <c r="F268" s="15"/>
      <c r="M268" s="15"/>
      <c r="Q268" s="15"/>
      <c r="Z268" s="15"/>
      <c r="AE268" s="15"/>
      <c r="AN268" s="15"/>
      <c r="AR268" s="15"/>
      <c r="AY268" s="15"/>
    </row>
    <row r="269" ht="15.75" customHeight="1">
      <c r="C269" s="15"/>
      <c r="F269" s="15"/>
      <c r="M269" s="15"/>
      <c r="Q269" s="15"/>
      <c r="Z269" s="15"/>
      <c r="AE269" s="15"/>
      <c r="AN269" s="15"/>
      <c r="AR269" s="15"/>
      <c r="AY269" s="15"/>
    </row>
    <row r="270" ht="15.75" customHeight="1">
      <c r="C270" s="15"/>
      <c r="F270" s="15"/>
      <c r="M270" s="15"/>
      <c r="Q270" s="15"/>
      <c r="Z270" s="15"/>
      <c r="AE270" s="15"/>
      <c r="AN270" s="15"/>
      <c r="AR270" s="15"/>
      <c r="AY270" s="15"/>
    </row>
    <row r="271" ht="15.75" customHeight="1">
      <c r="C271" s="15"/>
      <c r="F271" s="15"/>
      <c r="M271" s="15"/>
      <c r="Q271" s="15"/>
      <c r="Z271" s="15"/>
      <c r="AE271" s="15"/>
      <c r="AN271" s="15"/>
      <c r="AR271" s="15"/>
      <c r="AY271" s="15"/>
    </row>
    <row r="272" ht="15.75" customHeight="1">
      <c r="C272" s="15"/>
      <c r="F272" s="15"/>
      <c r="M272" s="15"/>
      <c r="Q272" s="15"/>
      <c r="Z272" s="15"/>
      <c r="AE272" s="15"/>
      <c r="AN272" s="15"/>
      <c r="AR272" s="15"/>
      <c r="AY272" s="15"/>
    </row>
    <row r="273" ht="15.75" customHeight="1">
      <c r="C273" s="15"/>
      <c r="F273" s="15"/>
      <c r="M273" s="15"/>
      <c r="Q273" s="15"/>
      <c r="Z273" s="15"/>
      <c r="AE273" s="15"/>
      <c r="AN273" s="15"/>
      <c r="AR273" s="15"/>
      <c r="AY273" s="15"/>
    </row>
    <row r="274" ht="15.75" customHeight="1">
      <c r="C274" s="15"/>
      <c r="F274" s="15"/>
      <c r="M274" s="15"/>
      <c r="Q274" s="15"/>
      <c r="Z274" s="15"/>
      <c r="AE274" s="15"/>
      <c r="AN274" s="15"/>
      <c r="AR274" s="15"/>
      <c r="AY274" s="15"/>
    </row>
    <row r="275" ht="15.75" customHeight="1">
      <c r="C275" s="15"/>
      <c r="F275" s="15"/>
      <c r="M275" s="15"/>
      <c r="Q275" s="15"/>
      <c r="Z275" s="15"/>
      <c r="AE275" s="15"/>
      <c r="AN275" s="15"/>
      <c r="AR275" s="15"/>
      <c r="AY275" s="15"/>
    </row>
    <row r="276" ht="15.75" customHeight="1">
      <c r="C276" s="15"/>
      <c r="F276" s="15"/>
      <c r="M276" s="15"/>
      <c r="Q276" s="15"/>
      <c r="Z276" s="15"/>
      <c r="AE276" s="15"/>
      <c r="AN276" s="15"/>
      <c r="AR276" s="15"/>
      <c r="AY276" s="15"/>
    </row>
    <row r="277" ht="15.75" customHeight="1">
      <c r="C277" s="15"/>
      <c r="F277" s="15"/>
      <c r="M277" s="15"/>
      <c r="Q277" s="15"/>
      <c r="Z277" s="15"/>
      <c r="AE277" s="15"/>
      <c r="AN277" s="15"/>
      <c r="AR277" s="15"/>
      <c r="AY277" s="15"/>
    </row>
    <row r="278" ht="15.75" customHeight="1">
      <c r="C278" s="15"/>
      <c r="F278" s="15"/>
      <c r="M278" s="15"/>
      <c r="Q278" s="15"/>
      <c r="Z278" s="15"/>
      <c r="AE278" s="15"/>
      <c r="AN278" s="15"/>
      <c r="AR278" s="15"/>
      <c r="AY278" s="15"/>
    </row>
    <row r="279" ht="15.75" customHeight="1">
      <c r="C279" s="15"/>
      <c r="F279" s="15"/>
      <c r="M279" s="15"/>
      <c r="Q279" s="15"/>
      <c r="Z279" s="15"/>
      <c r="AE279" s="15"/>
      <c r="AN279" s="15"/>
      <c r="AR279" s="15"/>
      <c r="AY279" s="15"/>
    </row>
    <row r="280" ht="15.75" customHeight="1">
      <c r="C280" s="15"/>
      <c r="F280" s="15"/>
      <c r="M280" s="15"/>
      <c r="Q280" s="15"/>
      <c r="Z280" s="15"/>
      <c r="AE280" s="15"/>
      <c r="AN280" s="15"/>
      <c r="AR280" s="15"/>
      <c r="AY280" s="15"/>
    </row>
    <row r="281" ht="15.75" customHeight="1">
      <c r="C281" s="15"/>
      <c r="F281" s="15"/>
      <c r="M281" s="15"/>
      <c r="Q281" s="15"/>
      <c r="Z281" s="15"/>
      <c r="AE281" s="15"/>
      <c r="AN281" s="15"/>
      <c r="AR281" s="15"/>
      <c r="AY281" s="15"/>
    </row>
    <row r="282" ht="15.75" customHeight="1">
      <c r="C282" s="15"/>
      <c r="F282" s="15"/>
      <c r="M282" s="15"/>
      <c r="Q282" s="15"/>
      <c r="Z282" s="15"/>
      <c r="AE282" s="15"/>
      <c r="AN282" s="15"/>
      <c r="AR282" s="15"/>
      <c r="AY282" s="15"/>
    </row>
    <row r="283" ht="15.75" customHeight="1">
      <c r="C283" s="15"/>
      <c r="F283" s="15"/>
      <c r="M283" s="15"/>
      <c r="Q283" s="15"/>
      <c r="Z283" s="15"/>
      <c r="AE283" s="15"/>
      <c r="AN283" s="15"/>
      <c r="AR283" s="15"/>
      <c r="AY283" s="15"/>
    </row>
    <row r="284" ht="15.75" customHeight="1">
      <c r="C284" s="15"/>
      <c r="F284" s="15"/>
      <c r="M284" s="15"/>
      <c r="Q284" s="15"/>
      <c r="Z284" s="15"/>
      <c r="AE284" s="15"/>
      <c r="AN284" s="15"/>
      <c r="AR284" s="15"/>
      <c r="AY284" s="15"/>
    </row>
    <row r="285" ht="15.75" customHeight="1">
      <c r="C285" s="15"/>
      <c r="F285" s="15"/>
      <c r="M285" s="15"/>
      <c r="Q285" s="15"/>
      <c r="Z285" s="15"/>
      <c r="AE285" s="15"/>
      <c r="AN285" s="15"/>
      <c r="AR285" s="15"/>
      <c r="AY285" s="15"/>
    </row>
    <row r="286" ht="15.75" customHeight="1">
      <c r="C286" s="15"/>
      <c r="F286" s="15"/>
      <c r="M286" s="15"/>
      <c r="Q286" s="15"/>
      <c r="Z286" s="15"/>
      <c r="AE286" s="15"/>
      <c r="AN286" s="15"/>
      <c r="AR286" s="15"/>
      <c r="AY286" s="15"/>
    </row>
    <row r="287" ht="15.75" customHeight="1">
      <c r="C287" s="15"/>
      <c r="F287" s="15"/>
      <c r="M287" s="15"/>
      <c r="Q287" s="15"/>
      <c r="Z287" s="15"/>
      <c r="AE287" s="15"/>
      <c r="AN287" s="15"/>
      <c r="AR287" s="15"/>
      <c r="AY287" s="15"/>
    </row>
    <row r="288" ht="15.75" customHeight="1">
      <c r="C288" s="15"/>
      <c r="F288" s="15"/>
      <c r="M288" s="15"/>
      <c r="Q288" s="15"/>
      <c r="Z288" s="15"/>
      <c r="AE288" s="15"/>
      <c r="AN288" s="15"/>
      <c r="AR288" s="15"/>
      <c r="AY288" s="15"/>
    </row>
    <row r="289" ht="15.75" customHeight="1">
      <c r="C289" s="15"/>
      <c r="F289" s="15"/>
      <c r="M289" s="15"/>
      <c r="Q289" s="15"/>
      <c r="Z289" s="15"/>
      <c r="AE289" s="15"/>
      <c r="AN289" s="15"/>
      <c r="AR289" s="15"/>
      <c r="AY289" s="15"/>
    </row>
    <row r="290" ht="15.75" customHeight="1">
      <c r="C290" s="15"/>
      <c r="F290" s="15"/>
      <c r="M290" s="15"/>
      <c r="Q290" s="15"/>
      <c r="Z290" s="15"/>
      <c r="AE290" s="15"/>
      <c r="AN290" s="15"/>
      <c r="AR290" s="15"/>
      <c r="AY290" s="15"/>
    </row>
    <row r="291" ht="15.75" customHeight="1">
      <c r="C291" s="15"/>
      <c r="F291" s="15"/>
      <c r="M291" s="15"/>
      <c r="Q291" s="15"/>
      <c r="Z291" s="15"/>
      <c r="AE291" s="15"/>
      <c r="AN291" s="15"/>
      <c r="AR291" s="15"/>
      <c r="AY291" s="15"/>
    </row>
    <row r="292" ht="15.75" customHeight="1">
      <c r="C292" s="15"/>
      <c r="F292" s="15"/>
      <c r="M292" s="15"/>
      <c r="Q292" s="15"/>
      <c r="Z292" s="15"/>
      <c r="AE292" s="15"/>
      <c r="AN292" s="15"/>
      <c r="AR292" s="15"/>
      <c r="AY292" s="15"/>
    </row>
    <row r="293" ht="15.75" customHeight="1">
      <c r="C293" s="15"/>
      <c r="F293" s="15"/>
      <c r="M293" s="15"/>
      <c r="Q293" s="15"/>
      <c r="Z293" s="15"/>
      <c r="AE293" s="15"/>
      <c r="AN293" s="15"/>
      <c r="AR293" s="15"/>
      <c r="AY293" s="15"/>
    </row>
    <row r="294" ht="15.75" customHeight="1">
      <c r="C294" s="15"/>
      <c r="F294" s="15"/>
      <c r="M294" s="15"/>
      <c r="Q294" s="15"/>
      <c r="Z294" s="15"/>
      <c r="AE294" s="15"/>
      <c r="AN294" s="15"/>
      <c r="AR294" s="15"/>
      <c r="AY294" s="15"/>
    </row>
    <row r="295" ht="15.75" customHeight="1">
      <c r="C295" s="15"/>
      <c r="F295" s="15"/>
      <c r="M295" s="15"/>
      <c r="Q295" s="15"/>
      <c r="Z295" s="15"/>
      <c r="AE295" s="15"/>
      <c r="AN295" s="15"/>
      <c r="AR295" s="15"/>
      <c r="AY295" s="15"/>
    </row>
    <row r="296" ht="15.75" customHeight="1">
      <c r="C296" s="15"/>
      <c r="F296" s="15"/>
      <c r="M296" s="15"/>
      <c r="Q296" s="15"/>
      <c r="Z296" s="15"/>
      <c r="AE296" s="15"/>
      <c r="AN296" s="15"/>
      <c r="AR296" s="15"/>
      <c r="AY296" s="15"/>
    </row>
    <row r="297" ht="15.75" customHeight="1">
      <c r="C297" s="15"/>
      <c r="F297" s="15"/>
      <c r="M297" s="15"/>
      <c r="Q297" s="15"/>
      <c r="Z297" s="15"/>
      <c r="AE297" s="15"/>
      <c r="AN297" s="15"/>
      <c r="AR297" s="15"/>
      <c r="AY297" s="15"/>
    </row>
    <row r="298" ht="15.75" customHeight="1">
      <c r="C298" s="15"/>
      <c r="F298" s="15"/>
      <c r="M298" s="15"/>
      <c r="Q298" s="15"/>
      <c r="Z298" s="15"/>
      <c r="AE298" s="15"/>
      <c r="AN298" s="15"/>
      <c r="AR298" s="15"/>
      <c r="AY298" s="15"/>
    </row>
    <row r="299" ht="15.75" customHeight="1">
      <c r="C299" s="15"/>
      <c r="F299" s="15"/>
      <c r="M299" s="15"/>
      <c r="Q299" s="15"/>
      <c r="Z299" s="15"/>
      <c r="AE299" s="15"/>
      <c r="AN299" s="15"/>
      <c r="AR299" s="15"/>
      <c r="AY299" s="15"/>
    </row>
    <row r="300" ht="15.75" customHeight="1">
      <c r="C300" s="15"/>
      <c r="F300" s="15"/>
      <c r="M300" s="15"/>
      <c r="Q300" s="15"/>
      <c r="Z300" s="15"/>
      <c r="AE300" s="15"/>
      <c r="AN300" s="15"/>
      <c r="AR300" s="15"/>
      <c r="AY300" s="15"/>
    </row>
    <row r="301" ht="15.75" customHeight="1">
      <c r="C301" s="15"/>
      <c r="F301" s="15"/>
      <c r="M301" s="15"/>
      <c r="Q301" s="15"/>
      <c r="Z301" s="15"/>
      <c r="AE301" s="15"/>
      <c r="AN301" s="15"/>
      <c r="AR301" s="15"/>
      <c r="AY301" s="15"/>
    </row>
    <row r="302" ht="15.75" customHeight="1">
      <c r="C302" s="15"/>
      <c r="F302" s="15"/>
      <c r="M302" s="15"/>
      <c r="Q302" s="15"/>
      <c r="Z302" s="15"/>
      <c r="AE302" s="15"/>
      <c r="AN302" s="15"/>
      <c r="AR302" s="15"/>
      <c r="AY302" s="15"/>
    </row>
    <row r="303" ht="15.75" customHeight="1">
      <c r="C303" s="15"/>
      <c r="F303" s="15"/>
      <c r="M303" s="15"/>
      <c r="Q303" s="15"/>
      <c r="Z303" s="15"/>
      <c r="AE303" s="15"/>
      <c r="AN303" s="15"/>
      <c r="AR303" s="15"/>
      <c r="AY303" s="15"/>
    </row>
    <row r="304" ht="15.75" customHeight="1">
      <c r="C304" s="15"/>
      <c r="F304" s="15"/>
      <c r="M304" s="15"/>
      <c r="Q304" s="15"/>
      <c r="Z304" s="15"/>
      <c r="AE304" s="15"/>
      <c r="AN304" s="15"/>
      <c r="AR304" s="15"/>
      <c r="AY304" s="15"/>
    </row>
    <row r="305" ht="15.75" customHeight="1">
      <c r="C305" s="15"/>
      <c r="F305" s="15"/>
      <c r="M305" s="15"/>
      <c r="Q305" s="15"/>
      <c r="Z305" s="15"/>
      <c r="AE305" s="15"/>
      <c r="AN305" s="15"/>
      <c r="AR305" s="15"/>
      <c r="AY305" s="15"/>
    </row>
    <row r="306" ht="15.75" customHeight="1">
      <c r="C306" s="15"/>
      <c r="F306" s="15"/>
      <c r="M306" s="15"/>
      <c r="Q306" s="15"/>
      <c r="Z306" s="15"/>
      <c r="AE306" s="15"/>
      <c r="AN306" s="15"/>
      <c r="AR306" s="15"/>
      <c r="AY306" s="15"/>
    </row>
    <row r="307" ht="15.75" customHeight="1">
      <c r="C307" s="15"/>
      <c r="F307" s="15"/>
      <c r="M307" s="15"/>
      <c r="Q307" s="15"/>
      <c r="Z307" s="15"/>
      <c r="AE307" s="15"/>
      <c r="AN307" s="15"/>
      <c r="AR307" s="15"/>
      <c r="AY307" s="15"/>
    </row>
    <row r="308" ht="15.75" customHeight="1">
      <c r="C308" s="15"/>
      <c r="F308" s="15"/>
      <c r="M308" s="15"/>
      <c r="Q308" s="15"/>
      <c r="Z308" s="15"/>
      <c r="AE308" s="15"/>
      <c r="AN308" s="15"/>
      <c r="AR308" s="15"/>
      <c r="AY308" s="15"/>
    </row>
    <row r="309" ht="15.75" customHeight="1">
      <c r="C309" s="15"/>
      <c r="F309" s="15"/>
      <c r="M309" s="15"/>
      <c r="Q309" s="15"/>
      <c r="Z309" s="15"/>
      <c r="AE309" s="15"/>
      <c r="AN309" s="15"/>
      <c r="AR309" s="15"/>
      <c r="AY309" s="15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">
    <mergeCell ref="R92:Y92"/>
    <mergeCell ref="R102:Y102"/>
    <mergeCell ref="N32:P32"/>
    <mergeCell ref="N42:P42"/>
    <mergeCell ref="R42:Y42"/>
    <mergeCell ref="R52:Y52"/>
    <mergeCell ref="R62:Y62"/>
    <mergeCell ref="R72:Y72"/>
    <mergeCell ref="R82:Y82"/>
    <mergeCell ref="G1:L1"/>
    <mergeCell ref="N1:P1"/>
    <mergeCell ref="R1:Y1"/>
    <mergeCell ref="AA1:AD1"/>
    <mergeCell ref="AF1:AM1"/>
    <mergeCell ref="AO1:AQ1"/>
    <mergeCell ref="AS1:AX1"/>
    <mergeCell ref="AF2:AM2"/>
    <mergeCell ref="AO2:AQ2"/>
    <mergeCell ref="AS2:AX2"/>
    <mergeCell ref="A1:E1"/>
    <mergeCell ref="A2:B2"/>
    <mergeCell ref="D2:E2"/>
    <mergeCell ref="G2:L2"/>
    <mergeCell ref="N2:P2"/>
    <mergeCell ref="R2:Y2"/>
    <mergeCell ref="AA2:AD2"/>
    <mergeCell ref="AF12:AM12"/>
    <mergeCell ref="AO12:AQ12"/>
    <mergeCell ref="AS12:AX12"/>
    <mergeCell ref="A9:B9"/>
    <mergeCell ref="A10:B10"/>
    <mergeCell ref="D12:E12"/>
    <mergeCell ref="G12:L12"/>
    <mergeCell ref="N12:P12"/>
    <mergeCell ref="R12:Y12"/>
    <mergeCell ref="AA12:AD12"/>
    <mergeCell ref="A3:B3"/>
    <mergeCell ref="A4:B4"/>
    <mergeCell ref="A5:B5"/>
    <mergeCell ref="A6:B6"/>
    <mergeCell ref="A7:B7"/>
    <mergeCell ref="D7:E7"/>
    <mergeCell ref="A8:B8"/>
    <mergeCell ref="D17:E17"/>
    <mergeCell ref="G22:L22"/>
    <mergeCell ref="N22:P22"/>
    <mergeCell ref="R22:Y22"/>
    <mergeCell ref="AF22:AM22"/>
    <mergeCell ref="AO22:AQ22"/>
    <mergeCell ref="R32:Y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5.38"/>
    <col customWidth="1" min="3" max="3" width="1.88"/>
    <col customWidth="1" min="4" max="4" width="15.38"/>
    <col customWidth="1" min="5" max="5" width="9.0"/>
    <col customWidth="1" min="6" max="6" width="1.88"/>
    <col customWidth="1" min="11" max="11" width="1.88"/>
    <col customWidth="1" min="15" max="15" width="1.88"/>
    <col customWidth="1" min="19" max="19" width="1.88"/>
    <col customWidth="1" min="23" max="23" width="1.88"/>
  </cols>
  <sheetData>
    <row r="1" ht="15.75" customHeight="1">
      <c r="A1" s="14" t="s">
        <v>138</v>
      </c>
      <c r="F1" s="15"/>
      <c r="G1" s="14" t="s">
        <v>297</v>
      </c>
      <c r="K1" s="15"/>
      <c r="L1" s="14" t="s">
        <v>298</v>
      </c>
      <c r="O1" s="15"/>
      <c r="P1" s="14" t="s">
        <v>299</v>
      </c>
      <c r="S1" s="15"/>
      <c r="T1" s="14" t="s">
        <v>300</v>
      </c>
      <c r="W1" s="15"/>
    </row>
    <row r="2" ht="15.75" customHeight="1">
      <c r="A2" s="43" t="s">
        <v>142</v>
      </c>
      <c r="B2" s="27"/>
      <c r="C2" s="15"/>
      <c r="D2" s="43" t="s">
        <v>143</v>
      </c>
      <c r="E2" s="27"/>
      <c r="F2" s="15"/>
      <c r="G2" s="16" t="s">
        <v>301</v>
      </c>
      <c r="K2" s="15"/>
      <c r="L2" s="16" t="s">
        <v>302</v>
      </c>
      <c r="O2" s="15"/>
      <c r="P2" s="16" t="s">
        <v>303</v>
      </c>
      <c r="S2" s="15"/>
      <c r="T2" s="16" t="s">
        <v>304</v>
      </c>
      <c r="W2" s="15"/>
    </row>
    <row r="3" ht="15.75" customHeight="1">
      <c r="A3" s="87" t="s">
        <v>144</v>
      </c>
      <c r="C3" s="15"/>
      <c r="D3" s="5" t="s">
        <v>61</v>
      </c>
      <c r="E3" s="44" t="s">
        <v>145</v>
      </c>
      <c r="F3" s="15"/>
      <c r="G3" s="88">
        <v>4.0</v>
      </c>
      <c r="H3" s="89" t="s">
        <v>146</v>
      </c>
      <c r="I3" s="90" t="s">
        <v>305</v>
      </c>
      <c r="J3" s="90"/>
      <c r="K3" s="15"/>
      <c r="L3" s="88">
        <v>3.0</v>
      </c>
      <c r="M3" s="89" t="s">
        <v>146</v>
      </c>
      <c r="N3" s="90" t="s">
        <v>305</v>
      </c>
      <c r="O3" s="15"/>
      <c r="P3" s="88">
        <v>180.0</v>
      </c>
      <c r="Q3" s="89" t="s">
        <v>146</v>
      </c>
      <c r="R3" s="90" t="s">
        <v>305</v>
      </c>
      <c r="S3" s="15"/>
      <c r="T3" s="88">
        <v>1500.0</v>
      </c>
      <c r="U3" s="89" t="s">
        <v>146</v>
      </c>
      <c r="V3" s="90" t="s">
        <v>305</v>
      </c>
      <c r="W3" s="15"/>
    </row>
    <row r="4" ht="15.75" customHeight="1">
      <c r="A4" s="93" t="s">
        <v>153</v>
      </c>
      <c r="C4" s="15"/>
      <c r="D4" s="2" t="s">
        <v>59</v>
      </c>
      <c r="E4" s="49">
        <f>'Distance Cost Calculator'!H16/'Distance Cost Calculator'!B14</f>
        <v>40</v>
      </c>
      <c r="F4" s="15"/>
      <c r="G4" s="90" t="s">
        <v>154</v>
      </c>
      <c r="H4" s="94"/>
      <c r="I4" s="95">
        <v>1.4</v>
      </c>
      <c r="J4" s="95"/>
      <c r="K4" s="15"/>
      <c r="L4" s="90" t="s">
        <v>154</v>
      </c>
      <c r="M4" s="94"/>
      <c r="N4" s="95">
        <v>1.2</v>
      </c>
      <c r="O4" s="15"/>
      <c r="P4" s="90" t="s">
        <v>154</v>
      </c>
      <c r="Q4" s="94"/>
      <c r="R4" s="95">
        <v>1.2</v>
      </c>
      <c r="S4" s="15"/>
      <c r="T4" s="90" t="s">
        <v>154</v>
      </c>
      <c r="U4" s="94"/>
      <c r="V4" s="95">
        <v>1.65</v>
      </c>
      <c r="W4" s="15"/>
    </row>
    <row r="5" ht="15.75" customHeight="1">
      <c r="A5" s="96" t="s">
        <v>157</v>
      </c>
      <c r="C5" s="15"/>
      <c r="D5" s="20" t="s">
        <v>71</v>
      </c>
      <c r="E5" s="49">
        <f>'Distance Cost Calculator'!H17/'Distance Cost Calculator'!B14</f>
        <v>24</v>
      </c>
      <c r="F5" s="15"/>
      <c r="G5" s="90" t="s">
        <v>158</v>
      </c>
      <c r="H5" s="90" t="s">
        <v>99</v>
      </c>
      <c r="I5" s="90" t="s">
        <v>99</v>
      </c>
      <c r="J5" s="90"/>
      <c r="K5" s="15"/>
      <c r="L5" s="90" t="s">
        <v>158</v>
      </c>
      <c r="M5" s="90" t="s">
        <v>99</v>
      </c>
      <c r="N5" s="90" t="s">
        <v>99</v>
      </c>
      <c r="O5" s="15"/>
      <c r="P5" s="90" t="s">
        <v>158</v>
      </c>
      <c r="Q5" s="90" t="s">
        <v>99</v>
      </c>
      <c r="R5" s="90" t="s">
        <v>99</v>
      </c>
      <c r="S5" s="15"/>
      <c r="T5" s="90" t="s">
        <v>158</v>
      </c>
      <c r="U5" s="90" t="s">
        <v>99</v>
      </c>
      <c r="V5" s="90" t="s">
        <v>99</v>
      </c>
      <c r="W5" s="15"/>
    </row>
    <row r="6" ht="15.75" customHeight="1">
      <c r="A6" s="99" t="s">
        <v>161</v>
      </c>
      <c r="C6" s="15"/>
      <c r="D6" s="2" t="s">
        <v>72</v>
      </c>
      <c r="E6" s="49">
        <f>'Distance Cost Calculator'!H18/'Distance Cost Calculator'!B14</f>
        <v>36</v>
      </c>
      <c r="F6" s="15"/>
      <c r="G6" s="100" t="s">
        <v>162</v>
      </c>
      <c r="H6" s="90">
        <v>0.0</v>
      </c>
      <c r="I6" s="101">
        <f t="shared" ref="I6:I9" si="1">($G$3*I$4)+$H6</f>
        <v>5.6</v>
      </c>
      <c r="J6" s="101"/>
      <c r="K6" s="15"/>
      <c r="L6" s="100" t="s">
        <v>162</v>
      </c>
      <c r="M6" s="90">
        <v>0.0</v>
      </c>
      <c r="N6" s="101">
        <f t="shared" ref="N6:N9" si="2">($L$3*N$4)+$M6</f>
        <v>3.6</v>
      </c>
      <c r="O6" s="15"/>
      <c r="P6" s="100" t="s">
        <v>162</v>
      </c>
      <c r="Q6" s="103">
        <f>$E$14</f>
        <v>24</v>
      </c>
      <c r="R6" s="103">
        <f t="shared" ref="R6:R9" si="3">($P$3*R$4)+$Q6</f>
        <v>240</v>
      </c>
      <c r="S6" s="15"/>
      <c r="T6" s="100" t="s">
        <v>162</v>
      </c>
      <c r="U6" s="90">
        <v>0.0</v>
      </c>
      <c r="V6" s="101">
        <f t="shared" ref="V6:V9" si="4">($T$3*V$4)+$U6</f>
        <v>2475</v>
      </c>
      <c r="W6" s="15"/>
    </row>
    <row r="7" ht="15.75" customHeight="1">
      <c r="A7" s="104" t="s">
        <v>163</v>
      </c>
      <c r="C7" s="15"/>
      <c r="D7" s="43" t="s">
        <v>164</v>
      </c>
      <c r="E7" s="27"/>
      <c r="F7" s="15"/>
      <c r="G7" s="105" t="s">
        <v>165</v>
      </c>
      <c r="H7" s="106">
        <f>$E$9</f>
        <v>40</v>
      </c>
      <c r="I7" s="106">
        <f t="shared" si="1"/>
        <v>45.6</v>
      </c>
      <c r="J7" s="101"/>
      <c r="K7" s="15"/>
      <c r="L7" s="105" t="s">
        <v>165</v>
      </c>
      <c r="M7" s="106">
        <f>$E$9</f>
        <v>40</v>
      </c>
      <c r="N7" s="106">
        <f t="shared" si="2"/>
        <v>43.6</v>
      </c>
      <c r="O7" s="15"/>
      <c r="P7" s="105" t="s">
        <v>165</v>
      </c>
      <c r="Q7" s="103">
        <f>$E$15</f>
        <v>36</v>
      </c>
      <c r="R7" s="103">
        <f t="shared" si="3"/>
        <v>252</v>
      </c>
      <c r="S7" s="15"/>
      <c r="T7" s="105" t="s">
        <v>165</v>
      </c>
      <c r="U7" s="106">
        <f>$E$9</f>
        <v>40</v>
      </c>
      <c r="V7" s="106">
        <f t="shared" si="4"/>
        <v>2515</v>
      </c>
      <c r="W7" s="15"/>
    </row>
    <row r="8" ht="15.75" customHeight="1">
      <c r="A8" s="88" t="s">
        <v>166</v>
      </c>
      <c r="C8" s="15"/>
      <c r="D8" s="5" t="s">
        <v>61</v>
      </c>
      <c r="E8" s="44" t="s">
        <v>145</v>
      </c>
      <c r="F8" s="15"/>
      <c r="G8" s="108" t="s">
        <v>167</v>
      </c>
      <c r="H8" s="90">
        <v>0.0</v>
      </c>
      <c r="I8" s="101">
        <f t="shared" si="1"/>
        <v>5.6</v>
      </c>
      <c r="J8" s="101"/>
      <c r="K8" s="15"/>
      <c r="L8" s="108" t="s">
        <v>167</v>
      </c>
      <c r="M8" s="103">
        <f>E21</f>
        <v>12</v>
      </c>
      <c r="N8" s="103">
        <f t="shared" si="2"/>
        <v>15.6</v>
      </c>
      <c r="O8" s="15"/>
      <c r="P8" s="108" t="s">
        <v>167</v>
      </c>
      <c r="Q8" s="103">
        <f>$E$16</f>
        <v>12</v>
      </c>
      <c r="R8" s="103">
        <f t="shared" si="3"/>
        <v>228</v>
      </c>
      <c r="S8" s="15"/>
      <c r="T8" s="108" t="s">
        <v>167</v>
      </c>
      <c r="U8" s="106">
        <f>$E$6</f>
        <v>36</v>
      </c>
      <c r="V8" s="106">
        <f t="shared" si="4"/>
        <v>2511</v>
      </c>
      <c r="W8" s="15"/>
    </row>
    <row r="9" ht="15.75" customHeight="1">
      <c r="A9" s="110" t="s">
        <v>168</v>
      </c>
      <c r="C9" s="15"/>
      <c r="D9" s="20" t="s">
        <v>58</v>
      </c>
      <c r="E9" s="49">
        <f>'Distance Cost Calculator'!P16/'Distance Cost Calculator'!B14</f>
        <v>40</v>
      </c>
      <c r="F9" s="15"/>
      <c r="G9" s="111" t="s">
        <v>123</v>
      </c>
      <c r="H9" s="90">
        <v>0.0</v>
      </c>
      <c r="I9" s="101">
        <f t="shared" si="1"/>
        <v>5.6</v>
      </c>
      <c r="J9" s="101"/>
      <c r="K9" s="15"/>
      <c r="L9" s="111" t="s">
        <v>123</v>
      </c>
      <c r="M9" s="90">
        <v>0.0</v>
      </c>
      <c r="N9" s="101">
        <f t="shared" si="2"/>
        <v>3.6</v>
      </c>
      <c r="O9" s="15"/>
      <c r="P9" s="111" t="s">
        <v>123</v>
      </c>
      <c r="Q9" s="90">
        <v>0.0</v>
      </c>
      <c r="R9" s="101">
        <f t="shared" si="3"/>
        <v>216</v>
      </c>
      <c r="S9" s="15"/>
      <c r="T9" s="111" t="s">
        <v>123</v>
      </c>
      <c r="U9" s="106">
        <f>$E$5</f>
        <v>24</v>
      </c>
      <c r="V9" s="106">
        <f t="shared" si="4"/>
        <v>2499</v>
      </c>
      <c r="W9" s="15"/>
    </row>
    <row r="10" ht="15.75" customHeight="1">
      <c r="A10" s="66" t="s">
        <v>169</v>
      </c>
      <c r="B10" s="67"/>
      <c r="C10" s="21"/>
      <c r="D10" s="20" t="s">
        <v>71</v>
      </c>
      <c r="E10" s="49">
        <f>'Distance Cost Calculator'!P17/'Distance Cost Calculator'!B14</f>
        <v>36</v>
      </c>
      <c r="F10" s="21"/>
      <c r="K10" s="21"/>
      <c r="O10" s="21"/>
      <c r="S10" s="21"/>
      <c r="W10" s="21"/>
    </row>
    <row r="11" ht="15.75" customHeight="1">
      <c r="C11" s="22"/>
      <c r="D11" s="2" t="s">
        <v>72</v>
      </c>
      <c r="E11" s="49">
        <f>'Distance Cost Calculator'!P18/'Distance Cost Calculator'!B14</f>
        <v>48</v>
      </c>
      <c r="F11" s="22"/>
      <c r="K11" s="22"/>
      <c r="O11" s="22"/>
      <c r="S11" s="22"/>
      <c r="W11" s="22"/>
    </row>
    <row r="12" ht="15.75" customHeight="1">
      <c r="A12" s="114"/>
      <c r="B12" s="115"/>
      <c r="C12" s="23"/>
      <c r="D12" s="43" t="s">
        <v>172</v>
      </c>
      <c r="E12" s="27"/>
      <c r="F12" s="23"/>
      <c r="G12" s="16" t="s">
        <v>306</v>
      </c>
      <c r="K12" s="23"/>
      <c r="L12" s="16" t="s">
        <v>307</v>
      </c>
      <c r="O12" s="23"/>
      <c r="P12" s="16" t="s">
        <v>5</v>
      </c>
      <c r="S12" s="23"/>
      <c r="T12" s="16" t="s">
        <v>308</v>
      </c>
      <c r="W12" s="23"/>
    </row>
    <row r="13" ht="15.75" customHeight="1">
      <c r="C13" s="23"/>
      <c r="D13" s="5" t="s">
        <v>61</v>
      </c>
      <c r="E13" s="44" t="s">
        <v>145</v>
      </c>
      <c r="F13" s="23"/>
      <c r="G13" s="88">
        <v>32.0</v>
      </c>
      <c r="H13" s="89" t="s">
        <v>146</v>
      </c>
      <c r="I13" s="90" t="s">
        <v>309</v>
      </c>
      <c r="J13" s="90" t="s">
        <v>310</v>
      </c>
      <c r="K13" s="23"/>
      <c r="L13" s="88">
        <v>22.0</v>
      </c>
      <c r="M13" s="89" t="s">
        <v>146</v>
      </c>
      <c r="N13" s="90" t="s">
        <v>311</v>
      </c>
      <c r="O13" s="23"/>
      <c r="P13" s="88">
        <v>9000.0</v>
      </c>
      <c r="Q13" s="89" t="s">
        <v>146</v>
      </c>
      <c r="R13" s="90" t="s">
        <v>305</v>
      </c>
      <c r="S13" s="23"/>
      <c r="T13" s="88">
        <v>12000.0</v>
      </c>
      <c r="U13" s="89" t="s">
        <v>146</v>
      </c>
      <c r="V13" s="90" t="s">
        <v>305</v>
      </c>
      <c r="W13" s="23"/>
    </row>
    <row r="14" ht="15.75" customHeight="1">
      <c r="C14" s="23"/>
      <c r="D14" s="20" t="s">
        <v>58</v>
      </c>
      <c r="E14" s="49">
        <f>'Distance Cost Calculator'!H21/'Distance Cost Calculator'!B14</f>
        <v>24</v>
      </c>
      <c r="F14" s="23"/>
      <c r="G14" s="90" t="s">
        <v>154</v>
      </c>
      <c r="H14" s="94"/>
      <c r="I14" s="95">
        <v>3.05</v>
      </c>
      <c r="J14" s="95">
        <v>4.5</v>
      </c>
      <c r="K14" s="23"/>
      <c r="L14" s="90" t="s">
        <v>154</v>
      </c>
      <c r="M14" s="94"/>
      <c r="N14" s="95">
        <v>2.05</v>
      </c>
      <c r="O14" s="23"/>
      <c r="P14" s="90" t="s">
        <v>154</v>
      </c>
      <c r="Q14" s="94"/>
      <c r="R14" s="95">
        <v>1.2</v>
      </c>
      <c r="S14" s="23"/>
      <c r="T14" s="90" t="s">
        <v>154</v>
      </c>
      <c r="U14" s="94"/>
      <c r="V14" s="95">
        <v>1.2</v>
      </c>
      <c r="W14" s="23"/>
    </row>
    <row r="15" ht="15.75" customHeight="1">
      <c r="C15" s="23"/>
      <c r="D15" s="2" t="s">
        <v>59</v>
      </c>
      <c r="E15" s="49">
        <f>'Distance Cost Calculator'!H22/'Distance Cost Calculator'!B14</f>
        <v>36</v>
      </c>
      <c r="F15" s="23"/>
      <c r="G15" s="90" t="s">
        <v>158</v>
      </c>
      <c r="H15" s="90" t="s">
        <v>99</v>
      </c>
      <c r="I15" s="90" t="s">
        <v>99</v>
      </c>
      <c r="J15" s="90"/>
      <c r="K15" s="23"/>
      <c r="L15" s="90" t="s">
        <v>158</v>
      </c>
      <c r="M15" s="90" t="s">
        <v>99</v>
      </c>
      <c r="N15" s="90" t="s">
        <v>99</v>
      </c>
      <c r="O15" s="23"/>
      <c r="P15" s="90" t="s">
        <v>158</v>
      </c>
      <c r="Q15" s="90" t="s">
        <v>99</v>
      </c>
      <c r="R15" s="90" t="s">
        <v>99</v>
      </c>
      <c r="S15" s="23"/>
      <c r="T15" s="90" t="s">
        <v>158</v>
      </c>
      <c r="U15" s="90" t="s">
        <v>99</v>
      </c>
      <c r="V15" s="90" t="s">
        <v>99</v>
      </c>
      <c r="W15" s="23"/>
    </row>
    <row r="16" ht="15.75" customHeight="1">
      <c r="C16" s="23"/>
      <c r="D16" s="2" t="s">
        <v>72</v>
      </c>
      <c r="E16" s="49">
        <f>'Distance Cost Calculator'!H23/'Distance Cost Calculator'!B14</f>
        <v>12</v>
      </c>
      <c r="F16" s="23"/>
      <c r="G16" s="100" t="s">
        <v>162</v>
      </c>
      <c r="H16" s="90">
        <v>0.0</v>
      </c>
      <c r="I16" s="101">
        <f t="shared" ref="I16:J16" si="5">($G$13*I$14)+$H16</f>
        <v>97.6</v>
      </c>
      <c r="J16" s="101">
        <f t="shared" si="5"/>
        <v>144</v>
      </c>
      <c r="K16" s="23"/>
      <c r="L16" s="100" t="s">
        <v>162</v>
      </c>
      <c r="M16" s="90">
        <v>0.0</v>
      </c>
      <c r="N16" s="101">
        <f>($L$13*(N$14-0.2))+$M16</f>
        <v>40.7</v>
      </c>
      <c r="O16" s="23"/>
      <c r="P16" s="100" t="s">
        <v>162</v>
      </c>
      <c r="Q16" s="90">
        <v>0.0</v>
      </c>
      <c r="R16" s="101">
        <f t="shared" ref="R16:R19" si="7">($P$13*R$14)+$Q16</f>
        <v>10800</v>
      </c>
      <c r="S16" s="23"/>
      <c r="T16" s="100" t="s">
        <v>162</v>
      </c>
      <c r="U16" s="90">
        <v>0.0</v>
      </c>
      <c r="V16" s="101">
        <f t="shared" ref="V16:V19" si="8">($T$13*V$14)+$U16</f>
        <v>14400</v>
      </c>
      <c r="W16" s="23"/>
    </row>
    <row r="17" ht="15.75" customHeight="1">
      <c r="C17" s="23"/>
      <c r="D17" s="43" t="s">
        <v>179</v>
      </c>
      <c r="E17" s="27"/>
      <c r="F17" s="23"/>
      <c r="G17" s="105" t="s">
        <v>165</v>
      </c>
      <c r="H17" s="90">
        <v>0.0</v>
      </c>
      <c r="I17" s="101">
        <f t="shared" ref="I17:J17" si="6">($G$13*I$14)+$H17</f>
        <v>97.6</v>
      </c>
      <c r="J17" s="101">
        <f t="shared" si="6"/>
        <v>144</v>
      </c>
      <c r="K17" s="23"/>
      <c r="L17" s="105" t="s">
        <v>165</v>
      </c>
      <c r="M17" s="106">
        <f>E4</f>
        <v>40</v>
      </c>
      <c r="N17" s="106">
        <f t="shared" ref="N17:N19" si="10">($L$13*N$14)+$M17</f>
        <v>85.1</v>
      </c>
      <c r="O17" s="23"/>
      <c r="P17" s="105" t="s">
        <v>165</v>
      </c>
      <c r="Q17" s="90">
        <v>0.0</v>
      </c>
      <c r="R17" s="101">
        <f t="shared" si="7"/>
        <v>10800</v>
      </c>
      <c r="S17" s="23"/>
      <c r="T17" s="105" t="s">
        <v>165</v>
      </c>
      <c r="U17" s="106">
        <f>$E$9</f>
        <v>40</v>
      </c>
      <c r="V17" s="106">
        <f t="shared" si="8"/>
        <v>14440</v>
      </c>
      <c r="W17" s="23"/>
    </row>
    <row r="18" ht="15.75" customHeight="1">
      <c r="C18" s="23"/>
      <c r="D18" s="5" t="s">
        <v>61</v>
      </c>
      <c r="E18" s="44" t="s">
        <v>145</v>
      </c>
      <c r="F18" s="23"/>
      <c r="G18" s="108" t="s">
        <v>167</v>
      </c>
      <c r="H18" s="103">
        <f>E16</f>
        <v>12</v>
      </c>
      <c r="I18" s="103">
        <f t="shared" ref="I18:J18" si="9">($G$13*I$14)+$H18</f>
        <v>109.6</v>
      </c>
      <c r="J18" s="103">
        <f t="shared" si="9"/>
        <v>156</v>
      </c>
      <c r="K18" s="23"/>
      <c r="L18" s="108" t="s">
        <v>167</v>
      </c>
      <c r="M18" s="106">
        <f>E6</f>
        <v>36</v>
      </c>
      <c r="N18" s="106">
        <f t="shared" si="10"/>
        <v>81.1</v>
      </c>
      <c r="O18" s="23"/>
      <c r="P18" s="108" t="s">
        <v>167</v>
      </c>
      <c r="Q18" s="117">
        <f>$E$20</f>
        <v>48</v>
      </c>
      <c r="R18" s="117">
        <f t="shared" si="7"/>
        <v>10848</v>
      </c>
      <c r="S18" s="23"/>
      <c r="T18" s="108" t="s">
        <v>167</v>
      </c>
      <c r="U18" s="103">
        <f>$E$21</f>
        <v>12</v>
      </c>
      <c r="V18" s="103">
        <f t="shared" si="8"/>
        <v>14412</v>
      </c>
      <c r="W18" s="23"/>
    </row>
    <row r="19" ht="15.75" customHeight="1">
      <c r="C19" s="23"/>
      <c r="D19" s="20" t="s">
        <v>58</v>
      </c>
      <c r="E19" s="49">
        <f>'Distance Cost Calculator'!P21/'Distance Cost Calculator'!B14</f>
        <v>36</v>
      </c>
      <c r="F19" s="23"/>
      <c r="G19" s="111" t="s">
        <v>123</v>
      </c>
      <c r="H19" s="90">
        <v>0.0</v>
      </c>
      <c r="I19" s="101">
        <f t="shared" ref="I19:J19" si="11">($G$13*I$14)+$H19</f>
        <v>97.6</v>
      </c>
      <c r="J19" s="101">
        <f t="shared" si="11"/>
        <v>144</v>
      </c>
      <c r="K19" s="23"/>
      <c r="L19" s="111" t="s">
        <v>123</v>
      </c>
      <c r="M19" s="106">
        <f>E5</f>
        <v>24</v>
      </c>
      <c r="N19" s="106">
        <f t="shared" si="10"/>
        <v>69.1</v>
      </c>
      <c r="O19" s="23"/>
      <c r="P19" s="111" t="s">
        <v>123</v>
      </c>
      <c r="Q19" s="106">
        <f>$E$19</f>
        <v>36</v>
      </c>
      <c r="R19" s="106">
        <f t="shared" si="7"/>
        <v>10836</v>
      </c>
      <c r="S19" s="23"/>
      <c r="T19" s="111" t="s">
        <v>123</v>
      </c>
      <c r="U19" s="90">
        <v>0.0</v>
      </c>
      <c r="V19" s="101">
        <f t="shared" si="8"/>
        <v>14400</v>
      </c>
      <c r="W19" s="23"/>
    </row>
    <row r="20" ht="15.75" customHeight="1">
      <c r="C20" s="23"/>
      <c r="D20" s="2" t="s">
        <v>59</v>
      </c>
      <c r="E20" s="49">
        <f>'Distance Cost Calculator'!P22/'Distance Cost Calculator'!B14</f>
        <v>48</v>
      </c>
      <c r="F20" s="23"/>
      <c r="H20" s="1"/>
      <c r="I20" s="1"/>
      <c r="J20" s="1"/>
      <c r="K20" s="23"/>
      <c r="O20" s="23"/>
      <c r="S20" s="23"/>
      <c r="W20" s="23"/>
    </row>
    <row r="21" ht="15.75" customHeight="1">
      <c r="C21" s="23"/>
      <c r="D21" s="20" t="s">
        <v>71</v>
      </c>
      <c r="E21" s="49">
        <f>'Distance Cost Calculator'!P23/'Distance Cost Calculator'!B14</f>
        <v>12</v>
      </c>
      <c r="F21" s="23"/>
      <c r="H21" s="1"/>
      <c r="I21" s="1"/>
      <c r="J21" s="1"/>
      <c r="K21" s="23"/>
      <c r="O21" s="23"/>
      <c r="S21" s="23"/>
      <c r="W21" s="23"/>
    </row>
    <row r="22" ht="15.75" customHeight="1">
      <c r="C22" s="23"/>
      <c r="F22" s="23"/>
      <c r="G22" s="16" t="s">
        <v>312</v>
      </c>
      <c r="K22" s="23"/>
      <c r="L22" s="16" t="s">
        <v>313</v>
      </c>
      <c r="O22" s="23"/>
      <c r="P22" s="16" t="s">
        <v>6</v>
      </c>
      <c r="S22" s="23"/>
      <c r="T22" s="16" t="s">
        <v>314</v>
      </c>
      <c r="W22" s="23"/>
    </row>
    <row r="23" ht="15.75" customHeight="1">
      <c r="C23" s="23"/>
      <c r="F23" s="23"/>
      <c r="G23" s="88">
        <v>22.0</v>
      </c>
      <c r="H23" s="89" t="s">
        <v>146</v>
      </c>
      <c r="I23" s="90" t="s">
        <v>305</v>
      </c>
      <c r="J23" s="90"/>
      <c r="K23" s="23"/>
      <c r="L23" s="88">
        <v>8.0</v>
      </c>
      <c r="M23" s="89" t="s">
        <v>146</v>
      </c>
      <c r="N23" s="90" t="s">
        <v>305</v>
      </c>
      <c r="O23" s="23"/>
      <c r="P23" s="88">
        <v>90000.0</v>
      </c>
      <c r="Q23" s="89" t="s">
        <v>146</v>
      </c>
      <c r="R23" s="90" t="s">
        <v>305</v>
      </c>
      <c r="S23" s="23"/>
      <c r="T23" s="88">
        <v>94000.0</v>
      </c>
      <c r="U23" s="89" t="s">
        <v>146</v>
      </c>
      <c r="V23" s="90" t="s">
        <v>305</v>
      </c>
      <c r="W23" s="23"/>
    </row>
    <row r="24" ht="15.75" customHeight="1">
      <c r="C24" s="23"/>
      <c r="F24" s="23"/>
      <c r="G24" s="90" t="s">
        <v>154</v>
      </c>
      <c r="H24" s="94"/>
      <c r="I24" s="95">
        <v>1.2</v>
      </c>
      <c r="J24" s="95"/>
      <c r="K24" s="23"/>
      <c r="L24" s="90" t="s">
        <v>154</v>
      </c>
      <c r="M24" s="94"/>
      <c r="N24" s="95">
        <v>1.35</v>
      </c>
      <c r="O24" s="23"/>
      <c r="P24" s="90" t="s">
        <v>154</v>
      </c>
      <c r="Q24" s="94"/>
      <c r="R24" s="95">
        <v>1.2</v>
      </c>
      <c r="S24" s="23"/>
      <c r="T24" s="90" t="s">
        <v>154</v>
      </c>
      <c r="U24" s="94"/>
      <c r="V24" s="95">
        <v>1.2</v>
      </c>
      <c r="W24" s="23"/>
    </row>
    <row r="25" ht="15.75" customHeight="1">
      <c r="C25" s="23"/>
      <c r="F25" s="23"/>
      <c r="G25" s="90" t="s">
        <v>158</v>
      </c>
      <c r="H25" s="90" t="s">
        <v>99</v>
      </c>
      <c r="I25" s="90" t="s">
        <v>99</v>
      </c>
      <c r="J25" s="90"/>
      <c r="K25" s="23"/>
      <c r="L25" s="90" t="s">
        <v>158</v>
      </c>
      <c r="M25" s="90" t="s">
        <v>99</v>
      </c>
      <c r="N25" s="90" t="s">
        <v>99</v>
      </c>
      <c r="O25" s="23"/>
      <c r="P25" s="90" t="s">
        <v>158</v>
      </c>
      <c r="Q25" s="90" t="s">
        <v>99</v>
      </c>
      <c r="R25" s="90" t="s">
        <v>99</v>
      </c>
      <c r="S25" s="23"/>
      <c r="T25" s="90" t="s">
        <v>158</v>
      </c>
      <c r="U25" s="90" t="s">
        <v>99</v>
      </c>
      <c r="V25" s="90" t="s">
        <v>99</v>
      </c>
      <c r="W25" s="23"/>
    </row>
    <row r="26" ht="15.75" customHeight="1">
      <c r="C26" s="23"/>
      <c r="F26" s="23"/>
      <c r="G26" s="100" t="s">
        <v>162</v>
      </c>
      <c r="H26" s="117">
        <f>$E$9</f>
        <v>40</v>
      </c>
      <c r="I26" s="117">
        <f t="shared" ref="I26:I29" si="12">($G$23*I$24)+$H26</f>
        <v>66.4</v>
      </c>
      <c r="J26" s="90"/>
      <c r="K26" s="23"/>
      <c r="L26" s="100" t="s">
        <v>162</v>
      </c>
      <c r="M26" s="90">
        <v>0.0</v>
      </c>
      <c r="N26" s="101">
        <f t="shared" ref="N26:N29" si="13">($L$23*N$24)+$M26</f>
        <v>10.8</v>
      </c>
      <c r="O26" s="23"/>
      <c r="P26" s="100" t="s">
        <v>162</v>
      </c>
      <c r="Q26" s="90">
        <v>0.0</v>
      </c>
      <c r="R26" s="101">
        <f t="shared" ref="R26:R29" si="14">($P$23*R$24)+$Q26</f>
        <v>108000</v>
      </c>
      <c r="S26" s="23"/>
      <c r="T26" s="100" t="s">
        <v>162</v>
      </c>
      <c r="U26" s="90">
        <v>0.0</v>
      </c>
      <c r="V26" s="101">
        <f t="shared" ref="V26:V29" si="15">($T$23*V$24)+$U26</f>
        <v>112800</v>
      </c>
      <c r="W26" s="23"/>
    </row>
    <row r="27" ht="15.75" customHeight="1">
      <c r="C27" s="23"/>
      <c r="F27" s="23"/>
      <c r="G27" s="105" t="s">
        <v>165</v>
      </c>
      <c r="H27" s="90">
        <v>0.0</v>
      </c>
      <c r="I27" s="101">
        <f t="shared" si="12"/>
        <v>26.4</v>
      </c>
      <c r="J27" s="90"/>
      <c r="K27" s="23"/>
      <c r="L27" s="105" t="s">
        <v>165</v>
      </c>
      <c r="M27" s="106">
        <f>E4</f>
        <v>40</v>
      </c>
      <c r="N27" s="106">
        <f t="shared" si="13"/>
        <v>50.8</v>
      </c>
      <c r="O27" s="23"/>
      <c r="P27" s="105" t="s">
        <v>165</v>
      </c>
      <c r="Q27" s="90">
        <v>0.0</v>
      </c>
      <c r="R27" s="101">
        <f t="shared" si="14"/>
        <v>108000</v>
      </c>
      <c r="S27" s="23"/>
      <c r="T27" s="105" t="s">
        <v>165</v>
      </c>
      <c r="U27" s="106">
        <f>$E$9</f>
        <v>40</v>
      </c>
      <c r="V27" s="106">
        <f t="shared" si="15"/>
        <v>112840</v>
      </c>
      <c r="W27" s="23"/>
    </row>
    <row r="28" ht="15.75" customHeight="1">
      <c r="C28" s="23"/>
      <c r="F28" s="23"/>
      <c r="G28" s="108" t="s">
        <v>167</v>
      </c>
      <c r="H28" s="117">
        <f>$E$11</f>
        <v>48</v>
      </c>
      <c r="I28" s="117">
        <f t="shared" si="12"/>
        <v>74.4</v>
      </c>
      <c r="J28" s="90"/>
      <c r="K28" s="23"/>
      <c r="L28" s="108" t="s">
        <v>167</v>
      </c>
      <c r="M28" s="106">
        <f>E6</f>
        <v>36</v>
      </c>
      <c r="N28" s="106">
        <f t="shared" si="13"/>
        <v>46.8</v>
      </c>
      <c r="O28" s="23"/>
      <c r="P28" s="108" t="s">
        <v>167</v>
      </c>
      <c r="Q28" s="117">
        <f>$E$20</f>
        <v>48</v>
      </c>
      <c r="R28" s="117">
        <f t="shared" si="14"/>
        <v>108048</v>
      </c>
      <c r="S28" s="23"/>
      <c r="T28" s="108" t="s">
        <v>167</v>
      </c>
      <c r="U28" s="103">
        <f>$E$21</f>
        <v>12</v>
      </c>
      <c r="V28" s="103">
        <f t="shared" si="15"/>
        <v>112812</v>
      </c>
      <c r="W28" s="23"/>
    </row>
    <row r="29" ht="15.75" customHeight="1">
      <c r="C29" s="23"/>
      <c r="F29" s="23"/>
      <c r="G29" s="111" t="s">
        <v>123</v>
      </c>
      <c r="H29" s="117">
        <f>$E$10</f>
        <v>36</v>
      </c>
      <c r="I29" s="117">
        <f t="shared" si="12"/>
        <v>62.4</v>
      </c>
      <c r="J29" s="90"/>
      <c r="K29" s="23"/>
      <c r="L29" s="111" t="s">
        <v>123</v>
      </c>
      <c r="M29" s="106">
        <f>E5</f>
        <v>24</v>
      </c>
      <c r="N29" s="106">
        <f t="shared" si="13"/>
        <v>34.8</v>
      </c>
      <c r="O29" s="23"/>
      <c r="P29" s="111" t="s">
        <v>123</v>
      </c>
      <c r="Q29" s="106">
        <f>$E$19</f>
        <v>36</v>
      </c>
      <c r="R29" s="106">
        <f t="shared" si="14"/>
        <v>108036</v>
      </c>
      <c r="S29" s="23"/>
      <c r="T29" s="111" t="s">
        <v>123</v>
      </c>
      <c r="U29" s="90">
        <v>0.0</v>
      </c>
      <c r="V29" s="101">
        <f t="shared" si="15"/>
        <v>112800</v>
      </c>
      <c r="W29" s="23"/>
    </row>
    <row r="30" ht="15.75" customHeight="1">
      <c r="C30" s="23"/>
      <c r="F30" s="23"/>
      <c r="K30" s="23"/>
      <c r="O30" s="23"/>
      <c r="S30" s="23"/>
      <c r="W30" s="23"/>
    </row>
    <row r="31" ht="15.75" customHeight="1">
      <c r="C31" s="23"/>
      <c r="F31" s="23"/>
      <c r="K31" s="23"/>
      <c r="O31" s="23"/>
      <c r="S31" s="23"/>
      <c r="W31" s="23"/>
    </row>
    <row r="32" ht="15.75" customHeight="1">
      <c r="C32" s="23"/>
      <c r="F32" s="23"/>
      <c r="G32" s="16" t="s">
        <v>315</v>
      </c>
      <c r="K32" s="23"/>
      <c r="L32" s="16" t="s">
        <v>316</v>
      </c>
      <c r="O32" s="23"/>
      <c r="P32" s="16" t="s">
        <v>7</v>
      </c>
      <c r="S32" s="23"/>
      <c r="W32" s="23"/>
    </row>
    <row r="33" ht="15.75" customHeight="1">
      <c r="C33" s="23"/>
      <c r="F33" s="23"/>
      <c r="G33" s="88">
        <v>19.0</v>
      </c>
      <c r="H33" s="89" t="s">
        <v>146</v>
      </c>
      <c r="I33" s="90" t="s">
        <v>305</v>
      </c>
      <c r="J33" s="90"/>
      <c r="K33" s="23"/>
      <c r="L33" s="88">
        <v>23.0</v>
      </c>
      <c r="M33" s="89" t="s">
        <v>146</v>
      </c>
      <c r="N33" s="90" t="s">
        <v>305</v>
      </c>
      <c r="O33" s="23"/>
      <c r="P33" s="88">
        <v>900000.0</v>
      </c>
      <c r="Q33" s="89" t="s">
        <v>146</v>
      </c>
      <c r="R33" s="90" t="s">
        <v>305</v>
      </c>
      <c r="S33" s="23"/>
      <c r="W33" s="23"/>
    </row>
    <row r="34" ht="15.75" customHeight="1">
      <c r="C34" s="23"/>
      <c r="F34" s="23"/>
      <c r="G34" s="90" t="s">
        <v>154</v>
      </c>
      <c r="H34" s="94"/>
      <c r="I34" s="95">
        <v>1.2</v>
      </c>
      <c r="J34" s="95"/>
      <c r="K34" s="23"/>
      <c r="L34" s="90" t="s">
        <v>154</v>
      </c>
      <c r="M34" s="94"/>
      <c r="N34" s="95">
        <v>1.35</v>
      </c>
      <c r="O34" s="23"/>
      <c r="P34" s="90" t="s">
        <v>154</v>
      </c>
      <c r="Q34" s="94"/>
      <c r="R34" s="95">
        <v>1.35</v>
      </c>
      <c r="S34" s="23"/>
      <c r="W34" s="23"/>
    </row>
    <row r="35" ht="15.75" customHeight="1">
      <c r="C35" s="23"/>
      <c r="F35" s="23"/>
      <c r="G35" s="90" t="s">
        <v>158</v>
      </c>
      <c r="H35" s="90" t="s">
        <v>99</v>
      </c>
      <c r="I35" s="90" t="s">
        <v>99</v>
      </c>
      <c r="J35" s="90"/>
      <c r="K35" s="23"/>
      <c r="L35" s="90" t="s">
        <v>158</v>
      </c>
      <c r="M35" s="90" t="s">
        <v>99</v>
      </c>
      <c r="N35" s="90" t="s">
        <v>99</v>
      </c>
      <c r="O35" s="23"/>
      <c r="P35" s="90" t="s">
        <v>158</v>
      </c>
      <c r="Q35" s="90" t="s">
        <v>99</v>
      </c>
      <c r="R35" s="90" t="s">
        <v>99</v>
      </c>
      <c r="S35" s="23"/>
      <c r="W35" s="23"/>
    </row>
    <row r="36" ht="15.75" customHeight="1">
      <c r="C36" s="23"/>
      <c r="F36" s="23"/>
      <c r="G36" s="100" t="s">
        <v>162</v>
      </c>
      <c r="H36" s="90">
        <v>0.0</v>
      </c>
      <c r="I36" s="101">
        <f t="shared" ref="I36:I38" si="16">($G$33*I$34)+$H36</f>
        <v>22.8</v>
      </c>
      <c r="J36" s="90"/>
      <c r="K36" s="23"/>
      <c r="L36" s="100" t="s">
        <v>162</v>
      </c>
      <c r="M36" s="117">
        <f>$E$9</f>
        <v>40</v>
      </c>
      <c r="N36" s="117">
        <f t="shared" ref="N36:N39" si="17">($L$33*N$34)+$M36</f>
        <v>71.05</v>
      </c>
      <c r="O36" s="23"/>
      <c r="P36" s="100" t="s">
        <v>162</v>
      </c>
      <c r="Q36" s="90">
        <v>0.0</v>
      </c>
      <c r="R36" s="101">
        <f t="shared" ref="R36:R39" si="18">($P$33*R$34)+$Q36</f>
        <v>1215000</v>
      </c>
      <c r="S36" s="23"/>
      <c r="W36" s="23"/>
    </row>
    <row r="37" ht="15.75" customHeight="1">
      <c r="C37" s="23"/>
      <c r="F37" s="23"/>
      <c r="G37" s="105" t="s">
        <v>165</v>
      </c>
      <c r="H37" s="106">
        <f>$E$9</f>
        <v>40</v>
      </c>
      <c r="I37" s="106">
        <f t="shared" si="16"/>
        <v>62.8</v>
      </c>
      <c r="J37" s="90"/>
      <c r="K37" s="23"/>
      <c r="L37" s="105" t="s">
        <v>165</v>
      </c>
      <c r="M37" s="90">
        <v>0.0</v>
      </c>
      <c r="N37" s="101">
        <f t="shared" si="17"/>
        <v>31.05</v>
      </c>
      <c r="O37" s="23"/>
      <c r="P37" s="105" t="s">
        <v>165</v>
      </c>
      <c r="Q37" s="90">
        <v>0.0</v>
      </c>
      <c r="R37" s="101">
        <f t="shared" si="18"/>
        <v>1215000</v>
      </c>
      <c r="S37" s="23"/>
      <c r="W37" s="23"/>
    </row>
    <row r="38" ht="15.75" customHeight="1">
      <c r="C38" s="15"/>
      <c r="F38" s="15"/>
      <c r="G38" s="108" t="s">
        <v>167</v>
      </c>
      <c r="H38" s="103">
        <f>$E$16</f>
        <v>12</v>
      </c>
      <c r="I38" s="103">
        <f t="shared" si="16"/>
        <v>34.8</v>
      </c>
      <c r="J38" s="90"/>
      <c r="K38" s="15"/>
      <c r="L38" s="108" t="s">
        <v>167</v>
      </c>
      <c r="M38" s="117">
        <f>$E$11</f>
        <v>48</v>
      </c>
      <c r="N38" s="117">
        <f t="shared" si="17"/>
        <v>79.05</v>
      </c>
      <c r="O38" s="15"/>
      <c r="P38" s="108" t="s">
        <v>167</v>
      </c>
      <c r="Q38" s="117">
        <f>$E$20</f>
        <v>48</v>
      </c>
      <c r="R38" s="117">
        <f t="shared" si="18"/>
        <v>1215048</v>
      </c>
      <c r="S38" s="15"/>
      <c r="W38" s="15"/>
    </row>
    <row r="39" ht="15.75" customHeight="1">
      <c r="C39" s="15"/>
      <c r="F39" s="15"/>
      <c r="G39" s="111" t="s">
        <v>123</v>
      </c>
      <c r="H39" s="90">
        <v>0.0</v>
      </c>
      <c r="I39" s="101">
        <f>($G$33*(I$34-0.3))+$H39</f>
        <v>17.1</v>
      </c>
      <c r="J39" s="90"/>
      <c r="K39" s="15"/>
      <c r="L39" s="111" t="s">
        <v>123</v>
      </c>
      <c r="M39" s="117">
        <f>$E$10</f>
        <v>36</v>
      </c>
      <c r="N39" s="117">
        <f t="shared" si="17"/>
        <v>67.05</v>
      </c>
      <c r="O39" s="15"/>
      <c r="P39" s="111" t="s">
        <v>123</v>
      </c>
      <c r="Q39" s="106">
        <f>$E$19</f>
        <v>36</v>
      </c>
      <c r="R39" s="106">
        <f t="shared" si="18"/>
        <v>1215036</v>
      </c>
      <c r="S39" s="15"/>
      <c r="W39" s="15"/>
    </row>
    <row r="40" ht="15.75" customHeight="1">
      <c r="C40" s="15"/>
      <c r="F40" s="15"/>
      <c r="K40" s="15"/>
      <c r="O40" s="15"/>
      <c r="S40" s="15"/>
      <c r="W40" s="15"/>
    </row>
    <row r="41" ht="15.75" customHeight="1">
      <c r="C41" s="15"/>
      <c r="F41" s="15"/>
      <c r="K41" s="15"/>
      <c r="O41" s="15"/>
      <c r="S41" s="15"/>
      <c r="W41" s="15"/>
    </row>
    <row r="42" ht="15.75" customHeight="1">
      <c r="C42" s="15"/>
      <c r="F42" s="15"/>
      <c r="G42" s="16" t="s">
        <v>266</v>
      </c>
      <c r="K42" s="15"/>
      <c r="O42" s="15"/>
      <c r="S42" s="15"/>
      <c r="W42" s="15"/>
    </row>
    <row r="43" ht="15.75" customHeight="1">
      <c r="C43" s="15"/>
      <c r="F43" s="15"/>
      <c r="G43" s="88">
        <f>'Flora Base Price Calculator'!N23</f>
        <v>13</v>
      </c>
      <c r="H43" s="89" t="s">
        <v>146</v>
      </c>
      <c r="I43" s="90" t="s">
        <v>305</v>
      </c>
      <c r="J43" s="90"/>
      <c r="K43" s="15"/>
      <c r="O43" s="15"/>
      <c r="S43" s="15"/>
      <c r="W43" s="15"/>
    </row>
    <row r="44" ht="15.75" customHeight="1">
      <c r="C44" s="15"/>
      <c r="F44" s="15"/>
      <c r="G44" s="90" t="s">
        <v>154</v>
      </c>
      <c r="H44" s="94"/>
      <c r="I44" s="95">
        <v>1.2</v>
      </c>
      <c r="J44" s="95"/>
      <c r="K44" s="15"/>
      <c r="O44" s="15"/>
      <c r="S44" s="15"/>
      <c r="W44" s="15"/>
    </row>
    <row r="45" ht="15.75" customHeight="1">
      <c r="C45" s="15"/>
      <c r="F45" s="15"/>
      <c r="G45" s="90" t="s">
        <v>158</v>
      </c>
      <c r="H45" s="90" t="s">
        <v>99</v>
      </c>
      <c r="I45" s="90" t="s">
        <v>99</v>
      </c>
      <c r="J45" s="90"/>
      <c r="K45" s="15"/>
      <c r="O45" s="15"/>
      <c r="S45" s="15"/>
      <c r="W45" s="15"/>
    </row>
    <row r="46" ht="15.75" customHeight="1">
      <c r="C46" s="15"/>
      <c r="F46" s="15"/>
      <c r="G46" s="100" t="s">
        <v>162</v>
      </c>
      <c r="H46" s="103">
        <f>$E$14</f>
        <v>24</v>
      </c>
      <c r="I46" s="103">
        <f t="shared" ref="I46:I49" si="19">($G$43*I$44)+$H46</f>
        <v>39.6</v>
      </c>
      <c r="J46" s="90"/>
      <c r="K46" s="15"/>
      <c r="O46" s="15"/>
      <c r="S46" s="15"/>
      <c r="W46" s="15"/>
    </row>
    <row r="47" ht="15.75" customHeight="1">
      <c r="C47" s="15"/>
      <c r="F47" s="15"/>
      <c r="G47" s="105" t="s">
        <v>165</v>
      </c>
      <c r="H47" s="103">
        <f>$E$15</f>
        <v>36</v>
      </c>
      <c r="I47" s="103">
        <f t="shared" si="19"/>
        <v>51.6</v>
      </c>
      <c r="J47" s="90"/>
      <c r="K47" s="15"/>
      <c r="O47" s="15"/>
      <c r="S47" s="15"/>
      <c r="W47" s="15"/>
    </row>
    <row r="48" ht="15.75" customHeight="1">
      <c r="C48" s="15"/>
      <c r="F48" s="15"/>
      <c r="G48" s="108" t="s">
        <v>167</v>
      </c>
      <c r="H48" s="103">
        <f>$E$16</f>
        <v>12</v>
      </c>
      <c r="I48" s="103">
        <f t="shared" si="19"/>
        <v>27.6</v>
      </c>
      <c r="J48" s="90"/>
      <c r="K48" s="15"/>
      <c r="O48" s="15"/>
      <c r="S48" s="15"/>
      <c r="W48" s="15"/>
    </row>
    <row r="49" ht="15.75" customHeight="1">
      <c r="C49" s="15"/>
      <c r="F49" s="15"/>
      <c r="G49" s="111" t="s">
        <v>123</v>
      </c>
      <c r="H49" s="90">
        <v>0.0</v>
      </c>
      <c r="I49" s="101">
        <f t="shared" si="19"/>
        <v>15.6</v>
      </c>
      <c r="J49" s="90"/>
      <c r="K49" s="15"/>
      <c r="O49" s="15"/>
      <c r="S49" s="15"/>
      <c r="W49" s="15"/>
    </row>
    <row r="50" ht="15.75" customHeight="1">
      <c r="C50" s="15"/>
      <c r="F50" s="15"/>
      <c r="K50" s="15"/>
      <c r="O50" s="15"/>
      <c r="S50" s="15"/>
      <c r="W50" s="15"/>
    </row>
    <row r="51" ht="15.75" customHeight="1">
      <c r="C51" s="15"/>
      <c r="F51" s="15"/>
      <c r="K51" s="15"/>
      <c r="O51" s="15"/>
      <c r="S51" s="15"/>
      <c r="W51" s="15"/>
    </row>
    <row r="52" ht="15.75" customHeight="1">
      <c r="C52" s="15"/>
      <c r="F52" s="15"/>
      <c r="G52" s="16" t="s">
        <v>317</v>
      </c>
      <c r="K52" s="15"/>
      <c r="O52" s="15"/>
      <c r="S52" s="15"/>
      <c r="W52" s="15"/>
    </row>
    <row r="53" ht="15.75" customHeight="1">
      <c r="C53" s="15"/>
      <c r="F53" s="15"/>
      <c r="G53" s="88">
        <v>15.0</v>
      </c>
      <c r="H53" s="89" t="s">
        <v>146</v>
      </c>
      <c r="I53" s="90" t="s">
        <v>305</v>
      </c>
      <c r="J53" s="90"/>
      <c r="K53" s="15"/>
      <c r="O53" s="15"/>
      <c r="S53" s="15"/>
      <c r="W53" s="15"/>
    </row>
    <row r="54" ht="15.75" customHeight="1">
      <c r="C54" s="15"/>
      <c r="F54" s="15"/>
      <c r="G54" s="90" t="s">
        <v>154</v>
      </c>
      <c r="H54" s="94"/>
      <c r="I54" s="95">
        <v>1.05</v>
      </c>
      <c r="J54" s="95"/>
      <c r="K54" s="15"/>
      <c r="O54" s="15"/>
      <c r="S54" s="15"/>
      <c r="W54" s="15"/>
    </row>
    <row r="55" ht="15.75" customHeight="1">
      <c r="C55" s="15"/>
      <c r="F55" s="15"/>
      <c r="G55" s="90" t="s">
        <v>158</v>
      </c>
      <c r="H55" s="90" t="s">
        <v>99</v>
      </c>
      <c r="I55" s="90" t="s">
        <v>99</v>
      </c>
      <c r="J55" s="90"/>
      <c r="K55" s="15"/>
      <c r="O55" s="15"/>
      <c r="S55" s="15"/>
      <c r="W55" s="15"/>
    </row>
    <row r="56" ht="15.75" customHeight="1">
      <c r="C56" s="15"/>
      <c r="F56" s="15"/>
      <c r="G56" s="100" t="s">
        <v>162</v>
      </c>
      <c r="H56" s="102">
        <v>0.0</v>
      </c>
      <c r="I56" s="101">
        <f t="shared" ref="I56:I59" si="20">($G$53*I$54)+$H56</f>
        <v>15.75</v>
      </c>
      <c r="J56" s="101"/>
      <c r="K56" s="15"/>
      <c r="O56" s="15"/>
      <c r="S56" s="15"/>
      <c r="W56" s="15"/>
    </row>
    <row r="57" ht="15.75" customHeight="1">
      <c r="C57" s="15"/>
      <c r="F57" s="15"/>
      <c r="G57" s="105" t="s">
        <v>165</v>
      </c>
      <c r="H57" s="102">
        <v>0.0</v>
      </c>
      <c r="I57" s="101">
        <f t="shared" si="20"/>
        <v>15.75</v>
      </c>
      <c r="J57" s="101"/>
      <c r="K57" s="15"/>
      <c r="O57" s="15"/>
      <c r="S57" s="15"/>
      <c r="W57" s="15"/>
    </row>
    <row r="58" ht="15.75" customHeight="1">
      <c r="C58" s="15"/>
      <c r="F58" s="15"/>
      <c r="G58" s="108" t="s">
        <v>167</v>
      </c>
      <c r="H58" s="102">
        <v>0.0</v>
      </c>
      <c r="I58" s="101">
        <f t="shared" si="20"/>
        <v>15.75</v>
      </c>
      <c r="J58" s="101"/>
      <c r="K58" s="15"/>
      <c r="O58" s="15"/>
      <c r="S58" s="15"/>
      <c r="W58" s="15"/>
    </row>
    <row r="59" ht="15.75" customHeight="1">
      <c r="C59" s="15"/>
      <c r="F59" s="15"/>
      <c r="G59" s="111" t="s">
        <v>123</v>
      </c>
      <c r="H59" s="102">
        <v>0.0</v>
      </c>
      <c r="I59" s="101">
        <f t="shared" si="20"/>
        <v>15.75</v>
      </c>
      <c r="J59" s="101"/>
      <c r="K59" s="15"/>
      <c r="O59" s="15"/>
      <c r="S59" s="15"/>
      <c r="W59" s="15"/>
    </row>
    <row r="60" ht="15.75" customHeight="1">
      <c r="C60" s="15"/>
      <c r="F60" s="15"/>
      <c r="K60" s="15"/>
      <c r="O60" s="15"/>
      <c r="S60" s="15"/>
      <c r="W60" s="15"/>
    </row>
    <row r="61" ht="15.75" customHeight="1">
      <c r="C61" s="15"/>
      <c r="F61" s="15"/>
      <c r="K61" s="15"/>
      <c r="O61" s="15"/>
      <c r="S61" s="15"/>
      <c r="W61" s="15"/>
    </row>
    <row r="62" ht="15.75" customHeight="1">
      <c r="C62" s="15"/>
      <c r="F62" s="15"/>
      <c r="G62" s="16" t="s">
        <v>318</v>
      </c>
      <c r="K62" s="15"/>
      <c r="O62" s="15"/>
      <c r="S62" s="15"/>
      <c r="W62" s="15"/>
    </row>
    <row r="63" ht="15.75" customHeight="1">
      <c r="C63" s="15"/>
      <c r="F63" s="15"/>
      <c r="G63" s="88">
        <v>375.0</v>
      </c>
      <c r="H63" s="89" t="s">
        <v>146</v>
      </c>
      <c r="I63" s="90" t="s">
        <v>305</v>
      </c>
      <c r="J63" s="90"/>
      <c r="K63" s="15"/>
      <c r="O63" s="15"/>
      <c r="S63" s="15"/>
      <c r="W63" s="15"/>
    </row>
    <row r="64" ht="15.75" customHeight="1">
      <c r="C64" s="15"/>
      <c r="F64" s="15"/>
      <c r="G64" s="90" t="s">
        <v>154</v>
      </c>
      <c r="H64" s="94"/>
      <c r="I64" s="95">
        <v>1.35</v>
      </c>
      <c r="J64" s="95"/>
      <c r="K64" s="15"/>
      <c r="O64" s="15"/>
      <c r="S64" s="15"/>
      <c r="W64" s="15"/>
    </row>
    <row r="65" ht="15.75" customHeight="1">
      <c r="C65" s="15"/>
      <c r="F65" s="15"/>
      <c r="G65" s="90" t="s">
        <v>158</v>
      </c>
      <c r="H65" s="90" t="s">
        <v>99</v>
      </c>
      <c r="I65" s="90" t="s">
        <v>99</v>
      </c>
      <c r="J65" s="90"/>
      <c r="K65" s="15"/>
      <c r="O65" s="15"/>
      <c r="S65" s="15"/>
      <c r="W65" s="15"/>
    </row>
    <row r="66" ht="15.75" customHeight="1">
      <c r="C66" s="15"/>
      <c r="F66" s="15"/>
      <c r="G66" s="100" t="s">
        <v>162</v>
      </c>
      <c r="H66" s="90">
        <v>0.0</v>
      </c>
      <c r="I66" s="101">
        <f t="shared" ref="I66:I69" si="21">($G$63*I$64)+$H66</f>
        <v>506.25</v>
      </c>
      <c r="J66" s="90"/>
      <c r="K66" s="15"/>
      <c r="O66" s="15"/>
      <c r="S66" s="15"/>
      <c r="W66" s="15"/>
    </row>
    <row r="67" ht="15.75" customHeight="1">
      <c r="C67" s="15"/>
      <c r="F67" s="15"/>
      <c r="G67" s="105" t="s">
        <v>165</v>
      </c>
      <c r="H67" s="106">
        <f>$E$9</f>
        <v>40</v>
      </c>
      <c r="I67" s="106">
        <f t="shared" si="21"/>
        <v>546.25</v>
      </c>
      <c r="J67" s="90"/>
      <c r="K67" s="15"/>
      <c r="O67" s="15"/>
      <c r="S67" s="15"/>
      <c r="W67" s="15"/>
    </row>
    <row r="68" ht="15.75" customHeight="1">
      <c r="C68" s="15"/>
      <c r="F68" s="15"/>
      <c r="G68" s="108" t="s">
        <v>167</v>
      </c>
      <c r="H68" s="106">
        <f>$E$6</f>
        <v>36</v>
      </c>
      <c r="I68" s="106">
        <f t="shared" si="21"/>
        <v>542.25</v>
      </c>
      <c r="J68" s="90"/>
      <c r="K68" s="15"/>
      <c r="O68" s="15"/>
      <c r="S68" s="15"/>
      <c r="W68" s="15"/>
    </row>
    <row r="69" ht="15.75" customHeight="1">
      <c r="C69" s="15"/>
      <c r="F69" s="15"/>
      <c r="G69" s="111" t="s">
        <v>123</v>
      </c>
      <c r="H69" s="106">
        <f>$E$5</f>
        <v>24</v>
      </c>
      <c r="I69" s="106">
        <f t="shared" si="21"/>
        <v>530.25</v>
      </c>
      <c r="J69" s="90"/>
      <c r="K69" s="15"/>
      <c r="O69" s="15"/>
      <c r="S69" s="15"/>
      <c r="W69" s="15"/>
    </row>
    <row r="70" ht="15.75" customHeight="1">
      <c r="C70" s="15"/>
      <c r="F70" s="15"/>
      <c r="K70" s="15"/>
      <c r="O70" s="15"/>
      <c r="S70" s="15"/>
      <c r="W70" s="15"/>
    </row>
    <row r="71" ht="15.75" customHeight="1">
      <c r="C71" s="15"/>
      <c r="F71" s="15"/>
      <c r="K71" s="15"/>
      <c r="O71" s="15"/>
      <c r="S71" s="15"/>
      <c r="W71" s="15"/>
    </row>
    <row r="72" ht="15.75" customHeight="1">
      <c r="C72" s="15"/>
      <c r="F72" s="15"/>
      <c r="K72" s="15"/>
      <c r="O72" s="15"/>
      <c r="S72" s="15"/>
      <c r="W72" s="15"/>
    </row>
    <row r="73" ht="15.75" customHeight="1">
      <c r="C73" s="15"/>
      <c r="F73" s="15"/>
      <c r="K73" s="15"/>
      <c r="O73" s="15"/>
      <c r="S73" s="15"/>
      <c r="W73" s="15"/>
    </row>
    <row r="74" ht="15.75" customHeight="1">
      <c r="C74" s="15"/>
      <c r="F74" s="15"/>
      <c r="K74" s="15"/>
      <c r="O74" s="15"/>
      <c r="S74" s="15"/>
      <c r="W74" s="15"/>
    </row>
    <row r="75" ht="15.75" customHeight="1">
      <c r="C75" s="15"/>
      <c r="F75" s="15"/>
      <c r="K75" s="15"/>
      <c r="O75" s="15"/>
      <c r="S75" s="15"/>
      <c r="W75" s="15"/>
    </row>
    <row r="76" ht="15.75" customHeight="1">
      <c r="C76" s="15"/>
      <c r="F76" s="15"/>
      <c r="K76" s="15"/>
      <c r="O76" s="15"/>
      <c r="S76" s="15"/>
      <c r="W76" s="15"/>
    </row>
    <row r="77" ht="15.75" customHeight="1">
      <c r="C77" s="15"/>
      <c r="F77" s="15"/>
      <c r="K77" s="15"/>
      <c r="O77" s="15"/>
      <c r="S77" s="15"/>
      <c r="W77" s="15"/>
    </row>
    <row r="78" ht="15.75" customHeight="1">
      <c r="C78" s="15"/>
      <c r="F78" s="15"/>
      <c r="K78" s="15"/>
      <c r="O78" s="15"/>
      <c r="S78" s="15"/>
      <c r="W78" s="15"/>
    </row>
    <row r="79" ht="15.75" customHeight="1">
      <c r="C79" s="15"/>
      <c r="F79" s="15"/>
      <c r="K79" s="15"/>
      <c r="O79" s="15"/>
      <c r="S79" s="15"/>
      <c r="W79" s="15"/>
    </row>
    <row r="80" ht="15.75" customHeight="1">
      <c r="C80" s="15"/>
      <c r="F80" s="15"/>
      <c r="K80" s="15"/>
      <c r="O80" s="15"/>
      <c r="S80" s="15"/>
      <c r="W80" s="15"/>
    </row>
    <row r="81" ht="15.75" customHeight="1">
      <c r="C81" s="15"/>
      <c r="F81" s="15"/>
      <c r="K81" s="15"/>
      <c r="O81" s="15"/>
      <c r="S81" s="15"/>
      <c r="W81" s="15"/>
    </row>
    <row r="82" ht="15.75" customHeight="1">
      <c r="C82" s="15"/>
      <c r="F82" s="15"/>
      <c r="K82" s="15"/>
      <c r="O82" s="15"/>
      <c r="S82" s="15"/>
      <c r="W82" s="15"/>
    </row>
    <row r="83" ht="15.75" customHeight="1">
      <c r="C83" s="15"/>
      <c r="F83" s="15"/>
      <c r="K83" s="15"/>
      <c r="O83" s="15"/>
      <c r="S83" s="15"/>
      <c r="W83" s="15"/>
    </row>
    <row r="84" ht="15.75" customHeight="1">
      <c r="C84" s="15"/>
      <c r="F84" s="15"/>
      <c r="K84" s="15"/>
      <c r="O84" s="15"/>
      <c r="S84" s="15"/>
      <c r="W84" s="15"/>
    </row>
    <row r="85" ht="15.75" customHeight="1">
      <c r="C85" s="15"/>
      <c r="F85" s="15"/>
      <c r="K85" s="15"/>
      <c r="O85" s="15"/>
      <c r="S85" s="15"/>
      <c r="W85" s="15"/>
    </row>
    <row r="86" ht="15.75" customHeight="1">
      <c r="C86" s="15"/>
      <c r="F86" s="15"/>
      <c r="K86" s="15"/>
      <c r="O86" s="15"/>
      <c r="S86" s="15"/>
      <c r="W86" s="15"/>
    </row>
    <row r="87" ht="15.75" customHeight="1">
      <c r="C87" s="15"/>
      <c r="F87" s="15"/>
      <c r="K87" s="15"/>
      <c r="O87" s="15"/>
      <c r="S87" s="15"/>
      <c r="W87" s="15"/>
    </row>
    <row r="88" ht="15.75" customHeight="1">
      <c r="C88" s="15"/>
      <c r="F88" s="15"/>
      <c r="K88" s="15"/>
      <c r="O88" s="15"/>
      <c r="S88" s="15"/>
      <c r="W88" s="15"/>
    </row>
    <row r="89" ht="15.75" customHeight="1">
      <c r="C89" s="15"/>
      <c r="F89" s="15"/>
      <c r="K89" s="15"/>
      <c r="O89" s="15"/>
      <c r="S89" s="15"/>
      <c r="W89" s="15"/>
    </row>
    <row r="90" ht="15.75" customHeight="1">
      <c r="C90" s="15"/>
      <c r="F90" s="15"/>
      <c r="K90" s="15"/>
      <c r="O90" s="15"/>
      <c r="S90" s="15"/>
      <c r="W90" s="15"/>
    </row>
    <row r="91" ht="15.75" customHeight="1">
      <c r="C91" s="15"/>
      <c r="F91" s="15"/>
      <c r="K91" s="15"/>
      <c r="O91" s="15"/>
      <c r="S91" s="15"/>
      <c r="W91" s="15"/>
    </row>
    <row r="92" ht="15.75" customHeight="1">
      <c r="C92" s="15"/>
      <c r="F92" s="15"/>
      <c r="K92" s="15"/>
      <c r="O92" s="15"/>
      <c r="S92" s="15"/>
      <c r="W92" s="15"/>
    </row>
    <row r="93" ht="15.75" customHeight="1">
      <c r="C93" s="15"/>
      <c r="F93" s="15"/>
      <c r="K93" s="15"/>
      <c r="O93" s="15"/>
      <c r="S93" s="15"/>
      <c r="W93" s="15"/>
    </row>
    <row r="94" ht="15.75" customHeight="1">
      <c r="C94" s="15"/>
      <c r="F94" s="15"/>
      <c r="K94" s="15"/>
      <c r="O94" s="15"/>
      <c r="S94" s="15"/>
      <c r="W94" s="15"/>
    </row>
    <row r="95" ht="15.75" customHeight="1">
      <c r="C95" s="15"/>
      <c r="F95" s="15"/>
      <c r="K95" s="15"/>
      <c r="O95" s="15"/>
      <c r="S95" s="15"/>
      <c r="W95" s="15"/>
    </row>
    <row r="96" ht="15.75" customHeight="1">
      <c r="C96" s="15"/>
      <c r="F96" s="15"/>
      <c r="K96" s="15"/>
      <c r="O96" s="15"/>
      <c r="S96" s="15"/>
      <c r="W96" s="15"/>
    </row>
    <row r="97" ht="15.75" customHeight="1">
      <c r="C97" s="15"/>
      <c r="F97" s="15"/>
      <c r="K97" s="15"/>
      <c r="O97" s="15"/>
      <c r="S97" s="15"/>
      <c r="W97" s="15"/>
    </row>
    <row r="98" ht="15.75" customHeight="1">
      <c r="C98" s="15"/>
      <c r="F98" s="15"/>
      <c r="K98" s="15"/>
      <c r="O98" s="15"/>
      <c r="S98" s="15"/>
      <c r="W98" s="15"/>
    </row>
    <row r="99" ht="15.75" customHeight="1">
      <c r="C99" s="15"/>
      <c r="F99" s="15"/>
      <c r="K99" s="15"/>
      <c r="O99" s="15"/>
      <c r="S99" s="15"/>
      <c r="W99" s="15"/>
    </row>
    <row r="100" ht="15.75" customHeight="1">
      <c r="C100" s="15"/>
      <c r="F100" s="15"/>
      <c r="K100" s="15"/>
      <c r="O100" s="15"/>
      <c r="S100" s="15"/>
      <c r="W100" s="15"/>
    </row>
    <row r="101" ht="15.75" customHeight="1">
      <c r="C101" s="15"/>
      <c r="F101" s="15"/>
      <c r="K101" s="15"/>
      <c r="O101" s="15"/>
      <c r="S101" s="15"/>
      <c r="W101" s="15"/>
    </row>
    <row r="102" ht="15.75" customHeight="1">
      <c r="C102" s="15"/>
      <c r="F102" s="15"/>
      <c r="K102" s="15"/>
      <c r="O102" s="15"/>
      <c r="S102" s="15"/>
      <c r="W102" s="15"/>
    </row>
    <row r="103" ht="15.75" customHeight="1">
      <c r="C103" s="15"/>
      <c r="F103" s="15"/>
      <c r="K103" s="15"/>
      <c r="O103" s="15"/>
      <c r="S103" s="15"/>
      <c r="W103" s="15"/>
    </row>
    <row r="104" ht="15.75" customHeight="1">
      <c r="C104" s="15"/>
      <c r="F104" s="15"/>
      <c r="K104" s="15"/>
      <c r="O104" s="15"/>
      <c r="S104" s="15"/>
      <c r="W104" s="15"/>
    </row>
    <row r="105" ht="15.75" customHeight="1">
      <c r="C105" s="15"/>
      <c r="F105" s="15"/>
      <c r="K105" s="15"/>
      <c r="O105" s="15"/>
      <c r="S105" s="15"/>
      <c r="W105" s="15"/>
    </row>
    <row r="106" ht="15.75" customHeight="1">
      <c r="C106" s="15"/>
      <c r="F106" s="15"/>
      <c r="K106" s="15"/>
      <c r="O106" s="15"/>
      <c r="S106" s="15"/>
      <c r="W106" s="15"/>
    </row>
    <row r="107" ht="15.75" customHeight="1">
      <c r="C107" s="15"/>
      <c r="F107" s="15"/>
      <c r="K107" s="15"/>
      <c r="O107" s="15"/>
      <c r="S107" s="15"/>
      <c r="W107" s="15"/>
    </row>
    <row r="108" ht="15.75" customHeight="1">
      <c r="C108" s="15"/>
      <c r="F108" s="15"/>
      <c r="K108" s="15"/>
      <c r="O108" s="15"/>
      <c r="S108" s="15"/>
      <c r="W108" s="15"/>
    </row>
    <row r="109" ht="15.75" customHeight="1">
      <c r="C109" s="15"/>
      <c r="F109" s="15"/>
      <c r="K109" s="15"/>
      <c r="O109" s="15"/>
      <c r="S109" s="15"/>
      <c r="W109" s="15"/>
    </row>
    <row r="110" ht="15.75" customHeight="1">
      <c r="C110" s="15"/>
      <c r="F110" s="15"/>
      <c r="K110" s="15"/>
      <c r="O110" s="15"/>
      <c r="S110" s="15"/>
      <c r="W110" s="15"/>
    </row>
    <row r="111" ht="15.75" customHeight="1">
      <c r="C111" s="15"/>
      <c r="F111" s="15"/>
      <c r="K111" s="15"/>
      <c r="O111" s="15"/>
      <c r="S111" s="15"/>
      <c r="W111" s="15"/>
    </row>
    <row r="112" ht="15.75" customHeight="1">
      <c r="C112" s="15"/>
      <c r="F112" s="15"/>
      <c r="K112" s="15"/>
      <c r="O112" s="15"/>
      <c r="S112" s="15"/>
      <c r="W112" s="15"/>
    </row>
    <row r="113" ht="15.75" customHeight="1">
      <c r="C113" s="15"/>
      <c r="F113" s="15"/>
      <c r="K113" s="15"/>
      <c r="O113" s="15"/>
      <c r="S113" s="15"/>
      <c r="W113" s="15"/>
    </row>
    <row r="114" ht="15.75" customHeight="1">
      <c r="C114" s="15"/>
      <c r="F114" s="15"/>
      <c r="K114" s="15"/>
      <c r="O114" s="15"/>
      <c r="S114" s="15"/>
      <c r="W114" s="15"/>
    </row>
    <row r="115" ht="15.75" customHeight="1">
      <c r="C115" s="15"/>
      <c r="F115" s="15"/>
      <c r="K115" s="15"/>
      <c r="O115" s="15"/>
      <c r="S115" s="15"/>
      <c r="W115" s="15"/>
    </row>
    <row r="116" ht="15.75" customHeight="1">
      <c r="C116" s="15"/>
      <c r="F116" s="15"/>
      <c r="K116" s="15"/>
      <c r="O116" s="15"/>
      <c r="S116" s="15"/>
      <c r="W116" s="15"/>
    </row>
    <row r="117" ht="15.75" customHeight="1">
      <c r="C117" s="15"/>
      <c r="F117" s="15"/>
      <c r="K117" s="15"/>
      <c r="O117" s="15"/>
      <c r="S117" s="15"/>
      <c r="W117" s="15"/>
    </row>
    <row r="118" ht="15.75" customHeight="1">
      <c r="C118" s="15"/>
      <c r="F118" s="15"/>
      <c r="K118" s="15"/>
      <c r="O118" s="15"/>
      <c r="S118" s="15"/>
      <c r="W118" s="15"/>
    </row>
    <row r="119" ht="15.75" customHeight="1">
      <c r="C119" s="15"/>
      <c r="F119" s="15"/>
      <c r="K119" s="15"/>
      <c r="O119" s="15"/>
      <c r="S119" s="15"/>
      <c r="W119" s="15"/>
    </row>
    <row r="120" ht="15.75" customHeight="1">
      <c r="C120" s="15"/>
      <c r="F120" s="15"/>
      <c r="K120" s="15"/>
      <c r="O120" s="15"/>
      <c r="S120" s="15"/>
      <c r="W120" s="15"/>
    </row>
    <row r="121" ht="15.75" customHeight="1">
      <c r="C121" s="15"/>
      <c r="F121" s="15"/>
      <c r="K121" s="15"/>
      <c r="O121" s="15"/>
      <c r="S121" s="15"/>
      <c r="W121" s="15"/>
    </row>
    <row r="122" ht="15.75" customHeight="1">
      <c r="C122" s="15"/>
      <c r="F122" s="15"/>
      <c r="K122" s="15"/>
      <c r="O122" s="15"/>
      <c r="S122" s="15"/>
      <c r="W122" s="15"/>
    </row>
    <row r="123" ht="15.75" customHeight="1">
      <c r="C123" s="15"/>
      <c r="F123" s="15"/>
      <c r="K123" s="15"/>
      <c r="O123" s="15"/>
      <c r="S123" s="15"/>
      <c r="W123" s="15"/>
    </row>
    <row r="124" ht="15.75" customHeight="1">
      <c r="C124" s="15"/>
      <c r="F124" s="15"/>
      <c r="K124" s="15"/>
      <c r="O124" s="15"/>
      <c r="S124" s="15"/>
      <c r="W124" s="15"/>
    </row>
    <row r="125" ht="15.75" customHeight="1">
      <c r="C125" s="15"/>
      <c r="F125" s="15"/>
      <c r="K125" s="15"/>
      <c r="O125" s="15"/>
      <c r="S125" s="15"/>
      <c r="W125" s="15"/>
    </row>
    <row r="126" ht="15.75" customHeight="1">
      <c r="C126" s="15"/>
      <c r="F126" s="15"/>
      <c r="K126" s="15"/>
      <c r="O126" s="15"/>
      <c r="S126" s="15"/>
      <c r="W126" s="15"/>
    </row>
    <row r="127" ht="15.75" customHeight="1">
      <c r="C127" s="15"/>
      <c r="F127" s="15"/>
      <c r="K127" s="15"/>
      <c r="O127" s="15"/>
      <c r="S127" s="15"/>
      <c r="W127" s="15"/>
    </row>
    <row r="128" ht="15.75" customHeight="1">
      <c r="C128" s="15"/>
      <c r="F128" s="15"/>
      <c r="K128" s="15"/>
      <c r="O128" s="15"/>
      <c r="S128" s="15"/>
      <c r="W128" s="15"/>
    </row>
    <row r="129" ht="15.75" customHeight="1">
      <c r="C129" s="15"/>
      <c r="F129" s="15"/>
      <c r="K129" s="15"/>
      <c r="O129" s="15"/>
      <c r="S129" s="15"/>
      <c r="W129" s="15"/>
    </row>
    <row r="130" ht="15.75" customHeight="1">
      <c r="C130" s="15"/>
      <c r="F130" s="15"/>
      <c r="K130" s="15"/>
      <c r="O130" s="15"/>
      <c r="S130" s="15"/>
      <c r="W130" s="15"/>
    </row>
    <row r="131" ht="15.75" customHeight="1">
      <c r="C131" s="15"/>
      <c r="F131" s="15"/>
      <c r="K131" s="15"/>
      <c r="O131" s="15"/>
      <c r="S131" s="15"/>
      <c r="W131" s="15"/>
    </row>
    <row r="132" ht="15.75" customHeight="1">
      <c r="C132" s="15"/>
      <c r="F132" s="15"/>
      <c r="K132" s="15"/>
      <c r="O132" s="15"/>
      <c r="S132" s="15"/>
      <c r="W132" s="15"/>
    </row>
    <row r="133" ht="15.75" customHeight="1">
      <c r="C133" s="15"/>
      <c r="F133" s="15"/>
      <c r="K133" s="15"/>
      <c r="O133" s="15"/>
      <c r="S133" s="15"/>
      <c r="W133" s="15"/>
    </row>
    <row r="134" ht="15.75" customHeight="1">
      <c r="C134" s="15"/>
      <c r="F134" s="15"/>
      <c r="K134" s="15"/>
      <c r="O134" s="15"/>
      <c r="S134" s="15"/>
      <c r="W134" s="15"/>
    </row>
    <row r="135" ht="15.75" customHeight="1">
      <c r="C135" s="15"/>
      <c r="F135" s="15"/>
      <c r="K135" s="15"/>
      <c r="O135" s="15"/>
      <c r="S135" s="15"/>
      <c r="W135" s="15"/>
    </row>
    <row r="136" ht="15.75" customHeight="1">
      <c r="C136" s="15"/>
      <c r="F136" s="15"/>
      <c r="K136" s="15"/>
      <c r="O136" s="15"/>
      <c r="S136" s="15"/>
      <c r="W136" s="15"/>
    </row>
    <row r="137" ht="15.75" customHeight="1">
      <c r="C137" s="15"/>
      <c r="F137" s="15"/>
      <c r="K137" s="15"/>
      <c r="O137" s="15"/>
      <c r="S137" s="15"/>
      <c r="W137" s="15"/>
    </row>
    <row r="138" ht="15.75" customHeight="1">
      <c r="C138" s="15"/>
      <c r="F138" s="15"/>
      <c r="K138" s="15"/>
      <c r="O138" s="15"/>
      <c r="S138" s="15"/>
      <c r="W138" s="15"/>
    </row>
    <row r="139" ht="15.75" customHeight="1">
      <c r="C139" s="15"/>
      <c r="F139" s="15"/>
      <c r="K139" s="15"/>
      <c r="O139" s="15"/>
      <c r="S139" s="15"/>
      <c r="W139" s="15"/>
    </row>
    <row r="140" ht="15.75" customHeight="1">
      <c r="C140" s="15"/>
      <c r="F140" s="15"/>
      <c r="K140" s="15"/>
      <c r="O140" s="15"/>
      <c r="S140" s="15"/>
      <c r="W140" s="15"/>
    </row>
    <row r="141" ht="15.75" customHeight="1">
      <c r="C141" s="15"/>
      <c r="F141" s="15"/>
      <c r="K141" s="15"/>
      <c r="O141" s="15"/>
      <c r="S141" s="15"/>
      <c r="W141" s="15"/>
    </row>
    <row r="142" ht="15.75" customHeight="1">
      <c r="C142" s="15"/>
      <c r="F142" s="15"/>
      <c r="K142" s="15"/>
      <c r="O142" s="15"/>
      <c r="S142" s="15"/>
      <c r="W142" s="15"/>
    </row>
    <row r="143" ht="15.75" customHeight="1">
      <c r="C143" s="15"/>
      <c r="F143" s="15"/>
      <c r="K143" s="15"/>
      <c r="O143" s="15"/>
      <c r="S143" s="15"/>
      <c r="W143" s="15"/>
    </row>
    <row r="144" ht="15.75" customHeight="1">
      <c r="C144" s="15"/>
      <c r="F144" s="15"/>
      <c r="K144" s="15"/>
      <c r="O144" s="15"/>
      <c r="S144" s="15"/>
      <c r="W144" s="15"/>
    </row>
    <row r="145" ht="15.75" customHeight="1">
      <c r="C145" s="15"/>
      <c r="F145" s="15"/>
      <c r="K145" s="15"/>
      <c r="O145" s="15"/>
      <c r="S145" s="15"/>
      <c r="W145" s="15"/>
    </row>
    <row r="146" ht="15.75" customHeight="1">
      <c r="C146" s="15"/>
      <c r="F146" s="15"/>
      <c r="K146" s="15"/>
      <c r="O146" s="15"/>
      <c r="S146" s="15"/>
      <c r="W146" s="15"/>
    </row>
    <row r="147" ht="15.75" customHeight="1">
      <c r="C147" s="15"/>
      <c r="F147" s="15"/>
      <c r="K147" s="15"/>
      <c r="O147" s="15"/>
      <c r="S147" s="15"/>
      <c r="W147" s="15"/>
    </row>
    <row r="148" ht="15.75" customHeight="1">
      <c r="C148" s="15"/>
      <c r="F148" s="15"/>
      <c r="K148" s="15"/>
      <c r="O148" s="15"/>
      <c r="S148" s="15"/>
      <c r="W148" s="15"/>
    </row>
    <row r="149" ht="15.75" customHeight="1">
      <c r="C149" s="15"/>
      <c r="F149" s="15"/>
      <c r="K149" s="15"/>
      <c r="O149" s="15"/>
      <c r="S149" s="15"/>
      <c r="W149" s="15"/>
    </row>
    <row r="150" ht="15.75" customHeight="1">
      <c r="C150" s="15"/>
      <c r="F150" s="15"/>
      <c r="K150" s="15"/>
      <c r="O150" s="15"/>
      <c r="S150" s="15"/>
      <c r="W150" s="15"/>
    </row>
    <row r="151" ht="15.75" customHeight="1">
      <c r="C151" s="15"/>
      <c r="F151" s="15"/>
      <c r="K151" s="15"/>
      <c r="O151" s="15"/>
      <c r="S151" s="15"/>
      <c r="W151" s="15"/>
    </row>
    <row r="152" ht="15.75" customHeight="1">
      <c r="C152" s="15"/>
      <c r="F152" s="15"/>
      <c r="K152" s="15"/>
      <c r="O152" s="15"/>
      <c r="S152" s="15"/>
      <c r="W152" s="15"/>
    </row>
    <row r="153" ht="15.75" customHeight="1">
      <c r="C153" s="15"/>
      <c r="F153" s="15"/>
      <c r="K153" s="15"/>
      <c r="O153" s="15"/>
      <c r="S153" s="15"/>
      <c r="W153" s="15"/>
    </row>
    <row r="154" ht="15.75" customHeight="1">
      <c r="C154" s="15"/>
      <c r="F154" s="15"/>
      <c r="K154" s="15"/>
      <c r="O154" s="15"/>
      <c r="S154" s="15"/>
      <c r="W154" s="15"/>
    </row>
    <row r="155" ht="15.75" customHeight="1">
      <c r="C155" s="15"/>
      <c r="F155" s="15"/>
      <c r="K155" s="15"/>
      <c r="O155" s="15"/>
      <c r="S155" s="15"/>
      <c r="W155" s="15"/>
    </row>
    <row r="156" ht="15.75" customHeight="1">
      <c r="C156" s="15"/>
      <c r="F156" s="15"/>
      <c r="K156" s="15"/>
      <c r="O156" s="15"/>
      <c r="S156" s="15"/>
      <c r="W156" s="15"/>
    </row>
    <row r="157" ht="15.75" customHeight="1">
      <c r="C157" s="15"/>
      <c r="F157" s="15"/>
      <c r="K157" s="15"/>
      <c r="O157" s="15"/>
      <c r="S157" s="15"/>
      <c r="W157" s="15"/>
    </row>
    <row r="158" ht="15.75" customHeight="1">
      <c r="C158" s="15"/>
      <c r="F158" s="15"/>
      <c r="K158" s="15"/>
      <c r="O158" s="15"/>
      <c r="S158" s="15"/>
      <c r="W158" s="15"/>
    </row>
    <row r="159" ht="15.75" customHeight="1">
      <c r="C159" s="15"/>
      <c r="F159" s="15"/>
      <c r="K159" s="15"/>
      <c r="O159" s="15"/>
      <c r="S159" s="15"/>
      <c r="W159" s="15"/>
    </row>
    <row r="160" ht="15.75" customHeight="1">
      <c r="C160" s="15"/>
      <c r="F160" s="15"/>
      <c r="K160" s="15"/>
      <c r="O160" s="15"/>
      <c r="S160" s="15"/>
      <c r="W160" s="15"/>
    </row>
    <row r="161" ht="15.75" customHeight="1">
      <c r="C161" s="15"/>
      <c r="F161" s="15"/>
      <c r="K161" s="15"/>
      <c r="O161" s="15"/>
      <c r="S161" s="15"/>
      <c r="W161" s="15"/>
    </row>
    <row r="162" ht="15.75" customHeight="1">
      <c r="C162" s="15"/>
      <c r="F162" s="15"/>
      <c r="K162" s="15"/>
      <c r="O162" s="15"/>
      <c r="S162" s="15"/>
      <c r="W162" s="15"/>
    </row>
    <row r="163" ht="15.75" customHeight="1">
      <c r="C163" s="15"/>
      <c r="F163" s="15"/>
      <c r="K163" s="15"/>
      <c r="O163" s="15"/>
      <c r="S163" s="15"/>
      <c r="W163" s="15"/>
    </row>
    <row r="164" ht="15.75" customHeight="1">
      <c r="C164" s="15"/>
      <c r="F164" s="15"/>
      <c r="K164" s="15"/>
      <c r="O164" s="15"/>
      <c r="S164" s="15"/>
      <c r="W164" s="15"/>
    </row>
    <row r="165" ht="15.75" customHeight="1">
      <c r="C165" s="15"/>
      <c r="F165" s="15"/>
      <c r="K165" s="15"/>
      <c r="O165" s="15"/>
      <c r="S165" s="15"/>
      <c r="W165" s="15"/>
    </row>
    <row r="166" ht="15.75" customHeight="1">
      <c r="C166" s="15"/>
      <c r="F166" s="15"/>
      <c r="K166" s="15"/>
      <c r="O166" s="15"/>
      <c r="S166" s="15"/>
      <c r="W166" s="15"/>
    </row>
    <row r="167" ht="15.75" customHeight="1">
      <c r="C167" s="15"/>
      <c r="F167" s="15"/>
      <c r="K167" s="15"/>
      <c r="O167" s="15"/>
      <c r="S167" s="15"/>
      <c r="W167" s="15"/>
    </row>
    <row r="168" ht="15.75" customHeight="1">
      <c r="C168" s="15"/>
      <c r="F168" s="15"/>
      <c r="K168" s="15"/>
      <c r="O168" s="15"/>
      <c r="S168" s="15"/>
      <c r="W168" s="15"/>
    </row>
    <row r="169" ht="15.75" customHeight="1">
      <c r="C169" s="15"/>
      <c r="F169" s="15"/>
      <c r="K169" s="15"/>
      <c r="O169" s="15"/>
      <c r="S169" s="15"/>
      <c r="W169" s="15"/>
    </row>
    <row r="170" ht="15.75" customHeight="1">
      <c r="C170" s="15"/>
      <c r="F170" s="15"/>
      <c r="K170" s="15"/>
      <c r="O170" s="15"/>
      <c r="S170" s="15"/>
      <c r="W170" s="15"/>
    </row>
    <row r="171" ht="15.75" customHeight="1">
      <c r="C171" s="15"/>
      <c r="F171" s="15"/>
      <c r="K171" s="15"/>
      <c r="O171" s="15"/>
      <c r="S171" s="15"/>
      <c r="W171" s="15"/>
    </row>
    <row r="172" ht="15.75" customHeight="1">
      <c r="C172" s="15"/>
      <c r="F172" s="15"/>
      <c r="K172" s="15"/>
      <c r="O172" s="15"/>
      <c r="S172" s="15"/>
      <c r="W172" s="15"/>
    </row>
    <row r="173" ht="15.75" customHeight="1">
      <c r="C173" s="15"/>
      <c r="F173" s="15"/>
      <c r="K173" s="15"/>
      <c r="O173" s="15"/>
      <c r="S173" s="15"/>
      <c r="W173" s="15"/>
    </row>
    <row r="174" ht="15.75" customHeight="1">
      <c r="C174" s="15"/>
      <c r="F174" s="15"/>
      <c r="K174" s="15"/>
      <c r="O174" s="15"/>
      <c r="S174" s="15"/>
      <c r="W174" s="15"/>
    </row>
    <row r="175" ht="15.75" customHeight="1">
      <c r="C175" s="15"/>
      <c r="F175" s="15"/>
      <c r="K175" s="15"/>
      <c r="O175" s="15"/>
      <c r="S175" s="15"/>
      <c r="W175" s="15"/>
    </row>
    <row r="176" ht="15.75" customHeight="1">
      <c r="C176" s="15"/>
      <c r="F176" s="15"/>
      <c r="K176" s="15"/>
      <c r="O176" s="15"/>
      <c r="S176" s="15"/>
      <c r="W176" s="15"/>
    </row>
    <row r="177" ht="15.75" customHeight="1">
      <c r="C177" s="15"/>
      <c r="F177" s="15"/>
      <c r="K177" s="15"/>
      <c r="O177" s="15"/>
      <c r="S177" s="15"/>
      <c r="W177" s="15"/>
    </row>
    <row r="178" ht="15.75" customHeight="1">
      <c r="C178" s="15"/>
      <c r="F178" s="15"/>
      <c r="K178" s="15"/>
      <c r="O178" s="15"/>
      <c r="S178" s="15"/>
      <c r="W178" s="15"/>
    </row>
    <row r="179" ht="15.75" customHeight="1">
      <c r="C179" s="15"/>
      <c r="F179" s="15"/>
      <c r="K179" s="15"/>
      <c r="O179" s="15"/>
      <c r="S179" s="15"/>
      <c r="W179" s="15"/>
    </row>
    <row r="180" ht="15.75" customHeight="1">
      <c r="C180" s="15"/>
      <c r="F180" s="15"/>
      <c r="K180" s="15"/>
      <c r="O180" s="15"/>
      <c r="S180" s="15"/>
      <c r="W180" s="15"/>
    </row>
    <row r="181" ht="15.75" customHeight="1">
      <c r="C181" s="15"/>
      <c r="F181" s="15"/>
      <c r="K181" s="15"/>
      <c r="O181" s="15"/>
      <c r="S181" s="15"/>
      <c r="W181" s="15"/>
    </row>
    <row r="182" ht="15.75" customHeight="1">
      <c r="C182" s="15"/>
      <c r="F182" s="15"/>
      <c r="K182" s="15"/>
      <c r="O182" s="15"/>
      <c r="S182" s="15"/>
      <c r="W182" s="15"/>
    </row>
    <row r="183" ht="15.75" customHeight="1">
      <c r="C183" s="15"/>
      <c r="F183" s="15"/>
      <c r="K183" s="15"/>
      <c r="O183" s="15"/>
      <c r="S183" s="15"/>
      <c r="W183" s="15"/>
    </row>
    <row r="184" ht="15.75" customHeight="1">
      <c r="C184" s="15"/>
      <c r="F184" s="15"/>
      <c r="K184" s="15"/>
      <c r="O184" s="15"/>
      <c r="S184" s="15"/>
      <c r="W184" s="15"/>
    </row>
    <row r="185" ht="15.75" customHeight="1">
      <c r="C185" s="15"/>
      <c r="F185" s="15"/>
      <c r="K185" s="15"/>
      <c r="O185" s="15"/>
      <c r="S185" s="15"/>
      <c r="W185" s="15"/>
    </row>
    <row r="186" ht="15.75" customHeight="1">
      <c r="C186" s="15"/>
      <c r="F186" s="15"/>
      <c r="K186" s="15"/>
      <c r="O186" s="15"/>
      <c r="S186" s="15"/>
      <c r="W186" s="15"/>
    </row>
    <row r="187" ht="15.75" customHeight="1">
      <c r="C187" s="15"/>
      <c r="F187" s="15"/>
      <c r="K187" s="15"/>
      <c r="O187" s="15"/>
      <c r="S187" s="15"/>
      <c r="W187" s="15"/>
    </row>
    <row r="188" ht="15.75" customHeight="1">
      <c r="C188" s="15"/>
      <c r="F188" s="15"/>
      <c r="K188" s="15"/>
      <c r="O188" s="15"/>
      <c r="S188" s="15"/>
      <c r="W188" s="15"/>
    </row>
    <row r="189" ht="15.75" customHeight="1">
      <c r="C189" s="15"/>
      <c r="F189" s="15"/>
      <c r="K189" s="15"/>
      <c r="O189" s="15"/>
      <c r="S189" s="15"/>
      <c r="W189" s="15"/>
    </row>
    <row r="190" ht="15.75" customHeight="1">
      <c r="C190" s="15"/>
      <c r="F190" s="15"/>
      <c r="K190" s="15"/>
      <c r="O190" s="15"/>
      <c r="S190" s="15"/>
      <c r="W190" s="15"/>
    </row>
    <row r="191" ht="15.75" customHeight="1">
      <c r="C191" s="15"/>
      <c r="F191" s="15"/>
      <c r="K191" s="15"/>
      <c r="O191" s="15"/>
      <c r="S191" s="15"/>
      <c r="W191" s="15"/>
    </row>
    <row r="192" ht="15.75" customHeight="1">
      <c r="C192" s="15"/>
      <c r="F192" s="15"/>
      <c r="K192" s="15"/>
      <c r="O192" s="15"/>
      <c r="S192" s="15"/>
      <c r="W192" s="15"/>
    </row>
    <row r="193" ht="15.75" customHeight="1">
      <c r="C193" s="15"/>
      <c r="F193" s="15"/>
      <c r="K193" s="15"/>
      <c r="O193" s="15"/>
      <c r="S193" s="15"/>
      <c r="W193" s="15"/>
    </row>
    <row r="194" ht="15.75" customHeight="1">
      <c r="C194" s="15"/>
      <c r="F194" s="15"/>
      <c r="K194" s="15"/>
      <c r="O194" s="15"/>
      <c r="S194" s="15"/>
      <c r="W194" s="15"/>
    </row>
    <row r="195" ht="15.75" customHeight="1">
      <c r="C195" s="15"/>
      <c r="F195" s="15"/>
      <c r="K195" s="15"/>
      <c r="O195" s="15"/>
      <c r="S195" s="15"/>
      <c r="W195" s="15"/>
    </row>
    <row r="196" ht="15.75" customHeight="1">
      <c r="C196" s="15"/>
      <c r="F196" s="15"/>
      <c r="K196" s="15"/>
      <c r="O196" s="15"/>
      <c r="S196" s="15"/>
      <c r="W196" s="15"/>
    </row>
    <row r="197" ht="15.75" customHeight="1">
      <c r="C197" s="15"/>
      <c r="F197" s="15"/>
      <c r="K197" s="15"/>
      <c r="O197" s="15"/>
      <c r="S197" s="15"/>
      <c r="W197" s="15"/>
    </row>
    <row r="198" ht="15.75" customHeight="1">
      <c r="C198" s="15"/>
      <c r="F198" s="15"/>
      <c r="K198" s="15"/>
      <c r="O198" s="15"/>
      <c r="S198" s="15"/>
      <c r="W198" s="15"/>
    </row>
    <row r="199" ht="15.75" customHeight="1">
      <c r="C199" s="15"/>
      <c r="F199" s="15"/>
      <c r="K199" s="15"/>
      <c r="O199" s="15"/>
      <c r="S199" s="15"/>
      <c r="W199" s="15"/>
    </row>
    <row r="200" ht="15.75" customHeight="1">
      <c r="C200" s="15"/>
      <c r="F200" s="15"/>
      <c r="K200" s="15"/>
      <c r="O200" s="15"/>
      <c r="S200" s="15"/>
      <c r="W200" s="15"/>
    </row>
    <row r="201" ht="15.75" customHeight="1">
      <c r="C201" s="15"/>
      <c r="F201" s="15"/>
      <c r="K201" s="15"/>
      <c r="O201" s="15"/>
      <c r="S201" s="15"/>
      <c r="W201" s="15"/>
    </row>
    <row r="202" ht="15.75" customHeight="1">
      <c r="C202" s="15"/>
      <c r="F202" s="15"/>
      <c r="K202" s="15"/>
      <c r="O202" s="15"/>
      <c r="S202" s="15"/>
      <c r="W202" s="15"/>
    </row>
    <row r="203" ht="15.75" customHeight="1">
      <c r="C203" s="15"/>
      <c r="F203" s="15"/>
      <c r="K203" s="15"/>
      <c r="O203" s="15"/>
      <c r="S203" s="15"/>
      <c r="W203" s="15"/>
    </row>
    <row r="204" ht="15.75" customHeight="1">
      <c r="C204" s="15"/>
      <c r="F204" s="15"/>
      <c r="K204" s="15"/>
      <c r="O204" s="15"/>
      <c r="S204" s="15"/>
      <c r="W204" s="15"/>
    </row>
    <row r="205" ht="15.75" customHeight="1">
      <c r="C205" s="15"/>
      <c r="F205" s="15"/>
      <c r="K205" s="15"/>
      <c r="O205" s="15"/>
      <c r="S205" s="15"/>
      <c r="W205" s="15"/>
    </row>
    <row r="206" ht="15.75" customHeight="1">
      <c r="C206" s="15"/>
      <c r="F206" s="15"/>
      <c r="K206" s="15"/>
      <c r="O206" s="15"/>
      <c r="S206" s="15"/>
      <c r="W206" s="15"/>
    </row>
    <row r="207" ht="15.75" customHeight="1">
      <c r="C207" s="15"/>
      <c r="F207" s="15"/>
      <c r="K207" s="15"/>
      <c r="O207" s="15"/>
      <c r="S207" s="15"/>
      <c r="W207" s="15"/>
    </row>
    <row r="208" ht="15.75" customHeight="1">
      <c r="C208" s="15"/>
      <c r="F208" s="15"/>
      <c r="K208" s="15"/>
      <c r="O208" s="15"/>
      <c r="S208" s="15"/>
      <c r="W208" s="15"/>
    </row>
    <row r="209" ht="15.75" customHeight="1">
      <c r="C209" s="15"/>
      <c r="F209" s="15"/>
      <c r="K209" s="15"/>
      <c r="O209" s="15"/>
      <c r="S209" s="15"/>
      <c r="W209" s="15"/>
    </row>
    <row r="210" ht="15.75" customHeight="1">
      <c r="C210" s="15"/>
      <c r="F210" s="15"/>
      <c r="K210" s="15"/>
      <c r="O210" s="15"/>
      <c r="S210" s="15"/>
      <c r="W210" s="15"/>
    </row>
    <row r="211" ht="15.75" customHeight="1">
      <c r="C211" s="15"/>
      <c r="F211" s="15"/>
      <c r="K211" s="15"/>
      <c r="O211" s="15"/>
      <c r="S211" s="15"/>
      <c r="W211" s="15"/>
    </row>
    <row r="212" ht="15.75" customHeight="1">
      <c r="C212" s="15"/>
      <c r="F212" s="15"/>
      <c r="K212" s="15"/>
      <c r="O212" s="15"/>
      <c r="S212" s="15"/>
      <c r="W212" s="15"/>
    </row>
    <row r="213" ht="15.75" customHeight="1">
      <c r="C213" s="15"/>
      <c r="F213" s="15"/>
      <c r="K213" s="15"/>
      <c r="O213" s="15"/>
      <c r="S213" s="15"/>
      <c r="W213" s="15"/>
    </row>
    <row r="214" ht="15.75" customHeight="1">
      <c r="C214" s="15"/>
      <c r="F214" s="15"/>
      <c r="K214" s="15"/>
      <c r="O214" s="15"/>
      <c r="S214" s="15"/>
      <c r="W214" s="15"/>
    </row>
    <row r="215" ht="15.75" customHeight="1">
      <c r="C215" s="15"/>
      <c r="F215" s="15"/>
      <c r="K215" s="15"/>
      <c r="O215" s="15"/>
      <c r="S215" s="15"/>
      <c r="W215" s="15"/>
    </row>
    <row r="216" ht="15.75" customHeight="1">
      <c r="C216" s="15"/>
      <c r="F216" s="15"/>
      <c r="K216" s="15"/>
      <c r="O216" s="15"/>
      <c r="S216" s="15"/>
      <c r="W216" s="15"/>
    </row>
    <row r="217" ht="15.75" customHeight="1">
      <c r="C217" s="15"/>
      <c r="F217" s="15"/>
      <c r="K217" s="15"/>
      <c r="O217" s="15"/>
      <c r="S217" s="15"/>
      <c r="W217" s="15"/>
    </row>
    <row r="218" ht="15.75" customHeight="1">
      <c r="C218" s="15"/>
      <c r="F218" s="15"/>
      <c r="K218" s="15"/>
      <c r="O218" s="15"/>
      <c r="S218" s="15"/>
      <c r="W218" s="15"/>
    </row>
    <row r="219" ht="15.75" customHeight="1">
      <c r="C219" s="15"/>
      <c r="F219" s="15"/>
      <c r="K219" s="15"/>
      <c r="O219" s="15"/>
      <c r="S219" s="15"/>
      <c r="W219" s="15"/>
    </row>
    <row r="220" ht="15.75" customHeight="1">
      <c r="C220" s="15"/>
      <c r="F220" s="15"/>
      <c r="K220" s="15"/>
      <c r="O220" s="15"/>
      <c r="S220" s="15"/>
      <c r="W220" s="15"/>
    </row>
    <row r="221" ht="15.75" customHeight="1">
      <c r="C221" s="15"/>
      <c r="F221" s="15"/>
      <c r="K221" s="15"/>
      <c r="O221" s="15"/>
      <c r="S221" s="15"/>
      <c r="W221" s="15"/>
    </row>
    <row r="222" ht="15.75" customHeight="1">
      <c r="C222" s="15"/>
      <c r="F222" s="15"/>
      <c r="K222" s="15"/>
      <c r="O222" s="15"/>
      <c r="S222" s="15"/>
      <c r="W222" s="15"/>
    </row>
    <row r="223" ht="15.75" customHeight="1">
      <c r="C223" s="15"/>
      <c r="F223" s="15"/>
      <c r="K223" s="15"/>
      <c r="O223" s="15"/>
      <c r="S223" s="15"/>
      <c r="W223" s="15"/>
    </row>
    <row r="224" ht="15.75" customHeight="1">
      <c r="C224" s="15"/>
      <c r="F224" s="15"/>
      <c r="K224" s="15"/>
      <c r="O224" s="15"/>
      <c r="S224" s="15"/>
      <c r="W224" s="15"/>
    </row>
    <row r="225" ht="15.75" customHeight="1">
      <c r="C225" s="15"/>
      <c r="F225" s="15"/>
      <c r="K225" s="15"/>
      <c r="O225" s="15"/>
      <c r="S225" s="15"/>
      <c r="W225" s="15"/>
    </row>
    <row r="226" ht="15.75" customHeight="1">
      <c r="C226" s="15"/>
      <c r="F226" s="15"/>
      <c r="K226" s="15"/>
      <c r="O226" s="15"/>
      <c r="S226" s="15"/>
      <c r="W226" s="15"/>
    </row>
    <row r="227" ht="15.75" customHeight="1">
      <c r="C227" s="15"/>
      <c r="F227" s="15"/>
      <c r="K227" s="15"/>
      <c r="O227" s="15"/>
      <c r="S227" s="15"/>
      <c r="W227" s="15"/>
    </row>
    <row r="228" ht="15.75" customHeight="1">
      <c r="C228" s="15"/>
      <c r="F228" s="15"/>
      <c r="K228" s="15"/>
      <c r="O228" s="15"/>
      <c r="S228" s="15"/>
      <c r="W228" s="15"/>
    </row>
    <row r="229" ht="15.75" customHeight="1">
      <c r="C229" s="15"/>
      <c r="F229" s="15"/>
      <c r="K229" s="15"/>
      <c r="O229" s="15"/>
      <c r="S229" s="15"/>
      <c r="W229" s="15"/>
    </row>
    <row r="230" ht="15.75" customHeight="1">
      <c r="C230" s="15"/>
      <c r="F230" s="15"/>
      <c r="K230" s="15"/>
      <c r="O230" s="15"/>
      <c r="S230" s="15"/>
      <c r="W230" s="15"/>
    </row>
    <row r="231" ht="15.75" customHeight="1">
      <c r="C231" s="15"/>
      <c r="F231" s="15"/>
      <c r="K231" s="15"/>
      <c r="O231" s="15"/>
      <c r="S231" s="15"/>
      <c r="W231" s="15"/>
    </row>
    <row r="232" ht="15.75" customHeight="1">
      <c r="C232" s="15"/>
      <c r="F232" s="15"/>
      <c r="K232" s="15"/>
      <c r="O232" s="15"/>
      <c r="S232" s="15"/>
      <c r="W232" s="15"/>
    </row>
    <row r="233" ht="15.75" customHeight="1">
      <c r="C233" s="15"/>
      <c r="F233" s="15"/>
      <c r="K233" s="15"/>
      <c r="O233" s="15"/>
      <c r="S233" s="15"/>
      <c r="W233" s="15"/>
    </row>
    <row r="234" ht="15.75" customHeight="1">
      <c r="C234" s="15"/>
      <c r="F234" s="15"/>
      <c r="K234" s="15"/>
      <c r="O234" s="15"/>
      <c r="S234" s="15"/>
      <c r="W234" s="15"/>
    </row>
    <row r="235" ht="15.75" customHeight="1">
      <c r="C235" s="15"/>
      <c r="F235" s="15"/>
      <c r="K235" s="15"/>
      <c r="O235" s="15"/>
      <c r="S235" s="15"/>
      <c r="W235" s="15"/>
    </row>
    <row r="236" ht="15.75" customHeight="1">
      <c r="C236" s="15"/>
      <c r="F236" s="15"/>
      <c r="K236" s="15"/>
      <c r="O236" s="15"/>
      <c r="S236" s="15"/>
      <c r="W236" s="15"/>
    </row>
    <row r="237" ht="15.75" customHeight="1">
      <c r="C237" s="15"/>
      <c r="F237" s="15"/>
      <c r="K237" s="15"/>
      <c r="O237" s="15"/>
      <c r="S237" s="15"/>
      <c r="W237" s="15"/>
    </row>
    <row r="238" ht="15.75" customHeight="1">
      <c r="C238" s="15"/>
      <c r="F238" s="15"/>
      <c r="K238" s="15"/>
      <c r="O238" s="15"/>
      <c r="S238" s="15"/>
      <c r="W238" s="15"/>
    </row>
    <row r="239" ht="15.75" customHeight="1">
      <c r="C239" s="15"/>
      <c r="F239" s="15"/>
      <c r="K239" s="15"/>
      <c r="O239" s="15"/>
      <c r="S239" s="15"/>
      <c r="W239" s="15"/>
    </row>
    <row r="240" ht="15.75" customHeight="1">
      <c r="C240" s="15"/>
      <c r="F240" s="15"/>
      <c r="K240" s="15"/>
      <c r="O240" s="15"/>
      <c r="S240" s="15"/>
      <c r="W240" s="15"/>
    </row>
    <row r="241" ht="15.75" customHeight="1">
      <c r="C241" s="15"/>
      <c r="F241" s="15"/>
      <c r="K241" s="15"/>
      <c r="O241" s="15"/>
      <c r="S241" s="15"/>
      <c r="W241" s="15"/>
    </row>
    <row r="242" ht="15.75" customHeight="1">
      <c r="C242" s="15"/>
      <c r="F242" s="15"/>
      <c r="K242" s="15"/>
      <c r="O242" s="15"/>
      <c r="S242" s="15"/>
      <c r="W242" s="15"/>
    </row>
    <row r="243" ht="15.75" customHeight="1">
      <c r="C243" s="15"/>
      <c r="F243" s="15"/>
      <c r="K243" s="15"/>
      <c r="O243" s="15"/>
      <c r="S243" s="15"/>
      <c r="W243" s="15"/>
    </row>
    <row r="244" ht="15.75" customHeight="1">
      <c r="C244" s="15"/>
      <c r="F244" s="15"/>
      <c r="K244" s="15"/>
      <c r="O244" s="15"/>
      <c r="S244" s="15"/>
      <c r="W244" s="15"/>
    </row>
    <row r="245" ht="15.75" customHeight="1">
      <c r="C245" s="15"/>
      <c r="F245" s="15"/>
      <c r="K245" s="15"/>
      <c r="O245" s="15"/>
      <c r="S245" s="15"/>
      <c r="W245" s="15"/>
    </row>
    <row r="246" ht="15.75" customHeight="1">
      <c r="C246" s="15"/>
      <c r="F246" s="15"/>
      <c r="K246" s="15"/>
      <c r="O246" s="15"/>
      <c r="S246" s="15"/>
      <c r="W246" s="15"/>
    </row>
    <row r="247" ht="15.75" customHeight="1">
      <c r="C247" s="15"/>
      <c r="F247" s="15"/>
      <c r="K247" s="15"/>
      <c r="O247" s="15"/>
      <c r="S247" s="15"/>
      <c r="W247" s="15"/>
    </row>
    <row r="248" ht="15.75" customHeight="1">
      <c r="C248" s="15"/>
      <c r="F248" s="15"/>
      <c r="K248" s="15"/>
      <c r="O248" s="15"/>
      <c r="S248" s="15"/>
      <c r="W248" s="15"/>
    </row>
    <row r="249" ht="15.75" customHeight="1">
      <c r="C249" s="15"/>
      <c r="F249" s="15"/>
      <c r="K249" s="15"/>
      <c r="O249" s="15"/>
      <c r="S249" s="15"/>
      <c r="W249" s="15"/>
    </row>
    <row r="250" ht="15.75" customHeight="1">
      <c r="C250" s="15"/>
      <c r="F250" s="15"/>
      <c r="K250" s="15"/>
      <c r="O250" s="15"/>
      <c r="S250" s="15"/>
      <c r="W250" s="15"/>
    </row>
    <row r="251" ht="15.75" customHeight="1">
      <c r="C251" s="15"/>
      <c r="F251" s="15"/>
      <c r="K251" s="15"/>
      <c r="O251" s="15"/>
      <c r="S251" s="15"/>
      <c r="W251" s="15"/>
    </row>
    <row r="252" ht="15.75" customHeight="1">
      <c r="C252" s="15"/>
      <c r="F252" s="15"/>
      <c r="K252" s="15"/>
      <c r="O252" s="15"/>
      <c r="S252" s="15"/>
      <c r="W252" s="15"/>
    </row>
    <row r="253" ht="15.75" customHeight="1">
      <c r="C253" s="15"/>
      <c r="F253" s="15"/>
      <c r="K253" s="15"/>
      <c r="O253" s="15"/>
      <c r="S253" s="15"/>
      <c r="W253" s="15"/>
    </row>
    <row r="254" ht="15.75" customHeight="1">
      <c r="C254" s="15"/>
      <c r="F254" s="15"/>
      <c r="K254" s="15"/>
      <c r="O254" s="15"/>
      <c r="S254" s="15"/>
      <c r="W254" s="15"/>
    </row>
    <row r="255" ht="15.75" customHeight="1">
      <c r="C255" s="15"/>
      <c r="F255" s="15"/>
      <c r="K255" s="15"/>
      <c r="O255" s="15"/>
      <c r="S255" s="15"/>
      <c r="W255" s="15"/>
    </row>
    <row r="256" ht="15.75" customHeight="1">
      <c r="C256" s="15"/>
      <c r="F256" s="15"/>
      <c r="K256" s="15"/>
      <c r="O256" s="15"/>
      <c r="S256" s="15"/>
      <c r="W256" s="15"/>
    </row>
    <row r="257" ht="15.75" customHeight="1">
      <c r="C257" s="15"/>
      <c r="F257" s="15"/>
      <c r="K257" s="15"/>
      <c r="O257" s="15"/>
      <c r="S257" s="15"/>
      <c r="W257" s="15"/>
    </row>
    <row r="258" ht="15.75" customHeight="1">
      <c r="C258" s="15"/>
      <c r="F258" s="15"/>
      <c r="K258" s="15"/>
      <c r="O258" s="15"/>
      <c r="S258" s="15"/>
      <c r="W258" s="15"/>
    </row>
    <row r="259" ht="15.75" customHeight="1">
      <c r="C259" s="15"/>
      <c r="F259" s="15"/>
      <c r="K259" s="15"/>
      <c r="O259" s="15"/>
      <c r="S259" s="15"/>
      <c r="W259" s="15"/>
    </row>
    <row r="260" ht="15.75" customHeight="1">
      <c r="C260" s="15"/>
      <c r="F260" s="15"/>
      <c r="K260" s="15"/>
      <c r="O260" s="15"/>
      <c r="S260" s="15"/>
      <c r="W260" s="15"/>
    </row>
    <row r="261" ht="15.75" customHeight="1">
      <c r="C261" s="15"/>
      <c r="F261" s="15"/>
      <c r="K261" s="15"/>
      <c r="O261" s="15"/>
      <c r="S261" s="15"/>
      <c r="W261" s="15"/>
    </row>
    <row r="262" ht="15.75" customHeight="1">
      <c r="C262" s="15"/>
      <c r="F262" s="15"/>
      <c r="K262" s="15"/>
      <c r="O262" s="15"/>
      <c r="S262" s="15"/>
      <c r="W262" s="15"/>
    </row>
    <row r="263" ht="15.75" customHeight="1">
      <c r="C263" s="15"/>
      <c r="F263" s="15"/>
      <c r="K263" s="15"/>
      <c r="O263" s="15"/>
      <c r="S263" s="15"/>
      <c r="W263" s="15"/>
    </row>
    <row r="264" ht="15.75" customHeight="1">
      <c r="C264" s="15"/>
      <c r="F264" s="15"/>
      <c r="K264" s="15"/>
      <c r="O264" s="15"/>
      <c r="S264" s="15"/>
      <c r="W264" s="15"/>
    </row>
    <row r="265" ht="15.75" customHeight="1">
      <c r="C265" s="15"/>
      <c r="F265" s="15"/>
      <c r="K265" s="15"/>
      <c r="O265" s="15"/>
      <c r="S265" s="15"/>
      <c r="W265" s="15"/>
    </row>
    <row r="266" ht="15.75" customHeight="1">
      <c r="C266" s="15"/>
      <c r="F266" s="15"/>
      <c r="K266" s="15"/>
      <c r="O266" s="15"/>
      <c r="S266" s="15"/>
      <c r="W266" s="15"/>
    </row>
    <row r="267" ht="15.75" customHeight="1">
      <c r="C267" s="15"/>
      <c r="F267" s="15"/>
      <c r="K267" s="15"/>
      <c r="O267" s="15"/>
      <c r="S267" s="15"/>
      <c r="W267" s="15"/>
    </row>
    <row r="268" ht="15.75" customHeight="1">
      <c r="C268" s="15"/>
      <c r="F268" s="15"/>
      <c r="K268" s="15"/>
      <c r="O268" s="15"/>
      <c r="S268" s="15"/>
      <c r="W268" s="15"/>
    </row>
    <row r="269" ht="15.75" customHeight="1">
      <c r="C269" s="15"/>
      <c r="F269" s="15"/>
      <c r="K269" s="15"/>
      <c r="O269" s="15"/>
      <c r="S269" s="15"/>
      <c r="W269" s="15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L1:N1"/>
    <mergeCell ref="L2:N2"/>
    <mergeCell ref="T1:V1"/>
    <mergeCell ref="T2:V2"/>
    <mergeCell ref="A1:E1"/>
    <mergeCell ref="G1:J1"/>
    <mergeCell ref="P1:R1"/>
    <mergeCell ref="A2:B2"/>
    <mergeCell ref="D2:E2"/>
    <mergeCell ref="G2:J2"/>
    <mergeCell ref="P2:R2"/>
    <mergeCell ref="A9:B9"/>
    <mergeCell ref="A10:B10"/>
    <mergeCell ref="D12:E12"/>
    <mergeCell ref="G12:J12"/>
    <mergeCell ref="L12:N12"/>
    <mergeCell ref="P12:R12"/>
    <mergeCell ref="T12:V12"/>
    <mergeCell ref="A3:B3"/>
    <mergeCell ref="A4:B4"/>
    <mergeCell ref="A5:B5"/>
    <mergeCell ref="A6:B6"/>
    <mergeCell ref="A7:B7"/>
    <mergeCell ref="D7:E7"/>
    <mergeCell ref="A8:B8"/>
    <mergeCell ref="G32:J32"/>
    <mergeCell ref="G42:J42"/>
    <mergeCell ref="G52:J52"/>
    <mergeCell ref="G62:J62"/>
    <mergeCell ref="D17:E17"/>
    <mergeCell ref="G22:J22"/>
    <mergeCell ref="L22:N22"/>
    <mergeCell ref="P22:R22"/>
    <mergeCell ref="T22:V22"/>
    <mergeCell ref="L32:N32"/>
    <mergeCell ref="P32:R32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5.38"/>
    <col customWidth="1" min="3" max="3" width="1.88"/>
    <col customWidth="1" min="4" max="4" width="15.38"/>
    <col customWidth="1" min="5" max="5" width="9.0"/>
    <col customWidth="1" min="6" max="6" width="1.88"/>
    <col customWidth="1" min="14" max="14" width="1.88"/>
    <col customWidth="1" min="22" max="22" width="1.88"/>
    <col customWidth="1" min="30" max="30" width="1.88"/>
    <col customWidth="1" min="38" max="38" width="1.88"/>
  </cols>
  <sheetData>
    <row r="1" ht="15.75" customHeight="1">
      <c r="A1" s="14" t="s">
        <v>138</v>
      </c>
      <c r="F1" s="15"/>
      <c r="G1" s="14" t="s">
        <v>319</v>
      </c>
      <c r="N1" s="15"/>
      <c r="O1" s="14" t="s">
        <v>319</v>
      </c>
      <c r="V1" s="15"/>
      <c r="W1" s="14" t="s">
        <v>319</v>
      </c>
      <c r="AD1" s="15"/>
      <c r="AE1" s="14" t="s">
        <v>320</v>
      </c>
      <c r="AL1" s="15"/>
    </row>
    <row r="2" ht="15.75" customHeight="1">
      <c r="A2" s="43" t="s">
        <v>142</v>
      </c>
      <c r="B2" s="27"/>
      <c r="C2" s="15"/>
      <c r="D2" s="43" t="s">
        <v>143</v>
      </c>
      <c r="E2" s="27"/>
      <c r="F2" s="15"/>
      <c r="G2" s="16" t="s">
        <v>321</v>
      </c>
      <c r="N2" s="15"/>
      <c r="O2" s="16" t="s">
        <v>322</v>
      </c>
      <c r="V2" s="15"/>
      <c r="W2" s="16" t="s">
        <v>323</v>
      </c>
      <c r="AD2" s="15"/>
      <c r="AE2" s="1"/>
      <c r="AF2" s="1"/>
      <c r="AG2" s="1"/>
      <c r="AH2" s="1"/>
      <c r="AI2" s="1"/>
      <c r="AJ2" s="1"/>
      <c r="AK2" s="1"/>
      <c r="AL2" s="15"/>
    </row>
    <row r="3" ht="15.75" customHeight="1">
      <c r="A3" s="87" t="s">
        <v>144</v>
      </c>
      <c r="C3" s="15"/>
      <c r="D3" s="5" t="s">
        <v>61</v>
      </c>
      <c r="E3" s="44" t="s">
        <v>145</v>
      </c>
      <c r="F3" s="15"/>
      <c r="G3" s="88">
        <v>3.0</v>
      </c>
      <c r="H3" s="90" t="s">
        <v>324</v>
      </c>
      <c r="I3" s="90" t="s">
        <v>325</v>
      </c>
      <c r="J3" s="90" t="s">
        <v>307</v>
      </c>
      <c r="K3" s="90" t="s">
        <v>312</v>
      </c>
      <c r="L3" s="90" t="s">
        <v>266</v>
      </c>
      <c r="M3" s="90" t="s">
        <v>326</v>
      </c>
      <c r="N3" s="15"/>
      <c r="O3" s="21"/>
      <c r="P3" s="90" t="s">
        <v>324</v>
      </c>
      <c r="Q3" s="90" t="s">
        <v>325</v>
      </c>
      <c r="R3" s="90" t="s">
        <v>307</v>
      </c>
      <c r="S3" s="90" t="s">
        <v>312</v>
      </c>
      <c r="T3" s="90" t="s">
        <v>266</v>
      </c>
      <c r="U3" s="90" t="s">
        <v>326</v>
      </c>
      <c r="V3" s="15"/>
      <c r="W3" s="14" t="s">
        <v>327</v>
      </c>
      <c r="X3" s="90" t="s">
        <v>324</v>
      </c>
      <c r="Y3" s="90" t="s">
        <v>325</v>
      </c>
      <c r="Z3" s="90" t="s">
        <v>307</v>
      </c>
      <c r="AA3" s="90" t="s">
        <v>312</v>
      </c>
      <c r="AB3" s="90" t="s">
        <v>266</v>
      </c>
      <c r="AC3" s="90" t="s">
        <v>326</v>
      </c>
      <c r="AD3" s="15"/>
      <c r="AE3" s="1"/>
      <c r="AF3" s="1"/>
      <c r="AG3" s="1"/>
      <c r="AH3" s="1"/>
      <c r="AI3" s="1"/>
      <c r="AJ3" s="1"/>
      <c r="AK3" s="1"/>
      <c r="AL3" s="15"/>
    </row>
    <row r="4" ht="15.75" customHeight="1">
      <c r="A4" s="93" t="s">
        <v>153</v>
      </c>
      <c r="C4" s="15"/>
      <c r="D4" s="2" t="s">
        <v>59</v>
      </c>
      <c r="E4" s="49">
        <f>'Distance Cost Calculator'!H16/'Distance Cost Calculator'!B14</f>
        <v>40</v>
      </c>
      <c r="F4" s="15"/>
      <c r="G4" s="126" t="s">
        <v>328</v>
      </c>
      <c r="H4" s="26"/>
      <c r="I4" s="26"/>
      <c r="J4" s="26"/>
      <c r="K4" s="26"/>
      <c r="L4" s="26"/>
      <c r="M4" s="27"/>
      <c r="N4" s="15"/>
      <c r="O4" s="126" t="s">
        <v>328</v>
      </c>
      <c r="P4" s="26"/>
      <c r="Q4" s="26"/>
      <c r="R4" s="26"/>
      <c r="S4" s="26"/>
      <c r="T4" s="26"/>
      <c r="U4" s="27"/>
      <c r="V4" s="15"/>
      <c r="W4" s="90" t="s">
        <v>15</v>
      </c>
      <c r="X4" s="101">
        <f t="shared" ref="X4:AC4" si="1">P16</f>
        <v>439.2</v>
      </c>
      <c r="Y4" s="101">
        <f t="shared" si="1"/>
        <v>648</v>
      </c>
      <c r="Z4" s="101">
        <f t="shared" si="1"/>
        <v>183.15</v>
      </c>
      <c r="AA4" s="101">
        <f t="shared" si="1"/>
        <v>298.8</v>
      </c>
      <c r="AB4" s="101">
        <f t="shared" si="1"/>
        <v>178.2</v>
      </c>
      <c r="AC4" s="101">
        <f t="shared" si="1"/>
        <v>102.6</v>
      </c>
      <c r="AD4" s="15"/>
      <c r="AE4" s="1"/>
      <c r="AF4" s="1"/>
      <c r="AG4" s="1"/>
      <c r="AH4" s="1"/>
      <c r="AI4" s="1"/>
      <c r="AJ4" s="1"/>
      <c r="AK4" s="1"/>
      <c r="AL4" s="15"/>
    </row>
    <row r="5" ht="15.75" customHeight="1">
      <c r="A5" s="96" t="s">
        <v>157</v>
      </c>
      <c r="C5" s="15"/>
      <c r="D5" s="20" t="s">
        <v>71</v>
      </c>
      <c r="E5" s="49">
        <f>'Distance Cost Calculator'!H17/'Distance Cost Calculator'!B14</f>
        <v>24</v>
      </c>
      <c r="F5" s="15"/>
      <c r="G5" s="90" t="s">
        <v>158</v>
      </c>
      <c r="H5" s="101" t="s">
        <v>329</v>
      </c>
      <c r="I5" s="101" t="s">
        <v>329</v>
      </c>
      <c r="J5" s="101" t="s">
        <v>329</v>
      </c>
      <c r="K5" s="101" t="s">
        <v>329</v>
      </c>
      <c r="L5" s="101" t="s">
        <v>329</v>
      </c>
      <c r="M5" s="101" t="s">
        <v>329</v>
      </c>
      <c r="N5" s="15"/>
      <c r="O5" s="90" t="s">
        <v>158</v>
      </c>
      <c r="P5" s="101" t="s">
        <v>329</v>
      </c>
      <c r="Q5" s="101" t="s">
        <v>329</v>
      </c>
      <c r="R5" s="101" t="s">
        <v>329</v>
      </c>
      <c r="S5" s="101" t="s">
        <v>329</v>
      </c>
      <c r="T5" s="101" t="s">
        <v>329</v>
      </c>
      <c r="U5" s="101" t="s">
        <v>329</v>
      </c>
      <c r="V5" s="15"/>
      <c r="W5" s="90" t="s">
        <v>16</v>
      </c>
      <c r="X5" s="101">
        <f t="shared" ref="X5:AC5" si="2">P26</f>
        <v>146.4</v>
      </c>
      <c r="Y5" s="101">
        <f t="shared" si="2"/>
        <v>216</v>
      </c>
      <c r="Z5" s="101">
        <f t="shared" si="2"/>
        <v>61.05</v>
      </c>
      <c r="AA5" s="101">
        <f t="shared" si="2"/>
        <v>99.6</v>
      </c>
      <c r="AB5" s="101">
        <f t="shared" si="2"/>
        <v>59.4</v>
      </c>
      <c r="AC5" s="101">
        <f t="shared" si="2"/>
        <v>34.2</v>
      </c>
      <c r="AD5" s="15"/>
      <c r="AE5" s="1"/>
      <c r="AF5" s="1"/>
      <c r="AG5" s="1"/>
      <c r="AH5" s="1"/>
      <c r="AI5" s="1"/>
      <c r="AJ5" s="1"/>
      <c r="AK5" s="1"/>
      <c r="AL5" s="15"/>
    </row>
    <row r="6" ht="15.75" customHeight="1">
      <c r="A6" s="99" t="s">
        <v>161</v>
      </c>
      <c r="C6" s="15"/>
      <c r="D6" s="2" t="s">
        <v>72</v>
      </c>
      <c r="E6" s="49">
        <f>'Distance Cost Calculator'!H18/'Distance Cost Calculator'!B14</f>
        <v>36</v>
      </c>
      <c r="F6" s="15"/>
      <c r="G6" s="100" t="s">
        <v>162</v>
      </c>
      <c r="H6" s="101">
        <f>'Ore Base Price Calculator'!$I$16*$G$3</f>
        <v>292.8</v>
      </c>
      <c r="I6" s="101">
        <f>'Ore Base Price Calculator'!$J$16*$G$3</f>
        <v>432</v>
      </c>
      <c r="J6" s="101">
        <f>'Ore Base Price Calculator'!$N$16*$G$3</f>
        <v>122.1</v>
      </c>
      <c r="K6" s="101">
        <f>'Ore Base Price Calculator'!$I$26*$G$3</f>
        <v>199.2</v>
      </c>
      <c r="L6" s="101">
        <f>'Ore Base Price Calculator'!$I$46*$G$3</f>
        <v>118.8</v>
      </c>
      <c r="M6" s="101">
        <f>'Ore Base Price Calculator'!$I$36*$G$3</f>
        <v>68.4</v>
      </c>
      <c r="N6" s="15"/>
      <c r="O6" s="100" t="s">
        <v>162</v>
      </c>
      <c r="P6" s="101">
        <f t="shared" ref="P6:U6" si="3">H6+H16+H26+H36</f>
        <v>2635.2</v>
      </c>
      <c r="Q6" s="101">
        <f t="shared" si="3"/>
        <v>3888</v>
      </c>
      <c r="R6" s="101">
        <f t="shared" si="3"/>
        <v>1098.9</v>
      </c>
      <c r="S6" s="101">
        <f t="shared" si="3"/>
        <v>1792.8</v>
      </c>
      <c r="T6" s="101">
        <f t="shared" si="3"/>
        <v>1069.2</v>
      </c>
      <c r="U6" s="101">
        <f t="shared" si="3"/>
        <v>615.6</v>
      </c>
      <c r="V6" s="15"/>
      <c r="W6" s="90" t="s">
        <v>17</v>
      </c>
      <c r="X6" s="101">
        <f t="shared" ref="X6:AC6" si="4">P36</f>
        <v>109.8</v>
      </c>
      <c r="Y6" s="101">
        <f t="shared" si="4"/>
        <v>162</v>
      </c>
      <c r="Z6" s="101">
        <f t="shared" si="4"/>
        <v>45.7875</v>
      </c>
      <c r="AA6" s="101">
        <f t="shared" si="4"/>
        <v>74.7</v>
      </c>
      <c r="AB6" s="101">
        <f t="shared" si="4"/>
        <v>44.55</v>
      </c>
      <c r="AC6" s="101">
        <f t="shared" si="4"/>
        <v>25.65</v>
      </c>
      <c r="AD6" s="15"/>
      <c r="AE6" s="1"/>
      <c r="AF6" s="1"/>
      <c r="AG6" s="1"/>
      <c r="AH6" s="1"/>
      <c r="AI6" s="1"/>
      <c r="AJ6" s="1"/>
      <c r="AK6" s="1"/>
      <c r="AL6" s="15"/>
    </row>
    <row r="7" ht="15.75" customHeight="1">
      <c r="A7" s="104" t="s">
        <v>163</v>
      </c>
      <c r="C7" s="15"/>
      <c r="D7" s="43" t="s">
        <v>164</v>
      </c>
      <c r="E7" s="27"/>
      <c r="F7" s="15"/>
      <c r="G7" s="105" t="s">
        <v>165</v>
      </c>
      <c r="H7" s="101">
        <f>'Ore Base Price Calculator'!$I$17*$G$3</f>
        <v>292.8</v>
      </c>
      <c r="I7" s="101">
        <f>'Ore Base Price Calculator'!$J$17*$G$3</f>
        <v>432</v>
      </c>
      <c r="J7" s="101">
        <f>'Ore Base Price Calculator'!$N$17*$G$3</f>
        <v>255.3</v>
      </c>
      <c r="K7" s="101">
        <f>'Ore Base Price Calculator'!$I$27*$G$3</f>
        <v>79.2</v>
      </c>
      <c r="L7" s="101">
        <f>'Ore Base Price Calculator'!$I$47*$G$3</f>
        <v>154.8</v>
      </c>
      <c r="M7" s="101">
        <f>'Ore Base Price Calculator'!$I$37*$G$3</f>
        <v>188.4</v>
      </c>
      <c r="N7" s="15"/>
      <c r="O7" s="105" t="s">
        <v>165</v>
      </c>
      <c r="P7" s="101">
        <f t="shared" ref="P7:U7" si="5">H7+H17+H27+H37</f>
        <v>2635.2</v>
      </c>
      <c r="Q7" s="101">
        <f t="shared" si="5"/>
        <v>3888</v>
      </c>
      <c r="R7" s="101">
        <f t="shared" si="5"/>
        <v>2297.7</v>
      </c>
      <c r="S7" s="101">
        <f t="shared" si="5"/>
        <v>712.8</v>
      </c>
      <c r="T7" s="101">
        <f t="shared" si="5"/>
        <v>1393.2</v>
      </c>
      <c r="U7" s="101">
        <f t="shared" si="5"/>
        <v>1695.6</v>
      </c>
      <c r="V7" s="15"/>
      <c r="W7" s="90" t="s">
        <v>18</v>
      </c>
      <c r="X7" s="101">
        <f t="shared" ref="X7:AC7" si="6">P46</f>
        <v>73.2</v>
      </c>
      <c r="Y7" s="101">
        <f t="shared" si="6"/>
        <v>108</v>
      </c>
      <c r="Z7" s="101">
        <f t="shared" si="6"/>
        <v>30.525</v>
      </c>
      <c r="AA7" s="101">
        <f t="shared" si="6"/>
        <v>49.8</v>
      </c>
      <c r="AB7" s="101">
        <f t="shared" si="6"/>
        <v>29.7</v>
      </c>
      <c r="AC7" s="101">
        <f t="shared" si="6"/>
        <v>17.1</v>
      </c>
      <c r="AD7" s="15"/>
      <c r="AE7" s="1"/>
      <c r="AF7" s="1"/>
      <c r="AG7" s="1"/>
      <c r="AH7" s="1"/>
      <c r="AI7" s="1"/>
      <c r="AJ7" s="1"/>
      <c r="AK7" s="1"/>
      <c r="AL7" s="15"/>
    </row>
    <row r="8" ht="15.75" customHeight="1">
      <c r="A8" s="88" t="s">
        <v>166</v>
      </c>
      <c r="C8" s="15"/>
      <c r="D8" s="5" t="s">
        <v>61</v>
      </c>
      <c r="E8" s="44" t="s">
        <v>145</v>
      </c>
      <c r="F8" s="15"/>
      <c r="G8" s="108" t="s">
        <v>167</v>
      </c>
      <c r="H8" s="101">
        <f>'Ore Base Price Calculator'!$I$18*$G$3</f>
        <v>328.8</v>
      </c>
      <c r="I8" s="101">
        <f>'Ore Base Price Calculator'!$J$18*$G$3</f>
        <v>468</v>
      </c>
      <c r="J8" s="101">
        <f>'Ore Base Price Calculator'!$N$18*$G$3</f>
        <v>243.3</v>
      </c>
      <c r="K8" s="101">
        <f>'Ore Base Price Calculator'!$I$28*$G$3</f>
        <v>223.2</v>
      </c>
      <c r="L8" s="101">
        <f>'Ore Base Price Calculator'!$I$48*$G$3</f>
        <v>82.8</v>
      </c>
      <c r="M8" s="101">
        <f>'Ore Base Price Calculator'!$I$38*$G$3</f>
        <v>104.4</v>
      </c>
      <c r="N8" s="15"/>
      <c r="O8" s="108" t="s">
        <v>167</v>
      </c>
      <c r="P8" s="101">
        <f t="shared" ref="P8:U8" si="7">H8+H18+H28+H38</f>
        <v>2959.2</v>
      </c>
      <c r="Q8" s="101">
        <f t="shared" si="7"/>
        <v>4212</v>
      </c>
      <c r="R8" s="101">
        <f t="shared" si="7"/>
        <v>2189.7</v>
      </c>
      <c r="S8" s="101">
        <f t="shared" si="7"/>
        <v>2008.8</v>
      </c>
      <c r="T8" s="101">
        <f t="shared" si="7"/>
        <v>745.2</v>
      </c>
      <c r="U8" s="101">
        <f t="shared" si="7"/>
        <v>939.6</v>
      </c>
      <c r="V8" s="15"/>
      <c r="W8" s="1"/>
      <c r="X8" s="1"/>
      <c r="Y8" s="1"/>
      <c r="Z8" s="1"/>
      <c r="AA8" s="1"/>
      <c r="AB8" s="1"/>
      <c r="AC8" s="1"/>
      <c r="AD8" s="15"/>
      <c r="AE8" s="1"/>
      <c r="AF8" s="1"/>
      <c r="AG8" s="1"/>
      <c r="AH8" s="1"/>
      <c r="AI8" s="1"/>
      <c r="AJ8" s="1"/>
      <c r="AK8" s="1"/>
      <c r="AL8" s="15"/>
    </row>
    <row r="9" ht="15.75" customHeight="1">
      <c r="A9" s="110" t="s">
        <v>168</v>
      </c>
      <c r="C9" s="15"/>
      <c r="D9" s="20" t="s">
        <v>58</v>
      </c>
      <c r="E9" s="49">
        <f>'Distance Cost Calculator'!P16/'Distance Cost Calculator'!B14</f>
        <v>40</v>
      </c>
      <c r="F9" s="15"/>
      <c r="G9" s="111" t="s">
        <v>123</v>
      </c>
      <c r="H9" s="101">
        <f>'Ore Base Price Calculator'!$I$19*$G$3</f>
        <v>292.8</v>
      </c>
      <c r="I9" s="101">
        <f>'Ore Base Price Calculator'!$J$19*$G$3</f>
        <v>432</v>
      </c>
      <c r="J9" s="101">
        <f>'Ore Base Price Calculator'!$N$19*$G$3</f>
        <v>207.3</v>
      </c>
      <c r="K9" s="101">
        <f>'Ore Base Price Calculator'!$I$29*$G$3</f>
        <v>187.2</v>
      </c>
      <c r="L9" s="101">
        <f>'Ore Base Price Calculator'!$I$49*$G$3</f>
        <v>46.8</v>
      </c>
      <c r="M9" s="101">
        <f>'Ore Base Price Calculator'!$I$39*$G$3</f>
        <v>51.3</v>
      </c>
      <c r="N9" s="15"/>
      <c r="O9" s="111" t="s">
        <v>123</v>
      </c>
      <c r="P9" s="101">
        <f t="shared" ref="P9:U9" si="8">H9+H19+H29+H39</f>
        <v>2635.2</v>
      </c>
      <c r="Q9" s="101">
        <f t="shared" si="8"/>
        <v>3888</v>
      </c>
      <c r="R9" s="101">
        <f t="shared" si="8"/>
        <v>1865.7</v>
      </c>
      <c r="S9" s="101">
        <f t="shared" si="8"/>
        <v>1684.8</v>
      </c>
      <c r="T9" s="101">
        <f t="shared" si="8"/>
        <v>421.2</v>
      </c>
      <c r="U9" s="101">
        <f t="shared" si="8"/>
        <v>461.7</v>
      </c>
      <c r="V9" s="15"/>
      <c r="W9" s="1"/>
      <c r="X9" s="1"/>
      <c r="Y9" s="1"/>
      <c r="Z9" s="1"/>
      <c r="AA9" s="1"/>
      <c r="AB9" s="1"/>
      <c r="AC9" s="1"/>
      <c r="AD9" s="15"/>
      <c r="AE9" s="1"/>
      <c r="AF9" s="1"/>
      <c r="AG9" s="1"/>
      <c r="AH9" s="1"/>
      <c r="AI9" s="1"/>
      <c r="AJ9" s="1"/>
      <c r="AK9" s="1"/>
      <c r="AL9" s="15"/>
    </row>
    <row r="10" ht="15.75" customHeight="1">
      <c r="A10" s="66" t="s">
        <v>169</v>
      </c>
      <c r="B10" s="67"/>
      <c r="C10" s="21"/>
      <c r="D10" s="20" t="s">
        <v>71</v>
      </c>
      <c r="E10" s="49">
        <f>'Distance Cost Calculator'!P17/'Distance Cost Calculator'!B14</f>
        <v>36</v>
      </c>
      <c r="F10" s="21"/>
      <c r="N10" s="21"/>
      <c r="O10" s="127" t="s">
        <v>330</v>
      </c>
      <c r="P10" s="33">
        <f t="shared" ref="P10:U10" si="9">(((P9+P8+P7+P6)/4)/50)</f>
        <v>54.324</v>
      </c>
      <c r="Q10" s="33">
        <f t="shared" si="9"/>
        <v>79.38</v>
      </c>
      <c r="R10" s="33">
        <f t="shared" si="9"/>
        <v>37.26</v>
      </c>
      <c r="S10" s="33">
        <f t="shared" si="9"/>
        <v>30.996</v>
      </c>
      <c r="T10" s="33">
        <f t="shared" si="9"/>
        <v>18.144</v>
      </c>
      <c r="U10" s="33">
        <f t="shared" si="9"/>
        <v>18.5625</v>
      </c>
      <c r="V10" s="21"/>
      <c r="W10" s="1"/>
      <c r="X10" s="1"/>
      <c r="Y10" s="1"/>
      <c r="Z10" s="1"/>
      <c r="AA10" s="1"/>
      <c r="AB10" s="1"/>
      <c r="AC10" s="1"/>
      <c r="AD10" s="21"/>
      <c r="AE10" s="1"/>
      <c r="AF10" s="1"/>
      <c r="AG10" s="1"/>
      <c r="AH10" s="1"/>
      <c r="AI10" s="1"/>
      <c r="AJ10" s="1"/>
      <c r="AK10" s="1"/>
      <c r="AL10" s="21"/>
    </row>
    <row r="11" ht="15.75" customHeight="1">
      <c r="C11" s="22"/>
      <c r="D11" s="2" t="s">
        <v>72</v>
      </c>
      <c r="E11" s="49">
        <f>'Distance Cost Calculator'!P18/'Distance Cost Calculator'!B14</f>
        <v>48</v>
      </c>
      <c r="F11" s="22"/>
      <c r="N11" s="22"/>
      <c r="O11" s="127"/>
      <c r="P11" s="33"/>
      <c r="Q11" s="33"/>
      <c r="R11" s="33"/>
      <c r="S11" s="33"/>
      <c r="T11" s="33"/>
      <c r="U11" s="33"/>
      <c r="V11" s="22"/>
      <c r="W11" s="1"/>
      <c r="X11" s="1"/>
      <c r="Y11" s="1"/>
      <c r="Z11" s="1"/>
      <c r="AA11" s="1"/>
      <c r="AB11" s="1"/>
      <c r="AC11" s="1"/>
      <c r="AD11" s="22"/>
      <c r="AE11" s="1"/>
      <c r="AF11" s="1"/>
      <c r="AG11" s="1"/>
      <c r="AH11" s="1"/>
      <c r="AI11" s="1"/>
      <c r="AJ11" s="1"/>
      <c r="AK11" s="1"/>
      <c r="AL11" s="22"/>
    </row>
    <row r="12" ht="15.75" customHeight="1">
      <c r="A12" s="114"/>
      <c r="B12" s="115"/>
      <c r="C12" s="23"/>
      <c r="D12" s="43" t="s">
        <v>172</v>
      </c>
      <c r="E12" s="27"/>
      <c r="F12" s="23"/>
      <c r="G12" s="16" t="s">
        <v>331</v>
      </c>
      <c r="N12" s="23"/>
      <c r="O12" s="16" t="s">
        <v>332</v>
      </c>
      <c r="V12" s="23"/>
      <c r="W12" s="16" t="s">
        <v>333</v>
      </c>
      <c r="AD12" s="23"/>
      <c r="AE12" s="1"/>
      <c r="AF12" s="1"/>
      <c r="AG12" s="1"/>
      <c r="AH12" s="1"/>
      <c r="AI12" s="1"/>
      <c r="AJ12" s="1"/>
      <c r="AK12" s="1"/>
      <c r="AL12" s="23"/>
    </row>
    <row r="13" ht="15.75" customHeight="1">
      <c r="C13" s="23"/>
      <c r="D13" s="5" t="s">
        <v>61</v>
      </c>
      <c r="E13" s="44" t="s">
        <v>145</v>
      </c>
      <c r="F13" s="23"/>
      <c r="G13" s="88">
        <v>13.0</v>
      </c>
      <c r="H13" s="90" t="s">
        <v>324</v>
      </c>
      <c r="I13" s="90" t="s">
        <v>325</v>
      </c>
      <c r="J13" s="90" t="s">
        <v>307</v>
      </c>
      <c r="K13" s="90" t="s">
        <v>312</v>
      </c>
      <c r="L13" s="90" t="s">
        <v>266</v>
      </c>
      <c r="M13" s="90" t="s">
        <v>326</v>
      </c>
      <c r="N13" s="23"/>
      <c r="O13" s="21" t="s">
        <v>15</v>
      </c>
      <c r="P13" s="90" t="s">
        <v>324</v>
      </c>
      <c r="Q13" s="90" t="s">
        <v>325</v>
      </c>
      <c r="R13" s="90" t="s">
        <v>307</v>
      </c>
      <c r="S13" s="90" t="s">
        <v>312</v>
      </c>
      <c r="T13" s="90" t="s">
        <v>266</v>
      </c>
      <c r="U13" s="90" t="s">
        <v>326</v>
      </c>
      <c r="V13" s="23"/>
      <c r="W13" s="14" t="s">
        <v>327</v>
      </c>
      <c r="X13" s="90" t="s">
        <v>324</v>
      </c>
      <c r="Y13" s="90" t="s">
        <v>325</v>
      </c>
      <c r="Z13" s="90" t="s">
        <v>307</v>
      </c>
      <c r="AA13" s="90" t="s">
        <v>312</v>
      </c>
      <c r="AB13" s="90" t="s">
        <v>266</v>
      </c>
      <c r="AC13" s="90" t="s">
        <v>326</v>
      </c>
      <c r="AD13" s="23"/>
      <c r="AE13" s="1"/>
      <c r="AF13" s="1"/>
      <c r="AG13" s="1"/>
      <c r="AH13" s="1"/>
      <c r="AI13" s="1"/>
      <c r="AJ13" s="1"/>
      <c r="AK13" s="1"/>
      <c r="AL13" s="23"/>
    </row>
    <row r="14" ht="15.75" customHeight="1">
      <c r="C14" s="23"/>
      <c r="D14" s="20" t="s">
        <v>58</v>
      </c>
      <c r="E14" s="49">
        <f>'Distance Cost Calculator'!H21/'Distance Cost Calculator'!B14</f>
        <v>24</v>
      </c>
      <c r="F14" s="23"/>
      <c r="G14" s="126" t="s">
        <v>328</v>
      </c>
      <c r="H14" s="26"/>
      <c r="I14" s="26"/>
      <c r="J14" s="26"/>
      <c r="K14" s="26"/>
      <c r="L14" s="26"/>
      <c r="M14" s="27"/>
      <c r="N14" s="23"/>
      <c r="O14" s="95"/>
      <c r="P14" s="128" t="s">
        <v>15</v>
      </c>
      <c r="Q14" s="128" t="s">
        <v>15</v>
      </c>
      <c r="R14" s="128" t="s">
        <v>15</v>
      </c>
      <c r="S14" s="128" t="s">
        <v>15</v>
      </c>
      <c r="T14" s="128" t="s">
        <v>15</v>
      </c>
      <c r="U14" s="128" t="s">
        <v>15</v>
      </c>
      <c r="V14" s="23"/>
      <c r="W14" s="90" t="s">
        <v>15</v>
      </c>
      <c r="X14" s="101">
        <f t="shared" ref="X14:AC14" si="10">P17</f>
        <v>439.2</v>
      </c>
      <c r="Y14" s="101">
        <f t="shared" si="10"/>
        <v>648</v>
      </c>
      <c r="Z14" s="101">
        <f t="shared" si="10"/>
        <v>382.95</v>
      </c>
      <c r="AA14" s="101">
        <f t="shared" si="10"/>
        <v>118.8</v>
      </c>
      <c r="AB14" s="101">
        <f t="shared" si="10"/>
        <v>232.2</v>
      </c>
      <c r="AC14" s="101">
        <f t="shared" si="10"/>
        <v>282.6</v>
      </c>
      <c r="AD14" s="23"/>
      <c r="AE14" s="1"/>
      <c r="AF14" s="1"/>
      <c r="AG14" s="1"/>
      <c r="AH14" s="1"/>
      <c r="AI14" s="1"/>
      <c r="AJ14" s="1"/>
      <c r="AK14" s="1"/>
      <c r="AL14" s="23"/>
    </row>
    <row r="15" ht="15.75" customHeight="1">
      <c r="C15" s="23"/>
      <c r="D15" s="2" t="s">
        <v>59</v>
      </c>
      <c r="E15" s="49">
        <f>'Distance Cost Calculator'!H22/'Distance Cost Calculator'!B14</f>
        <v>36</v>
      </c>
      <c r="F15" s="23"/>
      <c r="G15" s="90" t="s">
        <v>158</v>
      </c>
      <c r="H15" s="101" t="s">
        <v>329</v>
      </c>
      <c r="I15" s="101" t="s">
        <v>329</v>
      </c>
      <c r="J15" s="101" t="s">
        <v>329</v>
      </c>
      <c r="K15" s="101" t="s">
        <v>329</v>
      </c>
      <c r="L15" s="101" t="s">
        <v>329</v>
      </c>
      <c r="M15" s="101" t="s">
        <v>329</v>
      </c>
      <c r="N15" s="23"/>
      <c r="O15" s="90" t="s">
        <v>158</v>
      </c>
      <c r="P15" s="101" t="s">
        <v>334</v>
      </c>
      <c r="Q15" s="101" t="s">
        <v>334</v>
      </c>
      <c r="R15" s="101" t="s">
        <v>334</v>
      </c>
      <c r="S15" s="101" t="s">
        <v>334</v>
      </c>
      <c r="T15" s="101" t="s">
        <v>334</v>
      </c>
      <c r="U15" s="101" t="s">
        <v>334</v>
      </c>
      <c r="V15" s="23"/>
      <c r="W15" s="90" t="s">
        <v>16</v>
      </c>
      <c r="X15" s="101">
        <f t="shared" ref="X15:AC15" si="11">P27</f>
        <v>146.4</v>
      </c>
      <c r="Y15" s="101">
        <f t="shared" si="11"/>
        <v>216</v>
      </c>
      <c r="Z15" s="101">
        <f t="shared" si="11"/>
        <v>127.65</v>
      </c>
      <c r="AA15" s="101">
        <f t="shared" si="11"/>
        <v>39.6</v>
      </c>
      <c r="AB15" s="101">
        <f t="shared" si="11"/>
        <v>77.4</v>
      </c>
      <c r="AC15" s="101">
        <f t="shared" si="11"/>
        <v>94.2</v>
      </c>
      <c r="AD15" s="23"/>
      <c r="AE15" s="1"/>
      <c r="AF15" s="1"/>
      <c r="AG15" s="1"/>
      <c r="AH15" s="1"/>
      <c r="AI15" s="1"/>
      <c r="AJ15" s="1"/>
      <c r="AK15" s="1"/>
      <c r="AL15" s="23"/>
    </row>
    <row r="16" ht="15.75" customHeight="1">
      <c r="C16" s="23"/>
      <c r="D16" s="2" t="s">
        <v>72</v>
      </c>
      <c r="E16" s="49">
        <f>'Distance Cost Calculator'!H23/'Distance Cost Calculator'!B14</f>
        <v>12</v>
      </c>
      <c r="F16" s="23"/>
      <c r="G16" s="100" t="s">
        <v>162</v>
      </c>
      <c r="H16" s="101">
        <f>'Ore Base Price Calculator'!$I$16*$G$13</f>
        <v>1268.8</v>
      </c>
      <c r="I16" s="101">
        <f>'Ore Base Price Calculator'!$J$16*$G$13</f>
        <v>1872</v>
      </c>
      <c r="J16" s="101">
        <f>'Ore Base Price Calculator'!$N$16*$G$13</f>
        <v>529.1</v>
      </c>
      <c r="K16" s="101">
        <f>'Ore Base Price Calculator'!$I$26*$G$13</f>
        <v>863.2</v>
      </c>
      <c r="L16" s="101">
        <f>'Ore Base Price Calculator'!$I$46*$G$13</f>
        <v>514.8</v>
      </c>
      <c r="M16" s="101">
        <f>'Ore Base Price Calculator'!$I$36*$G$13</f>
        <v>296.4</v>
      </c>
      <c r="N16" s="23"/>
      <c r="O16" s="100" t="s">
        <v>162</v>
      </c>
      <c r="P16" s="101">
        <f>P$6/('Salary Calculator'!$B$10/2)</f>
        <v>439.2</v>
      </c>
      <c r="Q16" s="101">
        <f>Q$6/('Salary Calculator'!$B$10/2)</f>
        <v>648</v>
      </c>
      <c r="R16" s="101">
        <f>R$6/('Salary Calculator'!$B$10/2)</f>
        <v>183.15</v>
      </c>
      <c r="S16" s="101">
        <f>S$6/('Salary Calculator'!$B$10/2)</f>
        <v>298.8</v>
      </c>
      <c r="T16" s="101">
        <f>T$6/('Salary Calculator'!$B$10/2)</f>
        <v>178.2</v>
      </c>
      <c r="U16" s="101">
        <f>U$6/('Salary Calculator'!$B$10/2)</f>
        <v>102.6</v>
      </c>
      <c r="V16" s="23"/>
      <c r="W16" s="90" t="s">
        <v>17</v>
      </c>
      <c r="X16" s="101">
        <f t="shared" ref="X16:AC16" si="12">P37</f>
        <v>109.8</v>
      </c>
      <c r="Y16" s="101">
        <f t="shared" si="12"/>
        <v>162</v>
      </c>
      <c r="Z16" s="101">
        <f t="shared" si="12"/>
        <v>95.7375</v>
      </c>
      <c r="AA16" s="101">
        <f t="shared" si="12"/>
        <v>29.7</v>
      </c>
      <c r="AB16" s="101">
        <f t="shared" si="12"/>
        <v>58.05</v>
      </c>
      <c r="AC16" s="101">
        <f t="shared" si="12"/>
        <v>70.65</v>
      </c>
      <c r="AD16" s="23"/>
      <c r="AE16" s="1"/>
      <c r="AF16" s="1"/>
      <c r="AG16" s="1"/>
      <c r="AH16" s="1"/>
      <c r="AI16" s="1"/>
      <c r="AJ16" s="1"/>
      <c r="AK16" s="1"/>
      <c r="AL16" s="23"/>
    </row>
    <row r="17" ht="15.75" customHeight="1">
      <c r="C17" s="23"/>
      <c r="D17" s="43" t="s">
        <v>179</v>
      </c>
      <c r="E17" s="27"/>
      <c r="F17" s="23"/>
      <c r="G17" s="105" t="s">
        <v>165</v>
      </c>
      <c r="H17" s="101">
        <f>'Ore Base Price Calculator'!$I$17*$G$13</f>
        <v>1268.8</v>
      </c>
      <c r="I17" s="101">
        <f>'Ore Base Price Calculator'!$J$17*$G$13</f>
        <v>1872</v>
      </c>
      <c r="J17" s="101">
        <f>'Ore Base Price Calculator'!$N$17*$G$13</f>
        <v>1106.3</v>
      </c>
      <c r="K17" s="101">
        <f>'Ore Base Price Calculator'!$I$27*$G$13</f>
        <v>343.2</v>
      </c>
      <c r="L17" s="101">
        <f>'Ore Base Price Calculator'!$I$47*$G$13</f>
        <v>670.8</v>
      </c>
      <c r="M17" s="101">
        <f>'Ore Base Price Calculator'!$I$37*$G$13</f>
        <v>816.4</v>
      </c>
      <c r="N17" s="23"/>
      <c r="O17" s="105" t="s">
        <v>165</v>
      </c>
      <c r="P17" s="101">
        <f>P$7/('Salary Calculator'!$B$10/2)</f>
        <v>439.2</v>
      </c>
      <c r="Q17" s="101">
        <f>Q$7/('Salary Calculator'!$B$10/2)</f>
        <v>648</v>
      </c>
      <c r="R17" s="101">
        <f>R$7/('Salary Calculator'!$B$10/2)</f>
        <v>382.95</v>
      </c>
      <c r="S17" s="101">
        <f>S$7/('Salary Calculator'!$B$10/2)</f>
        <v>118.8</v>
      </c>
      <c r="T17" s="101">
        <f>T$7/('Salary Calculator'!$B$10/2)</f>
        <v>232.2</v>
      </c>
      <c r="U17" s="101">
        <f>U$7/('Salary Calculator'!$B$10/2)</f>
        <v>282.6</v>
      </c>
      <c r="V17" s="23"/>
      <c r="W17" s="90" t="s">
        <v>18</v>
      </c>
      <c r="X17" s="101">
        <f t="shared" ref="X17:AC17" si="13">P47</f>
        <v>73.2</v>
      </c>
      <c r="Y17" s="101">
        <f t="shared" si="13"/>
        <v>108</v>
      </c>
      <c r="Z17" s="101">
        <f t="shared" si="13"/>
        <v>63.825</v>
      </c>
      <c r="AA17" s="101">
        <f t="shared" si="13"/>
        <v>19.8</v>
      </c>
      <c r="AB17" s="101">
        <f t="shared" si="13"/>
        <v>38.7</v>
      </c>
      <c r="AC17" s="101">
        <f t="shared" si="13"/>
        <v>47.1</v>
      </c>
      <c r="AD17" s="23"/>
      <c r="AE17" s="1"/>
      <c r="AF17" s="1"/>
      <c r="AG17" s="1"/>
      <c r="AH17" s="1"/>
      <c r="AI17" s="1"/>
      <c r="AJ17" s="1"/>
      <c r="AK17" s="1"/>
      <c r="AL17" s="23"/>
    </row>
    <row r="18" ht="15.75" customHeight="1">
      <c r="C18" s="23"/>
      <c r="D18" s="5" t="s">
        <v>61</v>
      </c>
      <c r="E18" s="44" t="s">
        <v>145</v>
      </c>
      <c r="F18" s="23"/>
      <c r="G18" s="108" t="s">
        <v>167</v>
      </c>
      <c r="H18" s="101">
        <f>'Ore Base Price Calculator'!$I$18*$G$13</f>
        <v>1424.8</v>
      </c>
      <c r="I18" s="101">
        <f>'Ore Base Price Calculator'!$J$18*$G$13</f>
        <v>2028</v>
      </c>
      <c r="J18" s="101">
        <f>'Ore Base Price Calculator'!$N$18*$G$13</f>
        <v>1054.3</v>
      </c>
      <c r="K18" s="101">
        <f>'Ore Base Price Calculator'!$I$28*$G$13</f>
        <v>967.2</v>
      </c>
      <c r="L18" s="101">
        <f>'Ore Base Price Calculator'!$I$48*$G$13</f>
        <v>358.8</v>
      </c>
      <c r="M18" s="101">
        <f>'Ore Base Price Calculator'!$I$38*$G$13</f>
        <v>452.4</v>
      </c>
      <c r="N18" s="23"/>
      <c r="O18" s="108" t="s">
        <v>167</v>
      </c>
      <c r="P18" s="101">
        <f>P$8/('Salary Calculator'!$B$10/2)</f>
        <v>493.2</v>
      </c>
      <c r="Q18" s="101">
        <f>Q$8/('Salary Calculator'!$B$10/2)</f>
        <v>702</v>
      </c>
      <c r="R18" s="101">
        <f>R$8/('Salary Calculator'!$B$10/2)</f>
        <v>364.95</v>
      </c>
      <c r="S18" s="101">
        <f>S$8/('Salary Calculator'!$B$10/2)</f>
        <v>334.8</v>
      </c>
      <c r="T18" s="101">
        <f>T$8/('Salary Calculator'!$B$10/2)</f>
        <v>124.2</v>
      </c>
      <c r="U18" s="101">
        <f>U$8/('Salary Calculator'!$B$10/2)</f>
        <v>156.6</v>
      </c>
      <c r="V18" s="23"/>
      <c r="W18" s="1"/>
      <c r="X18" s="1"/>
      <c r="Y18" s="1"/>
      <c r="Z18" s="1"/>
      <c r="AA18" s="1"/>
      <c r="AB18" s="1"/>
      <c r="AC18" s="1"/>
      <c r="AD18" s="23"/>
      <c r="AE18" s="1"/>
      <c r="AF18" s="1"/>
      <c r="AG18" s="1"/>
      <c r="AH18" s="1"/>
      <c r="AI18" s="1"/>
      <c r="AJ18" s="1"/>
      <c r="AK18" s="1"/>
      <c r="AL18" s="23"/>
    </row>
    <row r="19" ht="15.75" customHeight="1">
      <c r="C19" s="23"/>
      <c r="D19" s="20" t="s">
        <v>58</v>
      </c>
      <c r="E19" s="49">
        <f>'Distance Cost Calculator'!P21/'Distance Cost Calculator'!B14</f>
        <v>36</v>
      </c>
      <c r="F19" s="23"/>
      <c r="G19" s="111" t="s">
        <v>123</v>
      </c>
      <c r="H19" s="101">
        <f>'Ore Base Price Calculator'!$I$19*$G$13</f>
        <v>1268.8</v>
      </c>
      <c r="I19" s="101">
        <f>'Ore Base Price Calculator'!$J$19*$G$13</f>
        <v>1872</v>
      </c>
      <c r="J19" s="101">
        <f>'Ore Base Price Calculator'!$N$19*$G$13</f>
        <v>898.3</v>
      </c>
      <c r="K19" s="101">
        <f>'Ore Base Price Calculator'!$I$29*$G$13</f>
        <v>811.2</v>
      </c>
      <c r="L19" s="101">
        <f>'Ore Base Price Calculator'!$I$49*$G$13</f>
        <v>202.8</v>
      </c>
      <c r="M19" s="101">
        <f>'Ore Base Price Calculator'!$I$39*$G$13</f>
        <v>222.3</v>
      </c>
      <c r="N19" s="23"/>
      <c r="O19" s="111" t="s">
        <v>123</v>
      </c>
      <c r="P19" s="101">
        <f>P$9/('Salary Calculator'!$B$10/2)</f>
        <v>439.2</v>
      </c>
      <c r="Q19" s="101">
        <f>Q$9/('Salary Calculator'!$B$10/2)</f>
        <v>648</v>
      </c>
      <c r="R19" s="101">
        <f>R$9/('Salary Calculator'!$B$10/2)</f>
        <v>310.95</v>
      </c>
      <c r="S19" s="101">
        <f>S$9/('Salary Calculator'!$B$10/2)</f>
        <v>280.8</v>
      </c>
      <c r="T19" s="101">
        <f>T$9/('Salary Calculator'!$B$10/2)</f>
        <v>70.2</v>
      </c>
      <c r="U19" s="101">
        <f>U$9/('Salary Calculator'!$B$10/2)</f>
        <v>76.95</v>
      </c>
      <c r="V19" s="23"/>
      <c r="W19" s="1"/>
      <c r="X19" s="1"/>
      <c r="Y19" s="1"/>
      <c r="Z19" s="1"/>
      <c r="AA19" s="1"/>
      <c r="AB19" s="1"/>
      <c r="AC19" s="1"/>
      <c r="AD19" s="23"/>
      <c r="AE19" s="1"/>
      <c r="AF19" s="1"/>
      <c r="AG19" s="1"/>
      <c r="AH19" s="1"/>
      <c r="AI19" s="1"/>
      <c r="AJ19" s="1"/>
      <c r="AK19" s="1"/>
      <c r="AL19" s="23"/>
    </row>
    <row r="20" ht="15.75" customHeight="1">
      <c r="C20" s="23"/>
      <c r="D20" s="2" t="s">
        <v>59</v>
      </c>
      <c r="E20" s="49">
        <f>'Distance Cost Calculator'!P22/'Distance Cost Calculator'!B14</f>
        <v>48</v>
      </c>
      <c r="F20" s="23"/>
      <c r="N20" s="23"/>
      <c r="O20" s="127" t="s">
        <v>335</v>
      </c>
      <c r="P20" s="33">
        <f t="shared" ref="P20:U20" si="14">(((P19+P18+P17+P16)/4))</f>
        <v>452.7</v>
      </c>
      <c r="Q20" s="33">
        <f t="shared" si="14"/>
        <v>661.5</v>
      </c>
      <c r="R20" s="33">
        <f t="shared" si="14"/>
        <v>310.5</v>
      </c>
      <c r="S20" s="33">
        <f t="shared" si="14"/>
        <v>258.3</v>
      </c>
      <c r="T20" s="33">
        <f t="shared" si="14"/>
        <v>151.2</v>
      </c>
      <c r="U20" s="33">
        <f t="shared" si="14"/>
        <v>154.6875</v>
      </c>
      <c r="V20" s="23"/>
      <c r="W20" s="1"/>
      <c r="X20" s="1"/>
      <c r="Y20" s="1"/>
      <c r="Z20" s="1"/>
      <c r="AA20" s="1"/>
      <c r="AB20" s="1"/>
      <c r="AC20" s="1"/>
      <c r="AD20" s="23"/>
      <c r="AE20" s="1"/>
      <c r="AF20" s="1"/>
      <c r="AG20" s="1"/>
      <c r="AH20" s="1"/>
      <c r="AI20" s="1"/>
      <c r="AJ20" s="1"/>
      <c r="AK20" s="1"/>
      <c r="AL20" s="23"/>
    </row>
    <row r="21" ht="15.75" customHeight="1">
      <c r="C21" s="23"/>
      <c r="D21" s="20" t="s">
        <v>71</v>
      </c>
      <c r="E21" s="49">
        <f>'Distance Cost Calculator'!P23/'Distance Cost Calculator'!B14</f>
        <v>12</v>
      </c>
      <c r="F21" s="23"/>
      <c r="N21" s="23"/>
      <c r="V21" s="23"/>
      <c r="W21" s="1"/>
      <c r="X21" s="1"/>
      <c r="Y21" s="1"/>
      <c r="Z21" s="1"/>
      <c r="AA21" s="1"/>
      <c r="AB21" s="1"/>
      <c r="AC21" s="1"/>
      <c r="AD21" s="23"/>
      <c r="AE21" s="1"/>
      <c r="AF21" s="1"/>
      <c r="AG21" s="1"/>
      <c r="AH21" s="1"/>
      <c r="AI21" s="1"/>
      <c r="AJ21" s="1"/>
      <c r="AK21" s="1"/>
      <c r="AL21" s="23"/>
    </row>
    <row r="22" ht="15.75" customHeight="1">
      <c r="C22" s="23"/>
      <c r="F22" s="23"/>
      <c r="G22" s="16" t="s">
        <v>336</v>
      </c>
      <c r="N22" s="23"/>
      <c r="O22" s="16" t="s">
        <v>332</v>
      </c>
      <c r="V22" s="23"/>
      <c r="W22" s="16" t="s">
        <v>337</v>
      </c>
      <c r="AD22" s="23"/>
      <c r="AE22" s="1"/>
      <c r="AF22" s="1"/>
      <c r="AG22" s="1"/>
      <c r="AH22" s="1"/>
      <c r="AI22" s="1"/>
      <c r="AJ22" s="1"/>
      <c r="AK22" s="1"/>
      <c r="AL22" s="23"/>
    </row>
    <row r="23" ht="15.75" customHeight="1">
      <c r="C23" s="23"/>
      <c r="F23" s="23"/>
      <c r="G23" s="88">
        <v>5.0</v>
      </c>
      <c r="H23" s="90" t="s">
        <v>324</v>
      </c>
      <c r="I23" s="90" t="s">
        <v>325</v>
      </c>
      <c r="J23" s="90" t="s">
        <v>307</v>
      </c>
      <c r="K23" s="90" t="s">
        <v>312</v>
      </c>
      <c r="L23" s="90" t="s">
        <v>266</v>
      </c>
      <c r="M23" s="90" t="s">
        <v>326</v>
      </c>
      <c r="N23" s="23"/>
      <c r="O23" s="21"/>
      <c r="P23" s="90" t="s">
        <v>324</v>
      </c>
      <c r="Q23" s="90" t="s">
        <v>325</v>
      </c>
      <c r="R23" s="90" t="s">
        <v>307</v>
      </c>
      <c r="S23" s="90" t="s">
        <v>312</v>
      </c>
      <c r="T23" s="90" t="s">
        <v>266</v>
      </c>
      <c r="U23" s="90" t="s">
        <v>326</v>
      </c>
      <c r="V23" s="23"/>
      <c r="W23" s="14" t="s">
        <v>327</v>
      </c>
      <c r="X23" s="90" t="s">
        <v>324</v>
      </c>
      <c r="Y23" s="90" t="s">
        <v>325</v>
      </c>
      <c r="Z23" s="90" t="s">
        <v>307</v>
      </c>
      <c r="AA23" s="90" t="s">
        <v>312</v>
      </c>
      <c r="AB23" s="90" t="s">
        <v>266</v>
      </c>
      <c r="AC23" s="90" t="s">
        <v>326</v>
      </c>
      <c r="AD23" s="23"/>
      <c r="AE23" s="1"/>
      <c r="AF23" s="1"/>
      <c r="AG23" s="1"/>
      <c r="AH23" s="1"/>
      <c r="AI23" s="1"/>
      <c r="AJ23" s="1"/>
      <c r="AK23" s="1"/>
      <c r="AL23" s="23"/>
    </row>
    <row r="24" ht="15.75" customHeight="1">
      <c r="C24" s="23"/>
      <c r="F24" s="23"/>
      <c r="G24" s="126" t="s">
        <v>328</v>
      </c>
      <c r="H24" s="26"/>
      <c r="I24" s="26"/>
      <c r="J24" s="26"/>
      <c r="K24" s="26"/>
      <c r="L24" s="26"/>
      <c r="M24" s="27"/>
      <c r="N24" s="23"/>
      <c r="O24" s="95"/>
      <c r="P24" s="128" t="s">
        <v>16</v>
      </c>
      <c r="Q24" s="128" t="s">
        <v>16</v>
      </c>
      <c r="R24" s="128" t="s">
        <v>16</v>
      </c>
      <c r="S24" s="128" t="s">
        <v>16</v>
      </c>
      <c r="T24" s="128" t="s">
        <v>16</v>
      </c>
      <c r="U24" s="128" t="s">
        <v>16</v>
      </c>
      <c r="V24" s="23"/>
      <c r="W24" s="90" t="s">
        <v>15</v>
      </c>
      <c r="X24" s="101">
        <f t="shared" ref="X24:AC24" si="15">P18</f>
        <v>493.2</v>
      </c>
      <c r="Y24" s="101">
        <f t="shared" si="15"/>
        <v>702</v>
      </c>
      <c r="Z24" s="101">
        <f t="shared" si="15"/>
        <v>364.95</v>
      </c>
      <c r="AA24" s="101">
        <f t="shared" si="15"/>
        <v>334.8</v>
      </c>
      <c r="AB24" s="101">
        <f t="shared" si="15"/>
        <v>124.2</v>
      </c>
      <c r="AC24" s="101">
        <f t="shared" si="15"/>
        <v>156.6</v>
      </c>
      <c r="AD24" s="23"/>
      <c r="AE24" s="1"/>
      <c r="AF24" s="1"/>
      <c r="AG24" s="1"/>
      <c r="AH24" s="1"/>
      <c r="AI24" s="1"/>
      <c r="AJ24" s="1"/>
      <c r="AK24" s="1"/>
      <c r="AL24" s="23"/>
    </row>
    <row r="25" ht="15.75" customHeight="1">
      <c r="C25" s="23"/>
      <c r="F25" s="23"/>
      <c r="G25" s="90" t="s">
        <v>158</v>
      </c>
      <c r="H25" s="101" t="s">
        <v>329</v>
      </c>
      <c r="I25" s="101" t="s">
        <v>329</v>
      </c>
      <c r="J25" s="101" t="s">
        <v>329</v>
      </c>
      <c r="K25" s="101" t="s">
        <v>329</v>
      </c>
      <c r="L25" s="101" t="s">
        <v>329</v>
      </c>
      <c r="M25" s="101" t="s">
        <v>329</v>
      </c>
      <c r="N25" s="23"/>
      <c r="O25" s="90" t="s">
        <v>158</v>
      </c>
      <c r="P25" s="101" t="s">
        <v>334</v>
      </c>
      <c r="Q25" s="101" t="s">
        <v>334</v>
      </c>
      <c r="R25" s="101" t="s">
        <v>334</v>
      </c>
      <c r="S25" s="101" t="s">
        <v>334</v>
      </c>
      <c r="T25" s="101" t="s">
        <v>334</v>
      </c>
      <c r="U25" s="101" t="s">
        <v>334</v>
      </c>
      <c r="V25" s="23"/>
      <c r="W25" s="90" t="s">
        <v>16</v>
      </c>
      <c r="X25" s="101">
        <f t="shared" ref="X25:AC25" si="16">P28</f>
        <v>164.4</v>
      </c>
      <c r="Y25" s="101">
        <f t="shared" si="16"/>
        <v>234</v>
      </c>
      <c r="Z25" s="101">
        <f t="shared" si="16"/>
        <v>121.65</v>
      </c>
      <c r="AA25" s="101">
        <f t="shared" si="16"/>
        <v>111.6</v>
      </c>
      <c r="AB25" s="101">
        <f t="shared" si="16"/>
        <v>41.4</v>
      </c>
      <c r="AC25" s="101">
        <f t="shared" si="16"/>
        <v>52.2</v>
      </c>
      <c r="AD25" s="23"/>
      <c r="AE25" s="1"/>
      <c r="AF25" s="1"/>
      <c r="AG25" s="1"/>
      <c r="AH25" s="1"/>
      <c r="AI25" s="1"/>
      <c r="AJ25" s="1"/>
      <c r="AK25" s="1"/>
      <c r="AL25" s="23"/>
    </row>
    <row r="26" ht="15.75" customHeight="1">
      <c r="C26" s="23"/>
      <c r="F26" s="23"/>
      <c r="G26" s="100" t="s">
        <v>162</v>
      </c>
      <c r="H26" s="101">
        <f>'Ore Base Price Calculator'!$I$16*$G$23</f>
        <v>488</v>
      </c>
      <c r="I26" s="101">
        <f>'Ore Base Price Calculator'!$J$16*$G$23</f>
        <v>720</v>
      </c>
      <c r="J26" s="101">
        <f>'Ore Base Price Calculator'!$N$16*$G$23</f>
        <v>203.5</v>
      </c>
      <c r="K26" s="101">
        <f>'Ore Base Price Calculator'!$I$26*$G$23</f>
        <v>332</v>
      </c>
      <c r="L26" s="101">
        <f>'Ore Base Price Calculator'!$I$46*$G$23</f>
        <v>198</v>
      </c>
      <c r="M26" s="101">
        <f>'Ore Base Price Calculator'!$I$36*$G$23</f>
        <v>114</v>
      </c>
      <c r="N26" s="23"/>
      <c r="O26" s="100" t="s">
        <v>162</v>
      </c>
      <c r="P26" s="101">
        <f>P$6/('Salary Calculator'!$C$10/2)</f>
        <v>146.4</v>
      </c>
      <c r="Q26" s="101">
        <f>Q$6/('Salary Calculator'!$C$10/2)</f>
        <v>216</v>
      </c>
      <c r="R26" s="101">
        <f>R$6/('Salary Calculator'!$C$10/2)</f>
        <v>61.05</v>
      </c>
      <c r="S26" s="101">
        <f>S$6/('Salary Calculator'!$C$10/2)</f>
        <v>99.6</v>
      </c>
      <c r="T26" s="101">
        <f>T$6/('Salary Calculator'!$C$10/2)</f>
        <v>59.4</v>
      </c>
      <c r="U26" s="101">
        <f>U$6/('Salary Calculator'!$C$10/2)</f>
        <v>34.2</v>
      </c>
      <c r="V26" s="23"/>
      <c r="W26" s="90" t="s">
        <v>17</v>
      </c>
      <c r="X26" s="101">
        <f t="shared" ref="X26:AC26" si="17">P38</f>
        <v>123.3</v>
      </c>
      <c r="Y26" s="101">
        <f t="shared" si="17"/>
        <v>175.5</v>
      </c>
      <c r="Z26" s="101">
        <f t="shared" si="17"/>
        <v>91.2375</v>
      </c>
      <c r="AA26" s="101">
        <f t="shared" si="17"/>
        <v>83.7</v>
      </c>
      <c r="AB26" s="101">
        <f t="shared" si="17"/>
        <v>31.05</v>
      </c>
      <c r="AC26" s="101">
        <f t="shared" si="17"/>
        <v>39.15</v>
      </c>
      <c r="AD26" s="23"/>
      <c r="AE26" s="1"/>
      <c r="AF26" s="1"/>
      <c r="AG26" s="1"/>
      <c r="AH26" s="1"/>
      <c r="AI26" s="1"/>
      <c r="AJ26" s="1"/>
      <c r="AK26" s="1"/>
      <c r="AL26" s="23"/>
    </row>
    <row r="27" ht="15.75" customHeight="1">
      <c r="C27" s="23"/>
      <c r="F27" s="23"/>
      <c r="G27" s="105" t="s">
        <v>165</v>
      </c>
      <c r="H27" s="101">
        <f>'Ore Base Price Calculator'!$I$17*$G$23</f>
        <v>488</v>
      </c>
      <c r="I27" s="101">
        <f>'Ore Base Price Calculator'!$J$17*$G$23</f>
        <v>720</v>
      </c>
      <c r="J27" s="101">
        <f>'Ore Base Price Calculator'!$N$17*$G$23</f>
        <v>425.5</v>
      </c>
      <c r="K27" s="101">
        <f>'Ore Base Price Calculator'!$I$27*$G$23</f>
        <v>132</v>
      </c>
      <c r="L27" s="101">
        <f>'Ore Base Price Calculator'!$I$47*$G$23</f>
        <v>258</v>
      </c>
      <c r="M27" s="101">
        <f>'Ore Base Price Calculator'!$I$37*$G$23</f>
        <v>314</v>
      </c>
      <c r="N27" s="23"/>
      <c r="O27" s="105" t="s">
        <v>165</v>
      </c>
      <c r="P27" s="101">
        <f>P$7/('Salary Calculator'!$C$10/2)</f>
        <v>146.4</v>
      </c>
      <c r="Q27" s="101">
        <f>Q$7/('Salary Calculator'!$C$10/2)</f>
        <v>216</v>
      </c>
      <c r="R27" s="101">
        <f>R$7/('Salary Calculator'!$C$10/2)</f>
        <v>127.65</v>
      </c>
      <c r="S27" s="101">
        <f>S$7/('Salary Calculator'!$C$10/2)</f>
        <v>39.6</v>
      </c>
      <c r="T27" s="101">
        <f>T$7/('Salary Calculator'!$C$10/2)</f>
        <v>77.4</v>
      </c>
      <c r="U27" s="101">
        <f>U$7/('Salary Calculator'!$C$10/2)</f>
        <v>94.2</v>
      </c>
      <c r="V27" s="23"/>
      <c r="W27" s="90" t="s">
        <v>18</v>
      </c>
      <c r="X27" s="101">
        <f t="shared" ref="X27:AC27" si="18">P48</f>
        <v>82.2</v>
      </c>
      <c r="Y27" s="101">
        <f t="shared" si="18"/>
        <v>117</v>
      </c>
      <c r="Z27" s="101">
        <f t="shared" si="18"/>
        <v>60.825</v>
      </c>
      <c r="AA27" s="101">
        <f t="shared" si="18"/>
        <v>55.8</v>
      </c>
      <c r="AB27" s="101">
        <f t="shared" si="18"/>
        <v>20.7</v>
      </c>
      <c r="AC27" s="101">
        <f t="shared" si="18"/>
        <v>26.1</v>
      </c>
      <c r="AD27" s="23"/>
      <c r="AE27" s="1"/>
      <c r="AF27" s="1"/>
      <c r="AG27" s="1"/>
      <c r="AH27" s="1"/>
      <c r="AI27" s="1"/>
      <c r="AJ27" s="1"/>
      <c r="AK27" s="1"/>
      <c r="AL27" s="23"/>
    </row>
    <row r="28" ht="15.75" customHeight="1">
      <c r="C28" s="23"/>
      <c r="F28" s="23"/>
      <c r="G28" s="108" t="s">
        <v>167</v>
      </c>
      <c r="H28" s="101">
        <f>'Ore Base Price Calculator'!$I$18*$G$23</f>
        <v>548</v>
      </c>
      <c r="I28" s="101">
        <f>'Ore Base Price Calculator'!$J$18*$G$23</f>
        <v>780</v>
      </c>
      <c r="J28" s="101">
        <f>'Ore Base Price Calculator'!$N$18*$G$23</f>
        <v>405.5</v>
      </c>
      <c r="K28" s="101">
        <f>'Ore Base Price Calculator'!$I$28*$G$23</f>
        <v>372</v>
      </c>
      <c r="L28" s="101">
        <f>'Ore Base Price Calculator'!$I$48*$G$23</f>
        <v>138</v>
      </c>
      <c r="M28" s="101">
        <f>'Ore Base Price Calculator'!$I$38*$G$23</f>
        <v>174</v>
      </c>
      <c r="N28" s="23"/>
      <c r="O28" s="108" t="s">
        <v>167</v>
      </c>
      <c r="P28" s="101">
        <f>P$8/('Salary Calculator'!$C$10/2)</f>
        <v>164.4</v>
      </c>
      <c r="Q28" s="101">
        <f>Q$8/('Salary Calculator'!$C$10/2)</f>
        <v>234</v>
      </c>
      <c r="R28" s="101">
        <f>R$8/('Salary Calculator'!$C$10/2)</f>
        <v>121.65</v>
      </c>
      <c r="S28" s="101">
        <f>S$8/('Salary Calculator'!$C$10/2)</f>
        <v>111.6</v>
      </c>
      <c r="T28" s="101">
        <f>T$8/('Salary Calculator'!$C$10/2)</f>
        <v>41.4</v>
      </c>
      <c r="U28" s="101">
        <f>U$8/('Salary Calculator'!$C$10/2)</f>
        <v>52.2</v>
      </c>
      <c r="V28" s="23"/>
      <c r="W28" s="1"/>
      <c r="X28" s="1"/>
      <c r="Y28" s="1"/>
      <c r="Z28" s="1"/>
      <c r="AA28" s="1"/>
      <c r="AB28" s="1"/>
      <c r="AC28" s="1"/>
      <c r="AD28" s="23"/>
      <c r="AE28" s="1"/>
      <c r="AF28" s="1"/>
      <c r="AG28" s="1"/>
      <c r="AH28" s="1"/>
      <c r="AI28" s="1"/>
      <c r="AJ28" s="1"/>
      <c r="AK28" s="1"/>
      <c r="AL28" s="23"/>
    </row>
    <row r="29" ht="15.75" customHeight="1">
      <c r="C29" s="23"/>
      <c r="F29" s="23"/>
      <c r="G29" s="111" t="s">
        <v>123</v>
      </c>
      <c r="H29" s="101">
        <f>'Ore Base Price Calculator'!$I$19*$G$23</f>
        <v>488</v>
      </c>
      <c r="I29" s="101">
        <f>'Ore Base Price Calculator'!$J$19*$G$23</f>
        <v>720</v>
      </c>
      <c r="J29" s="101">
        <f>'Ore Base Price Calculator'!$N$19*$G$23</f>
        <v>345.5</v>
      </c>
      <c r="K29" s="101">
        <f>'Ore Base Price Calculator'!$I$29*$G$23</f>
        <v>312</v>
      </c>
      <c r="L29" s="101">
        <f>'Ore Base Price Calculator'!$I$49*$G$23</f>
        <v>78</v>
      </c>
      <c r="M29" s="101">
        <f>'Ore Base Price Calculator'!$I$39*$G$23</f>
        <v>85.5</v>
      </c>
      <c r="N29" s="23"/>
      <c r="O29" s="111" t="s">
        <v>123</v>
      </c>
      <c r="P29" s="101">
        <f>P$9/('Salary Calculator'!$C$10/2)</f>
        <v>146.4</v>
      </c>
      <c r="Q29" s="101">
        <f>Q$9/('Salary Calculator'!$C$10/2)</f>
        <v>216</v>
      </c>
      <c r="R29" s="101">
        <f>R$9/('Salary Calculator'!$C$10/2)</f>
        <v>103.65</v>
      </c>
      <c r="S29" s="101">
        <f>S$9/('Salary Calculator'!$C$10/2)</f>
        <v>93.6</v>
      </c>
      <c r="T29" s="101">
        <f>T$9/('Salary Calculator'!$C$10/2)</f>
        <v>23.4</v>
      </c>
      <c r="U29" s="101">
        <f>U$9/('Salary Calculator'!$C$10/2)</f>
        <v>25.65</v>
      </c>
      <c r="V29" s="23"/>
      <c r="W29" s="1"/>
      <c r="X29" s="1"/>
      <c r="Y29" s="1"/>
      <c r="Z29" s="1"/>
      <c r="AA29" s="1"/>
      <c r="AB29" s="1"/>
      <c r="AC29" s="1"/>
      <c r="AD29" s="23"/>
      <c r="AE29" s="1"/>
      <c r="AF29" s="1"/>
      <c r="AG29" s="1"/>
      <c r="AH29" s="1"/>
      <c r="AI29" s="1"/>
      <c r="AJ29" s="1"/>
      <c r="AK29" s="1"/>
      <c r="AL29" s="23"/>
    </row>
    <row r="30" ht="15.75" customHeight="1">
      <c r="C30" s="23"/>
      <c r="F30" s="23"/>
      <c r="N30" s="23"/>
      <c r="O30" s="127" t="s">
        <v>338</v>
      </c>
      <c r="P30" s="33">
        <f t="shared" ref="P30:U30" si="19">(((P29+P28+P27+P26)/4))</f>
        <v>150.9</v>
      </c>
      <c r="Q30" s="33">
        <f t="shared" si="19"/>
        <v>220.5</v>
      </c>
      <c r="R30" s="33">
        <f t="shared" si="19"/>
        <v>103.5</v>
      </c>
      <c r="S30" s="33">
        <f t="shared" si="19"/>
        <v>86.1</v>
      </c>
      <c r="T30" s="33">
        <f t="shared" si="19"/>
        <v>50.4</v>
      </c>
      <c r="U30" s="33">
        <f t="shared" si="19"/>
        <v>51.5625</v>
      </c>
      <c r="V30" s="23"/>
      <c r="W30" s="1"/>
      <c r="X30" s="1"/>
      <c r="Y30" s="1"/>
      <c r="Z30" s="1"/>
      <c r="AA30" s="1"/>
      <c r="AB30" s="1"/>
      <c r="AC30" s="1"/>
      <c r="AD30" s="23"/>
      <c r="AE30" s="1"/>
      <c r="AF30" s="1"/>
      <c r="AG30" s="1"/>
      <c r="AH30" s="1"/>
      <c r="AI30" s="1"/>
      <c r="AJ30" s="1"/>
      <c r="AK30" s="1"/>
      <c r="AL30" s="23"/>
    </row>
    <row r="31" ht="15.75" customHeight="1">
      <c r="C31" s="23"/>
      <c r="F31" s="23"/>
      <c r="N31" s="23"/>
      <c r="V31" s="23"/>
      <c r="W31" s="1"/>
      <c r="X31" s="1"/>
      <c r="Y31" s="1"/>
      <c r="Z31" s="1"/>
      <c r="AA31" s="1"/>
      <c r="AB31" s="1"/>
      <c r="AC31" s="1"/>
      <c r="AD31" s="23"/>
      <c r="AE31" s="1"/>
      <c r="AF31" s="1"/>
      <c r="AG31" s="1"/>
      <c r="AH31" s="1"/>
      <c r="AI31" s="1"/>
      <c r="AJ31" s="1"/>
      <c r="AK31" s="1"/>
      <c r="AL31" s="23"/>
    </row>
    <row r="32" ht="15.75" customHeight="1">
      <c r="C32" s="23"/>
      <c r="F32" s="23"/>
      <c r="G32" s="16" t="s">
        <v>339</v>
      </c>
      <c r="N32" s="23"/>
      <c r="O32" s="16" t="s">
        <v>332</v>
      </c>
      <c r="V32" s="23"/>
      <c r="W32" s="16" t="s">
        <v>340</v>
      </c>
      <c r="AD32" s="23"/>
      <c r="AE32" s="1"/>
      <c r="AF32" s="1"/>
      <c r="AG32" s="1"/>
      <c r="AH32" s="1"/>
      <c r="AI32" s="1"/>
      <c r="AJ32" s="1"/>
      <c r="AK32" s="1"/>
      <c r="AL32" s="23"/>
    </row>
    <row r="33" ht="15.75" customHeight="1">
      <c r="C33" s="23"/>
      <c r="F33" s="23"/>
      <c r="G33" s="88">
        <v>6.0</v>
      </c>
      <c r="H33" s="90" t="s">
        <v>324</v>
      </c>
      <c r="I33" s="90" t="s">
        <v>325</v>
      </c>
      <c r="J33" s="90" t="s">
        <v>307</v>
      </c>
      <c r="K33" s="90" t="s">
        <v>312</v>
      </c>
      <c r="L33" s="90" t="s">
        <v>266</v>
      </c>
      <c r="M33" s="90" t="s">
        <v>326</v>
      </c>
      <c r="N33" s="23"/>
      <c r="O33" s="21"/>
      <c r="P33" s="90" t="s">
        <v>324</v>
      </c>
      <c r="Q33" s="90" t="s">
        <v>325</v>
      </c>
      <c r="R33" s="90" t="s">
        <v>307</v>
      </c>
      <c r="S33" s="90" t="s">
        <v>312</v>
      </c>
      <c r="T33" s="90" t="s">
        <v>266</v>
      </c>
      <c r="U33" s="90" t="s">
        <v>326</v>
      </c>
      <c r="V33" s="23"/>
      <c r="W33" s="14" t="s">
        <v>327</v>
      </c>
      <c r="X33" s="90" t="s">
        <v>324</v>
      </c>
      <c r="Y33" s="90" t="s">
        <v>325</v>
      </c>
      <c r="Z33" s="90" t="s">
        <v>307</v>
      </c>
      <c r="AA33" s="90" t="s">
        <v>312</v>
      </c>
      <c r="AB33" s="90" t="s">
        <v>266</v>
      </c>
      <c r="AC33" s="90" t="s">
        <v>326</v>
      </c>
      <c r="AD33" s="23"/>
      <c r="AE33" s="1"/>
      <c r="AF33" s="1"/>
      <c r="AG33" s="1"/>
      <c r="AH33" s="1"/>
      <c r="AI33" s="1"/>
      <c r="AJ33" s="1"/>
      <c r="AK33" s="1"/>
      <c r="AL33" s="23"/>
    </row>
    <row r="34" ht="15.75" customHeight="1">
      <c r="C34" s="23"/>
      <c r="F34" s="23"/>
      <c r="G34" s="126" t="s">
        <v>328</v>
      </c>
      <c r="H34" s="26"/>
      <c r="I34" s="26"/>
      <c r="J34" s="26"/>
      <c r="K34" s="26"/>
      <c r="L34" s="26"/>
      <c r="M34" s="27"/>
      <c r="N34" s="23"/>
      <c r="O34" s="95"/>
      <c r="P34" s="128" t="s">
        <v>17</v>
      </c>
      <c r="Q34" s="128" t="s">
        <v>17</v>
      </c>
      <c r="R34" s="128" t="s">
        <v>17</v>
      </c>
      <c r="S34" s="128" t="s">
        <v>17</v>
      </c>
      <c r="T34" s="128" t="s">
        <v>17</v>
      </c>
      <c r="U34" s="128" t="s">
        <v>17</v>
      </c>
      <c r="V34" s="23"/>
      <c r="W34" s="90" t="s">
        <v>15</v>
      </c>
      <c r="X34" s="101">
        <f t="shared" ref="X34:AC34" si="20">P19</f>
        <v>439.2</v>
      </c>
      <c r="Y34" s="101">
        <f t="shared" si="20"/>
        <v>648</v>
      </c>
      <c r="Z34" s="101">
        <f t="shared" si="20"/>
        <v>310.95</v>
      </c>
      <c r="AA34" s="101">
        <f t="shared" si="20"/>
        <v>280.8</v>
      </c>
      <c r="AB34" s="101">
        <f t="shared" si="20"/>
        <v>70.2</v>
      </c>
      <c r="AC34" s="101">
        <f t="shared" si="20"/>
        <v>76.95</v>
      </c>
      <c r="AD34" s="23"/>
      <c r="AE34" s="1"/>
      <c r="AF34" s="1"/>
      <c r="AG34" s="1"/>
      <c r="AH34" s="1"/>
      <c r="AI34" s="1"/>
      <c r="AJ34" s="1"/>
      <c r="AK34" s="1"/>
      <c r="AL34" s="23"/>
    </row>
    <row r="35" ht="15.75" customHeight="1">
      <c r="C35" s="23"/>
      <c r="F35" s="23"/>
      <c r="G35" s="90" t="s">
        <v>158</v>
      </c>
      <c r="H35" s="101" t="s">
        <v>329</v>
      </c>
      <c r="I35" s="101" t="s">
        <v>329</v>
      </c>
      <c r="J35" s="101" t="s">
        <v>329</v>
      </c>
      <c r="K35" s="101" t="s">
        <v>329</v>
      </c>
      <c r="L35" s="101" t="s">
        <v>329</v>
      </c>
      <c r="M35" s="101" t="s">
        <v>329</v>
      </c>
      <c r="N35" s="23"/>
      <c r="O35" s="90" t="s">
        <v>158</v>
      </c>
      <c r="P35" s="101" t="s">
        <v>334</v>
      </c>
      <c r="Q35" s="101" t="s">
        <v>334</v>
      </c>
      <c r="R35" s="101" t="s">
        <v>334</v>
      </c>
      <c r="S35" s="101" t="s">
        <v>334</v>
      </c>
      <c r="T35" s="101" t="s">
        <v>334</v>
      </c>
      <c r="U35" s="101" t="s">
        <v>334</v>
      </c>
      <c r="V35" s="23"/>
      <c r="W35" s="90" t="s">
        <v>16</v>
      </c>
      <c r="X35" s="101">
        <f t="shared" ref="X35:AC35" si="21">P29</f>
        <v>146.4</v>
      </c>
      <c r="Y35" s="101">
        <f t="shared" si="21"/>
        <v>216</v>
      </c>
      <c r="Z35" s="101">
        <f t="shared" si="21"/>
        <v>103.65</v>
      </c>
      <c r="AA35" s="101">
        <f t="shared" si="21"/>
        <v>93.6</v>
      </c>
      <c r="AB35" s="101">
        <f t="shared" si="21"/>
        <v>23.4</v>
      </c>
      <c r="AC35" s="101">
        <f t="shared" si="21"/>
        <v>25.65</v>
      </c>
      <c r="AD35" s="23"/>
      <c r="AE35" s="1"/>
      <c r="AF35" s="1"/>
      <c r="AG35" s="1"/>
      <c r="AH35" s="1"/>
      <c r="AI35" s="1"/>
      <c r="AJ35" s="1"/>
      <c r="AK35" s="1"/>
      <c r="AL35" s="23"/>
    </row>
    <row r="36" ht="15.75" customHeight="1">
      <c r="C36" s="23"/>
      <c r="F36" s="23"/>
      <c r="G36" s="100" t="s">
        <v>162</v>
      </c>
      <c r="H36" s="101">
        <f>'Ore Base Price Calculator'!$I$16*$G$33</f>
        <v>585.6</v>
      </c>
      <c r="I36" s="101">
        <f>'Ore Base Price Calculator'!$J$16*$G$33</f>
        <v>864</v>
      </c>
      <c r="J36" s="101">
        <f>'Ore Base Price Calculator'!$N$16*$G$33</f>
        <v>244.2</v>
      </c>
      <c r="K36" s="101">
        <f>'Ore Base Price Calculator'!$I$26*$G$33</f>
        <v>398.4</v>
      </c>
      <c r="L36" s="101">
        <f>'Ore Base Price Calculator'!$I$46*$G$33</f>
        <v>237.6</v>
      </c>
      <c r="M36" s="101">
        <f>'Ore Base Price Calculator'!$I$36*$G$33</f>
        <v>136.8</v>
      </c>
      <c r="N36" s="23"/>
      <c r="O36" s="100" t="s">
        <v>162</v>
      </c>
      <c r="P36" s="101">
        <f>P$6/('Salary Calculator'!$D$10/2)</f>
        <v>109.8</v>
      </c>
      <c r="Q36" s="101">
        <f>Q$6/('Salary Calculator'!$D$10/2)</f>
        <v>162</v>
      </c>
      <c r="R36" s="101">
        <f>R$6/('Salary Calculator'!$D$10/2)</f>
        <v>45.7875</v>
      </c>
      <c r="S36" s="101">
        <f>S$6/('Salary Calculator'!$D$10/2)</f>
        <v>74.7</v>
      </c>
      <c r="T36" s="101">
        <f>T$6/('Salary Calculator'!$D$10/2)</f>
        <v>44.55</v>
      </c>
      <c r="U36" s="101">
        <f>U$6/('Salary Calculator'!$D$10/2)</f>
        <v>25.65</v>
      </c>
      <c r="V36" s="23"/>
      <c r="W36" s="90" t="s">
        <v>17</v>
      </c>
      <c r="X36" s="101">
        <f t="shared" ref="X36:AC36" si="22">P39</f>
        <v>109.8</v>
      </c>
      <c r="Y36" s="101">
        <f t="shared" si="22"/>
        <v>162</v>
      </c>
      <c r="Z36" s="101">
        <f t="shared" si="22"/>
        <v>77.7375</v>
      </c>
      <c r="AA36" s="101">
        <f t="shared" si="22"/>
        <v>70.2</v>
      </c>
      <c r="AB36" s="101">
        <f t="shared" si="22"/>
        <v>17.55</v>
      </c>
      <c r="AC36" s="101">
        <f t="shared" si="22"/>
        <v>19.2375</v>
      </c>
      <c r="AD36" s="23"/>
      <c r="AE36" s="1"/>
      <c r="AF36" s="1"/>
      <c r="AG36" s="1"/>
      <c r="AH36" s="1"/>
      <c r="AI36" s="1"/>
      <c r="AJ36" s="1"/>
      <c r="AK36" s="1"/>
      <c r="AL36" s="23"/>
    </row>
    <row r="37" ht="15.75" customHeight="1">
      <c r="C37" s="23"/>
      <c r="F37" s="23"/>
      <c r="G37" s="105" t="s">
        <v>165</v>
      </c>
      <c r="H37" s="101">
        <f>'Ore Base Price Calculator'!$I$17*$G$33</f>
        <v>585.6</v>
      </c>
      <c r="I37" s="101">
        <f>'Ore Base Price Calculator'!$J$17*$G$33</f>
        <v>864</v>
      </c>
      <c r="J37" s="101">
        <f>'Ore Base Price Calculator'!$N$17*$G$33</f>
        <v>510.6</v>
      </c>
      <c r="K37" s="101">
        <f>'Ore Base Price Calculator'!$I$27*$G$33</f>
        <v>158.4</v>
      </c>
      <c r="L37" s="101">
        <f>'Ore Base Price Calculator'!$I$47*$G$33</f>
        <v>309.6</v>
      </c>
      <c r="M37" s="101">
        <f>'Ore Base Price Calculator'!$I$37*$G$33</f>
        <v>376.8</v>
      </c>
      <c r="N37" s="23"/>
      <c r="O37" s="105" t="s">
        <v>165</v>
      </c>
      <c r="P37" s="101">
        <f>P$7/('Salary Calculator'!$D$10/2)</f>
        <v>109.8</v>
      </c>
      <c r="Q37" s="101">
        <f>Q$7/('Salary Calculator'!$D$10/2)</f>
        <v>162</v>
      </c>
      <c r="R37" s="101">
        <f>R$7/('Salary Calculator'!$D$10/2)</f>
        <v>95.7375</v>
      </c>
      <c r="S37" s="101">
        <f>S$7/('Salary Calculator'!$D$10/2)</f>
        <v>29.7</v>
      </c>
      <c r="T37" s="101">
        <f>T$7/('Salary Calculator'!$D$10/2)</f>
        <v>58.05</v>
      </c>
      <c r="U37" s="101">
        <f>U$7/('Salary Calculator'!$D$10/2)</f>
        <v>70.65</v>
      </c>
      <c r="V37" s="23"/>
      <c r="W37" s="90" t="s">
        <v>18</v>
      </c>
      <c r="X37" s="101">
        <f t="shared" ref="X37:AC37" si="23">P49</f>
        <v>73.2</v>
      </c>
      <c r="Y37" s="101">
        <f t="shared" si="23"/>
        <v>108</v>
      </c>
      <c r="Z37" s="101">
        <f t="shared" si="23"/>
        <v>51.825</v>
      </c>
      <c r="AA37" s="101">
        <f t="shared" si="23"/>
        <v>46.8</v>
      </c>
      <c r="AB37" s="101">
        <f t="shared" si="23"/>
        <v>11.7</v>
      </c>
      <c r="AC37" s="101">
        <f t="shared" si="23"/>
        <v>12.825</v>
      </c>
      <c r="AD37" s="23"/>
      <c r="AE37" s="1"/>
      <c r="AF37" s="1"/>
      <c r="AG37" s="1"/>
      <c r="AH37" s="1"/>
      <c r="AI37" s="1"/>
      <c r="AJ37" s="1"/>
      <c r="AK37" s="1"/>
      <c r="AL37" s="23"/>
    </row>
    <row r="38" ht="15.75" customHeight="1">
      <c r="C38" s="15"/>
      <c r="F38" s="15"/>
      <c r="G38" s="108" t="s">
        <v>167</v>
      </c>
      <c r="H38" s="101">
        <f>'Ore Base Price Calculator'!$I$18*$G$33</f>
        <v>657.6</v>
      </c>
      <c r="I38" s="101">
        <f>'Ore Base Price Calculator'!$J$18*$G$33</f>
        <v>936</v>
      </c>
      <c r="J38" s="101">
        <f>'Ore Base Price Calculator'!$N$18*$G$33</f>
        <v>486.6</v>
      </c>
      <c r="K38" s="101">
        <f>'Ore Base Price Calculator'!$I$28*$G$33</f>
        <v>446.4</v>
      </c>
      <c r="L38" s="101">
        <f>'Ore Base Price Calculator'!$I$48*$G$33</f>
        <v>165.6</v>
      </c>
      <c r="M38" s="101">
        <f>'Ore Base Price Calculator'!$I$38*$G$33</f>
        <v>208.8</v>
      </c>
      <c r="N38" s="15"/>
      <c r="O38" s="108" t="s">
        <v>167</v>
      </c>
      <c r="P38" s="101">
        <f>P$8/('Salary Calculator'!$D$10/2)</f>
        <v>123.3</v>
      </c>
      <c r="Q38" s="101">
        <f>Q$8/('Salary Calculator'!$D$10/2)</f>
        <v>175.5</v>
      </c>
      <c r="R38" s="101">
        <f>R$8/('Salary Calculator'!$D$10/2)</f>
        <v>91.2375</v>
      </c>
      <c r="S38" s="101">
        <f>S$8/('Salary Calculator'!$D$10/2)</f>
        <v>83.7</v>
      </c>
      <c r="T38" s="101">
        <f>T$8/('Salary Calculator'!$D$10/2)</f>
        <v>31.05</v>
      </c>
      <c r="U38" s="101">
        <f>U$8/('Salary Calculator'!$D$10/2)</f>
        <v>39.15</v>
      </c>
      <c r="V38" s="15"/>
      <c r="W38" s="1"/>
      <c r="X38" s="1"/>
      <c r="Y38" s="1"/>
      <c r="Z38" s="1"/>
      <c r="AA38" s="1"/>
      <c r="AB38" s="1"/>
      <c r="AC38" s="1"/>
      <c r="AD38" s="15"/>
      <c r="AE38" s="1"/>
      <c r="AF38" s="1"/>
      <c r="AG38" s="1"/>
      <c r="AH38" s="1"/>
      <c r="AI38" s="1"/>
      <c r="AJ38" s="1"/>
      <c r="AK38" s="1"/>
      <c r="AL38" s="15"/>
    </row>
    <row r="39" ht="15.75" customHeight="1">
      <c r="C39" s="15"/>
      <c r="F39" s="15"/>
      <c r="G39" s="111" t="s">
        <v>123</v>
      </c>
      <c r="H39" s="101">
        <f>'Ore Base Price Calculator'!$I$19*$G$33</f>
        <v>585.6</v>
      </c>
      <c r="I39" s="101">
        <f>'Ore Base Price Calculator'!$J$19*$G$33</f>
        <v>864</v>
      </c>
      <c r="J39" s="101">
        <f>'Ore Base Price Calculator'!$N$19*$G$33</f>
        <v>414.6</v>
      </c>
      <c r="K39" s="101">
        <f>'Ore Base Price Calculator'!$I$29*$G$33</f>
        <v>374.4</v>
      </c>
      <c r="L39" s="101">
        <f>'Ore Base Price Calculator'!$I$49*$G$33</f>
        <v>93.6</v>
      </c>
      <c r="M39" s="101">
        <f>'Ore Base Price Calculator'!$I$39*$G$33</f>
        <v>102.6</v>
      </c>
      <c r="N39" s="15"/>
      <c r="O39" s="111" t="s">
        <v>123</v>
      </c>
      <c r="P39" s="101">
        <f>P$9/('Salary Calculator'!$D$10/2)</f>
        <v>109.8</v>
      </c>
      <c r="Q39" s="101">
        <f>Q$9/('Salary Calculator'!$D$10/2)</f>
        <v>162</v>
      </c>
      <c r="R39" s="101">
        <f>R$9/('Salary Calculator'!$D$10/2)</f>
        <v>77.7375</v>
      </c>
      <c r="S39" s="101">
        <f>S$9/('Salary Calculator'!$D$10/2)</f>
        <v>70.2</v>
      </c>
      <c r="T39" s="101">
        <f>T$9/('Salary Calculator'!$D$10/2)</f>
        <v>17.55</v>
      </c>
      <c r="U39" s="101">
        <f>U$9/('Salary Calculator'!$D$10/2)</f>
        <v>19.2375</v>
      </c>
      <c r="V39" s="15"/>
      <c r="W39" s="1"/>
      <c r="X39" s="1"/>
      <c r="Y39" s="1"/>
      <c r="Z39" s="1"/>
      <c r="AA39" s="1"/>
      <c r="AB39" s="1"/>
      <c r="AC39" s="1"/>
      <c r="AD39" s="15"/>
      <c r="AE39" s="1"/>
      <c r="AF39" s="1"/>
      <c r="AG39" s="1"/>
      <c r="AH39" s="1"/>
      <c r="AI39" s="1"/>
      <c r="AJ39" s="1"/>
      <c r="AK39" s="1"/>
      <c r="AL39" s="15"/>
    </row>
    <row r="40" ht="15.75" customHeight="1">
      <c r="C40" s="15"/>
      <c r="F40" s="15"/>
      <c r="N40" s="15"/>
      <c r="O40" s="127" t="s">
        <v>341</v>
      </c>
      <c r="P40" s="33">
        <f t="shared" ref="P40:U40" si="24">(((P39+P38+P37+P36)/4))</f>
        <v>113.175</v>
      </c>
      <c r="Q40" s="33">
        <f t="shared" si="24"/>
        <v>165.375</v>
      </c>
      <c r="R40" s="33">
        <f t="shared" si="24"/>
        <v>77.625</v>
      </c>
      <c r="S40" s="33">
        <f t="shared" si="24"/>
        <v>64.575</v>
      </c>
      <c r="T40" s="33">
        <f t="shared" si="24"/>
        <v>37.8</v>
      </c>
      <c r="U40" s="33">
        <f t="shared" si="24"/>
        <v>38.671875</v>
      </c>
      <c r="V40" s="15"/>
      <c r="W40" s="1"/>
      <c r="X40" s="1"/>
      <c r="Y40" s="1"/>
      <c r="Z40" s="1"/>
      <c r="AA40" s="1"/>
      <c r="AB40" s="1"/>
      <c r="AC40" s="1"/>
      <c r="AD40" s="15"/>
      <c r="AE40" s="1"/>
      <c r="AF40" s="1"/>
      <c r="AG40" s="1"/>
      <c r="AH40" s="1"/>
      <c r="AI40" s="1"/>
      <c r="AJ40" s="1"/>
      <c r="AK40" s="1"/>
      <c r="AL40" s="15"/>
    </row>
    <row r="41" ht="15.75" customHeight="1">
      <c r="C41" s="15"/>
      <c r="F41" s="15"/>
      <c r="N41" s="15"/>
      <c r="V41" s="15"/>
      <c r="W41" s="1"/>
      <c r="X41" s="1"/>
      <c r="Y41" s="1"/>
      <c r="Z41" s="1"/>
      <c r="AA41" s="1"/>
      <c r="AB41" s="1"/>
      <c r="AC41" s="1"/>
      <c r="AD41" s="15"/>
      <c r="AE41" s="1"/>
      <c r="AF41" s="1"/>
      <c r="AG41" s="1"/>
      <c r="AH41" s="1"/>
      <c r="AI41" s="1"/>
      <c r="AJ41" s="1"/>
      <c r="AK41" s="1"/>
      <c r="AL41" s="15"/>
    </row>
    <row r="42" ht="15.75" customHeight="1">
      <c r="C42" s="15"/>
      <c r="F42" s="15"/>
      <c r="N42" s="15"/>
      <c r="O42" s="16" t="s">
        <v>332</v>
      </c>
      <c r="V42" s="15"/>
      <c r="W42" s="1"/>
      <c r="X42" s="1"/>
      <c r="Y42" s="1"/>
      <c r="Z42" s="1"/>
      <c r="AA42" s="1"/>
      <c r="AB42" s="1"/>
      <c r="AC42" s="1"/>
      <c r="AD42" s="15"/>
      <c r="AE42" s="1"/>
      <c r="AF42" s="1"/>
      <c r="AG42" s="1"/>
      <c r="AH42" s="1"/>
      <c r="AI42" s="1"/>
      <c r="AJ42" s="1"/>
      <c r="AK42" s="1"/>
      <c r="AL42" s="15"/>
    </row>
    <row r="43" ht="15.75" customHeight="1">
      <c r="C43" s="15"/>
      <c r="F43" s="15"/>
      <c r="N43" s="15"/>
      <c r="O43" s="21"/>
      <c r="P43" s="90" t="s">
        <v>324</v>
      </c>
      <c r="Q43" s="90" t="s">
        <v>325</v>
      </c>
      <c r="R43" s="90" t="s">
        <v>307</v>
      </c>
      <c r="S43" s="90" t="s">
        <v>312</v>
      </c>
      <c r="T43" s="90" t="s">
        <v>266</v>
      </c>
      <c r="U43" s="90" t="s">
        <v>326</v>
      </c>
      <c r="V43" s="15"/>
      <c r="W43" s="1"/>
      <c r="X43" s="1"/>
      <c r="Y43" s="1"/>
      <c r="Z43" s="1"/>
      <c r="AA43" s="1"/>
      <c r="AB43" s="1"/>
      <c r="AC43" s="1"/>
      <c r="AD43" s="15"/>
      <c r="AE43" s="1"/>
      <c r="AF43" s="1"/>
      <c r="AG43" s="1"/>
      <c r="AH43" s="1"/>
      <c r="AI43" s="1"/>
      <c r="AJ43" s="1"/>
      <c r="AK43" s="1"/>
      <c r="AL43" s="15"/>
    </row>
    <row r="44" ht="15.75" customHeight="1">
      <c r="C44" s="15"/>
      <c r="F44" s="15"/>
      <c r="N44" s="15"/>
      <c r="O44" s="95"/>
      <c r="P44" s="128" t="s">
        <v>18</v>
      </c>
      <c r="Q44" s="128" t="s">
        <v>18</v>
      </c>
      <c r="R44" s="128" t="s">
        <v>18</v>
      </c>
      <c r="S44" s="128" t="s">
        <v>18</v>
      </c>
      <c r="T44" s="128" t="s">
        <v>18</v>
      </c>
      <c r="U44" s="128" t="s">
        <v>18</v>
      </c>
      <c r="V44" s="15"/>
      <c r="W44" s="1"/>
      <c r="X44" s="1"/>
      <c r="Y44" s="1"/>
      <c r="Z44" s="1"/>
      <c r="AA44" s="1"/>
      <c r="AB44" s="1"/>
      <c r="AC44" s="1"/>
      <c r="AD44" s="15"/>
      <c r="AE44" s="1"/>
      <c r="AF44" s="1"/>
      <c r="AG44" s="1"/>
      <c r="AH44" s="1"/>
      <c r="AI44" s="1"/>
      <c r="AJ44" s="1"/>
      <c r="AK44" s="1"/>
      <c r="AL44" s="15"/>
    </row>
    <row r="45" ht="15.75" customHeight="1">
      <c r="C45" s="15"/>
      <c r="F45" s="15"/>
      <c r="N45" s="15"/>
      <c r="O45" s="90" t="s">
        <v>158</v>
      </c>
      <c r="P45" s="101" t="s">
        <v>334</v>
      </c>
      <c r="Q45" s="101" t="s">
        <v>334</v>
      </c>
      <c r="R45" s="101" t="s">
        <v>334</v>
      </c>
      <c r="S45" s="101" t="s">
        <v>334</v>
      </c>
      <c r="T45" s="101" t="s">
        <v>334</v>
      </c>
      <c r="U45" s="101" t="s">
        <v>334</v>
      </c>
      <c r="V45" s="15"/>
      <c r="W45" s="1"/>
      <c r="X45" s="1"/>
      <c r="Y45" s="1"/>
      <c r="Z45" s="1"/>
      <c r="AA45" s="1"/>
      <c r="AB45" s="1"/>
      <c r="AC45" s="1"/>
      <c r="AD45" s="15"/>
      <c r="AE45" s="1"/>
      <c r="AF45" s="1"/>
      <c r="AG45" s="1"/>
      <c r="AH45" s="1"/>
      <c r="AI45" s="1"/>
      <c r="AJ45" s="1"/>
      <c r="AK45" s="1"/>
      <c r="AL45" s="15"/>
    </row>
    <row r="46" ht="15.75" customHeight="1">
      <c r="C46" s="15"/>
      <c r="F46" s="15"/>
      <c r="N46" s="15"/>
      <c r="O46" s="100" t="s">
        <v>162</v>
      </c>
      <c r="P46" s="101">
        <f>P$6/('Salary Calculator'!$E$10/2)</f>
        <v>73.2</v>
      </c>
      <c r="Q46" s="101">
        <f>Q$6/('Salary Calculator'!$E$10/2)</f>
        <v>108</v>
      </c>
      <c r="R46" s="101">
        <f>R$6/('Salary Calculator'!$E$10/2)</f>
        <v>30.525</v>
      </c>
      <c r="S46" s="101">
        <f>S$6/('Salary Calculator'!$E$10/2)</f>
        <v>49.8</v>
      </c>
      <c r="T46" s="101">
        <f>T$6/('Salary Calculator'!$E$10/2)</f>
        <v>29.7</v>
      </c>
      <c r="U46" s="101">
        <f>U$6/('Salary Calculator'!$E$10/2)</f>
        <v>17.1</v>
      </c>
      <c r="V46" s="15"/>
      <c r="W46" s="1"/>
      <c r="X46" s="1"/>
      <c r="Y46" s="1"/>
      <c r="Z46" s="1"/>
      <c r="AA46" s="1"/>
      <c r="AB46" s="1"/>
      <c r="AC46" s="1"/>
      <c r="AD46" s="15"/>
      <c r="AE46" s="1"/>
      <c r="AF46" s="1"/>
      <c r="AG46" s="1"/>
      <c r="AH46" s="1"/>
      <c r="AI46" s="1"/>
      <c r="AJ46" s="1"/>
      <c r="AK46" s="1"/>
      <c r="AL46" s="15"/>
    </row>
    <row r="47" ht="15.75" customHeight="1">
      <c r="C47" s="15"/>
      <c r="F47" s="15"/>
      <c r="N47" s="15"/>
      <c r="O47" s="105" t="s">
        <v>165</v>
      </c>
      <c r="P47" s="101">
        <f>P$7/('Salary Calculator'!$E$10/2)</f>
        <v>73.2</v>
      </c>
      <c r="Q47" s="101">
        <f>Q$7/('Salary Calculator'!$E$10/2)</f>
        <v>108</v>
      </c>
      <c r="R47" s="101">
        <f>R$7/('Salary Calculator'!$E$10/2)</f>
        <v>63.825</v>
      </c>
      <c r="S47" s="101">
        <f>S$7/('Salary Calculator'!$E$10/2)</f>
        <v>19.8</v>
      </c>
      <c r="T47" s="101">
        <f>T$7/('Salary Calculator'!$E$10/2)</f>
        <v>38.7</v>
      </c>
      <c r="U47" s="101">
        <f>U$7/('Salary Calculator'!$E$10/2)</f>
        <v>47.1</v>
      </c>
      <c r="V47" s="15"/>
      <c r="W47" s="1"/>
      <c r="X47" s="1"/>
      <c r="Y47" s="1"/>
      <c r="Z47" s="1"/>
      <c r="AA47" s="1"/>
      <c r="AB47" s="1"/>
      <c r="AC47" s="1"/>
      <c r="AD47" s="15"/>
      <c r="AE47" s="1"/>
      <c r="AF47" s="1"/>
      <c r="AG47" s="1"/>
      <c r="AH47" s="1"/>
      <c r="AI47" s="1"/>
      <c r="AJ47" s="1"/>
      <c r="AK47" s="1"/>
      <c r="AL47" s="15"/>
    </row>
    <row r="48" ht="15.75" customHeight="1">
      <c r="C48" s="15"/>
      <c r="F48" s="15"/>
      <c r="N48" s="15"/>
      <c r="O48" s="108" t="s">
        <v>167</v>
      </c>
      <c r="P48" s="101">
        <f>P$8/('Salary Calculator'!$E$10/2)</f>
        <v>82.2</v>
      </c>
      <c r="Q48" s="101">
        <f>Q$8/('Salary Calculator'!$E$10/2)</f>
        <v>117</v>
      </c>
      <c r="R48" s="101">
        <f>R$8/('Salary Calculator'!$E$10/2)</f>
        <v>60.825</v>
      </c>
      <c r="S48" s="101">
        <f>S$8/('Salary Calculator'!$E$10/2)</f>
        <v>55.8</v>
      </c>
      <c r="T48" s="101">
        <f>T$8/('Salary Calculator'!$E$10/2)</f>
        <v>20.7</v>
      </c>
      <c r="U48" s="101">
        <f>U$8/('Salary Calculator'!$E$10/2)</f>
        <v>26.1</v>
      </c>
      <c r="V48" s="15"/>
      <c r="W48" s="1"/>
      <c r="X48" s="1"/>
      <c r="Y48" s="1"/>
      <c r="Z48" s="1"/>
      <c r="AA48" s="1"/>
      <c r="AB48" s="1"/>
      <c r="AC48" s="1"/>
      <c r="AD48" s="15"/>
      <c r="AE48" s="1"/>
      <c r="AF48" s="1"/>
      <c r="AG48" s="1"/>
      <c r="AH48" s="1"/>
      <c r="AI48" s="1"/>
      <c r="AJ48" s="1"/>
      <c r="AK48" s="1"/>
      <c r="AL48" s="15"/>
    </row>
    <row r="49" ht="15.75" customHeight="1">
      <c r="C49" s="15"/>
      <c r="F49" s="15"/>
      <c r="N49" s="15"/>
      <c r="O49" s="111" t="s">
        <v>123</v>
      </c>
      <c r="P49" s="101">
        <f>P$9/('Salary Calculator'!$E$10/2)</f>
        <v>73.2</v>
      </c>
      <c r="Q49" s="101">
        <f>Q$9/('Salary Calculator'!$E$10/2)</f>
        <v>108</v>
      </c>
      <c r="R49" s="101">
        <f>R$9/('Salary Calculator'!$E$10/2)</f>
        <v>51.825</v>
      </c>
      <c r="S49" s="101">
        <f>S$9/('Salary Calculator'!$E$10/2)</f>
        <v>46.8</v>
      </c>
      <c r="T49" s="101">
        <f>T$9/('Salary Calculator'!$E$10/2)</f>
        <v>11.7</v>
      </c>
      <c r="U49" s="101">
        <f>U$9/('Salary Calculator'!$E$10/2)</f>
        <v>12.825</v>
      </c>
      <c r="V49" s="15"/>
      <c r="W49" s="1"/>
      <c r="X49" s="1"/>
      <c r="Y49" s="1"/>
      <c r="Z49" s="1"/>
      <c r="AA49" s="1"/>
      <c r="AB49" s="1"/>
      <c r="AC49" s="1"/>
      <c r="AD49" s="15"/>
      <c r="AE49" s="1"/>
      <c r="AF49" s="1"/>
      <c r="AG49" s="1"/>
      <c r="AH49" s="1"/>
      <c r="AI49" s="1"/>
      <c r="AJ49" s="1"/>
      <c r="AK49" s="1"/>
      <c r="AL49" s="15"/>
    </row>
    <row r="50" ht="15.75" customHeight="1">
      <c r="C50" s="15"/>
      <c r="F50" s="15"/>
      <c r="N50" s="15"/>
      <c r="O50" s="127" t="s">
        <v>342</v>
      </c>
      <c r="P50" s="33">
        <f t="shared" ref="P50:U50" si="25">(((P49+P48+P47+P46)/4))</f>
        <v>75.45</v>
      </c>
      <c r="Q50" s="33">
        <f t="shared" si="25"/>
        <v>110.25</v>
      </c>
      <c r="R50" s="33">
        <f t="shared" si="25"/>
        <v>51.75</v>
      </c>
      <c r="S50" s="33">
        <f t="shared" si="25"/>
        <v>43.05</v>
      </c>
      <c r="T50" s="33">
        <f t="shared" si="25"/>
        <v>25.2</v>
      </c>
      <c r="U50" s="33">
        <f t="shared" si="25"/>
        <v>25.78125</v>
      </c>
      <c r="V50" s="15"/>
      <c r="W50" s="1"/>
      <c r="X50" s="1"/>
      <c r="Y50" s="1"/>
      <c r="Z50" s="1"/>
      <c r="AA50" s="1"/>
      <c r="AB50" s="1"/>
      <c r="AC50" s="1"/>
      <c r="AD50" s="15"/>
      <c r="AE50" s="1"/>
      <c r="AF50" s="1"/>
      <c r="AG50" s="1"/>
      <c r="AH50" s="1"/>
      <c r="AI50" s="1"/>
      <c r="AJ50" s="1"/>
      <c r="AK50" s="1"/>
      <c r="AL50" s="15"/>
    </row>
    <row r="51" ht="15.75" customHeight="1">
      <c r="C51" s="15"/>
      <c r="F51" s="15"/>
      <c r="N51" s="15"/>
      <c r="V51" s="15"/>
      <c r="W51" s="1"/>
      <c r="X51" s="1"/>
      <c r="Y51" s="1"/>
      <c r="Z51" s="1"/>
      <c r="AA51" s="1"/>
      <c r="AB51" s="1"/>
      <c r="AC51" s="1"/>
      <c r="AD51" s="15"/>
      <c r="AE51" s="1"/>
      <c r="AF51" s="1"/>
      <c r="AG51" s="1"/>
      <c r="AH51" s="1"/>
      <c r="AI51" s="1"/>
      <c r="AJ51" s="1"/>
      <c r="AK51" s="1"/>
      <c r="AL51" s="15"/>
    </row>
    <row r="52" ht="15.75" customHeight="1">
      <c r="C52" s="15"/>
      <c r="F52" s="15"/>
      <c r="N52" s="15"/>
      <c r="V52" s="15"/>
      <c r="W52" s="1"/>
      <c r="X52" s="1"/>
      <c r="Y52" s="1"/>
      <c r="Z52" s="1"/>
      <c r="AA52" s="1"/>
      <c r="AB52" s="1"/>
      <c r="AC52" s="1"/>
      <c r="AD52" s="15"/>
      <c r="AE52" s="1"/>
      <c r="AF52" s="1"/>
      <c r="AG52" s="1"/>
      <c r="AH52" s="1"/>
      <c r="AI52" s="1"/>
      <c r="AJ52" s="1"/>
      <c r="AK52" s="1"/>
      <c r="AL52" s="15"/>
    </row>
    <row r="53" ht="15.75" customHeight="1">
      <c r="C53" s="15"/>
      <c r="F53" s="15"/>
      <c r="N53" s="15"/>
      <c r="V53" s="15"/>
      <c r="W53" s="1"/>
      <c r="X53" s="1"/>
      <c r="Y53" s="1"/>
      <c r="Z53" s="1"/>
      <c r="AA53" s="1"/>
      <c r="AB53" s="1"/>
      <c r="AC53" s="1"/>
      <c r="AD53" s="15"/>
      <c r="AE53" s="1"/>
      <c r="AF53" s="1"/>
      <c r="AG53" s="1"/>
      <c r="AH53" s="1"/>
      <c r="AI53" s="1"/>
      <c r="AJ53" s="1"/>
      <c r="AK53" s="1"/>
      <c r="AL53" s="15"/>
    </row>
    <row r="54" ht="15.75" customHeight="1">
      <c r="C54" s="15"/>
      <c r="F54" s="15"/>
      <c r="N54" s="15"/>
      <c r="V54" s="15"/>
      <c r="W54" s="1"/>
      <c r="X54" s="1"/>
      <c r="Y54" s="1"/>
      <c r="Z54" s="1"/>
      <c r="AA54" s="1"/>
      <c r="AB54" s="1"/>
      <c r="AC54" s="1"/>
      <c r="AD54" s="15"/>
      <c r="AE54" s="1"/>
      <c r="AF54" s="1"/>
      <c r="AG54" s="1"/>
      <c r="AH54" s="1"/>
      <c r="AI54" s="1"/>
      <c r="AJ54" s="1"/>
      <c r="AK54" s="1"/>
      <c r="AL54" s="15"/>
    </row>
    <row r="55" ht="15.75" customHeight="1">
      <c r="C55" s="15"/>
      <c r="F55" s="15"/>
      <c r="N55" s="15"/>
      <c r="V55" s="15"/>
      <c r="W55" s="1"/>
      <c r="X55" s="1"/>
      <c r="Y55" s="1"/>
      <c r="Z55" s="1"/>
      <c r="AA55" s="1"/>
      <c r="AB55" s="1"/>
      <c r="AC55" s="1"/>
      <c r="AD55" s="15"/>
      <c r="AE55" s="1"/>
      <c r="AF55" s="1"/>
      <c r="AG55" s="1"/>
      <c r="AH55" s="1"/>
      <c r="AI55" s="1"/>
      <c r="AJ55" s="1"/>
      <c r="AK55" s="1"/>
      <c r="AL55" s="15"/>
    </row>
    <row r="56" ht="15.75" customHeight="1">
      <c r="C56" s="15"/>
      <c r="F56" s="15"/>
      <c r="N56" s="15"/>
      <c r="V56" s="15"/>
      <c r="W56" s="1"/>
      <c r="X56" s="1"/>
      <c r="Y56" s="1"/>
      <c r="Z56" s="1"/>
      <c r="AA56" s="1"/>
      <c r="AB56" s="1"/>
      <c r="AC56" s="1"/>
      <c r="AD56" s="15"/>
      <c r="AE56" s="1"/>
      <c r="AF56" s="1"/>
      <c r="AG56" s="1"/>
      <c r="AH56" s="1"/>
      <c r="AI56" s="1"/>
      <c r="AJ56" s="1"/>
      <c r="AK56" s="1"/>
      <c r="AL56" s="15"/>
    </row>
    <row r="57" ht="15.75" customHeight="1">
      <c r="C57" s="15"/>
      <c r="F57" s="15"/>
      <c r="N57" s="15"/>
      <c r="V57" s="15"/>
      <c r="W57" s="1"/>
      <c r="X57" s="1"/>
      <c r="Y57" s="1"/>
      <c r="Z57" s="1"/>
      <c r="AA57" s="1"/>
      <c r="AB57" s="1"/>
      <c r="AC57" s="1"/>
      <c r="AD57" s="15"/>
      <c r="AE57" s="1"/>
      <c r="AF57" s="1"/>
      <c r="AG57" s="1"/>
      <c r="AH57" s="1"/>
      <c r="AI57" s="1"/>
      <c r="AJ57" s="1"/>
      <c r="AK57" s="1"/>
      <c r="AL57" s="15"/>
    </row>
    <row r="58" ht="15.75" customHeight="1">
      <c r="C58" s="15"/>
      <c r="F58" s="15"/>
      <c r="N58" s="15"/>
      <c r="V58" s="15"/>
      <c r="W58" s="1"/>
      <c r="X58" s="1"/>
      <c r="Y58" s="1"/>
      <c r="Z58" s="1"/>
      <c r="AA58" s="1"/>
      <c r="AB58" s="1"/>
      <c r="AC58" s="1"/>
      <c r="AD58" s="15"/>
      <c r="AE58" s="1"/>
      <c r="AF58" s="1"/>
      <c r="AG58" s="1"/>
      <c r="AH58" s="1"/>
      <c r="AI58" s="1"/>
      <c r="AJ58" s="1"/>
      <c r="AK58" s="1"/>
      <c r="AL58" s="15"/>
    </row>
    <row r="59" ht="15.75" customHeight="1">
      <c r="C59" s="15"/>
      <c r="F59" s="15"/>
      <c r="N59" s="15"/>
      <c r="V59" s="15"/>
      <c r="W59" s="1"/>
      <c r="X59" s="1"/>
      <c r="Y59" s="1"/>
      <c r="Z59" s="1"/>
      <c r="AA59" s="1"/>
      <c r="AB59" s="1"/>
      <c r="AC59" s="1"/>
      <c r="AD59" s="15"/>
      <c r="AE59" s="1"/>
      <c r="AF59" s="1"/>
      <c r="AG59" s="1"/>
      <c r="AH59" s="1"/>
      <c r="AI59" s="1"/>
      <c r="AJ59" s="1"/>
      <c r="AK59" s="1"/>
      <c r="AL59" s="15"/>
    </row>
    <row r="60" ht="15.75" customHeight="1">
      <c r="C60" s="15"/>
      <c r="F60" s="15"/>
      <c r="N60" s="15"/>
      <c r="V60" s="15"/>
      <c r="W60" s="1"/>
      <c r="X60" s="1"/>
      <c r="Y60" s="1"/>
      <c r="Z60" s="1"/>
      <c r="AA60" s="1"/>
      <c r="AB60" s="1"/>
      <c r="AC60" s="1"/>
      <c r="AD60" s="15"/>
      <c r="AE60" s="1"/>
      <c r="AF60" s="1"/>
      <c r="AG60" s="1"/>
      <c r="AH60" s="1"/>
      <c r="AI60" s="1"/>
      <c r="AJ60" s="1"/>
      <c r="AK60" s="1"/>
      <c r="AL60" s="15"/>
    </row>
    <row r="61" ht="15.75" customHeight="1">
      <c r="C61" s="15"/>
      <c r="F61" s="15"/>
      <c r="N61" s="15"/>
      <c r="V61" s="15"/>
      <c r="W61" s="1"/>
      <c r="X61" s="1"/>
      <c r="Y61" s="1"/>
      <c r="Z61" s="1"/>
      <c r="AA61" s="1"/>
      <c r="AB61" s="1"/>
      <c r="AC61" s="1"/>
      <c r="AD61" s="15"/>
      <c r="AE61" s="1"/>
      <c r="AF61" s="1"/>
      <c r="AG61" s="1"/>
      <c r="AH61" s="1"/>
      <c r="AI61" s="1"/>
      <c r="AJ61" s="1"/>
      <c r="AK61" s="1"/>
      <c r="AL61" s="15"/>
    </row>
    <row r="62" ht="15.75" customHeight="1">
      <c r="C62" s="15"/>
      <c r="F62" s="15"/>
      <c r="N62" s="15"/>
      <c r="V62" s="15"/>
      <c r="W62" s="1"/>
      <c r="X62" s="1"/>
      <c r="Y62" s="1"/>
      <c r="Z62" s="1"/>
      <c r="AA62" s="1"/>
      <c r="AB62" s="1"/>
      <c r="AC62" s="1"/>
      <c r="AD62" s="15"/>
      <c r="AE62" s="1"/>
      <c r="AF62" s="1"/>
      <c r="AG62" s="1"/>
      <c r="AH62" s="1"/>
      <c r="AI62" s="1"/>
      <c r="AJ62" s="1"/>
      <c r="AK62" s="1"/>
      <c r="AL62" s="15"/>
    </row>
    <row r="63" ht="15.75" customHeight="1">
      <c r="C63" s="15"/>
      <c r="F63" s="15"/>
      <c r="N63" s="15"/>
      <c r="V63" s="15"/>
      <c r="W63" s="1"/>
      <c r="X63" s="1"/>
      <c r="Y63" s="1"/>
      <c r="Z63" s="1"/>
      <c r="AA63" s="1"/>
      <c r="AB63" s="1"/>
      <c r="AC63" s="1"/>
      <c r="AD63" s="15"/>
      <c r="AE63" s="1"/>
      <c r="AF63" s="1"/>
      <c r="AG63" s="1"/>
      <c r="AH63" s="1"/>
      <c r="AI63" s="1"/>
      <c r="AJ63" s="1"/>
      <c r="AK63" s="1"/>
      <c r="AL63" s="15"/>
    </row>
    <row r="64" ht="15.75" customHeight="1">
      <c r="C64" s="15"/>
      <c r="F64" s="15"/>
      <c r="N64" s="15"/>
      <c r="V64" s="15"/>
      <c r="W64" s="1"/>
      <c r="X64" s="1"/>
      <c r="Y64" s="1"/>
      <c r="Z64" s="1"/>
      <c r="AA64" s="1"/>
      <c r="AB64" s="1"/>
      <c r="AC64" s="1"/>
      <c r="AD64" s="15"/>
      <c r="AE64" s="1"/>
      <c r="AF64" s="1"/>
      <c r="AG64" s="1"/>
      <c r="AH64" s="1"/>
      <c r="AI64" s="1"/>
      <c r="AJ64" s="1"/>
      <c r="AK64" s="1"/>
      <c r="AL64" s="15"/>
    </row>
    <row r="65" ht="15.75" customHeight="1">
      <c r="C65" s="15"/>
      <c r="F65" s="15"/>
      <c r="N65" s="15"/>
      <c r="V65" s="15"/>
      <c r="W65" s="1"/>
      <c r="X65" s="1"/>
      <c r="Y65" s="1"/>
      <c r="Z65" s="1"/>
      <c r="AA65" s="1"/>
      <c r="AB65" s="1"/>
      <c r="AC65" s="1"/>
      <c r="AD65" s="15"/>
      <c r="AE65" s="1"/>
      <c r="AF65" s="1"/>
      <c r="AG65" s="1"/>
      <c r="AH65" s="1"/>
      <c r="AI65" s="1"/>
      <c r="AJ65" s="1"/>
      <c r="AK65" s="1"/>
      <c r="AL65" s="15"/>
    </row>
    <row r="66" ht="15.75" customHeight="1">
      <c r="C66" s="15"/>
      <c r="F66" s="15"/>
      <c r="N66" s="15"/>
      <c r="V66" s="15"/>
      <c r="W66" s="1"/>
      <c r="X66" s="1"/>
      <c r="Y66" s="1"/>
      <c r="Z66" s="1"/>
      <c r="AA66" s="1"/>
      <c r="AB66" s="1"/>
      <c r="AC66" s="1"/>
      <c r="AD66" s="15"/>
      <c r="AE66" s="1"/>
      <c r="AF66" s="1"/>
      <c r="AG66" s="1"/>
      <c r="AH66" s="1"/>
      <c r="AI66" s="1"/>
      <c r="AJ66" s="1"/>
      <c r="AK66" s="1"/>
      <c r="AL66" s="15"/>
    </row>
    <row r="67" ht="15.75" customHeight="1">
      <c r="C67" s="15"/>
      <c r="F67" s="15"/>
      <c r="N67" s="15"/>
      <c r="V67" s="15"/>
      <c r="W67" s="1"/>
      <c r="X67" s="1"/>
      <c r="Y67" s="1"/>
      <c r="Z67" s="1"/>
      <c r="AA67" s="1"/>
      <c r="AB67" s="1"/>
      <c r="AC67" s="1"/>
      <c r="AD67" s="15"/>
      <c r="AE67" s="1"/>
      <c r="AF67" s="1"/>
      <c r="AG67" s="1"/>
      <c r="AH67" s="1"/>
      <c r="AI67" s="1"/>
      <c r="AJ67" s="1"/>
      <c r="AK67" s="1"/>
      <c r="AL67" s="15"/>
    </row>
    <row r="68" ht="15.75" customHeight="1">
      <c r="C68" s="15"/>
      <c r="F68" s="15"/>
      <c r="N68" s="15"/>
      <c r="V68" s="15"/>
      <c r="W68" s="1"/>
      <c r="X68" s="1"/>
      <c r="Y68" s="1"/>
      <c r="Z68" s="1"/>
      <c r="AA68" s="1"/>
      <c r="AB68" s="1"/>
      <c r="AC68" s="1"/>
      <c r="AD68" s="15"/>
      <c r="AE68" s="1"/>
      <c r="AF68" s="1"/>
      <c r="AG68" s="1"/>
      <c r="AH68" s="1"/>
      <c r="AI68" s="1"/>
      <c r="AJ68" s="1"/>
      <c r="AK68" s="1"/>
      <c r="AL68" s="15"/>
    </row>
    <row r="69" ht="15.75" customHeight="1">
      <c r="C69" s="15"/>
      <c r="F69" s="15"/>
      <c r="N69" s="15"/>
      <c r="V69" s="15"/>
      <c r="W69" s="1"/>
      <c r="X69" s="1"/>
      <c r="Y69" s="1"/>
      <c r="Z69" s="1"/>
      <c r="AA69" s="1"/>
      <c r="AB69" s="1"/>
      <c r="AC69" s="1"/>
      <c r="AD69" s="15"/>
      <c r="AE69" s="1"/>
      <c r="AF69" s="1"/>
      <c r="AG69" s="1"/>
      <c r="AH69" s="1"/>
      <c r="AI69" s="1"/>
      <c r="AJ69" s="1"/>
      <c r="AK69" s="1"/>
      <c r="AL69" s="15"/>
    </row>
    <row r="70" ht="15.75" customHeight="1">
      <c r="C70" s="15"/>
      <c r="F70" s="15"/>
      <c r="N70" s="15"/>
      <c r="V70" s="15"/>
      <c r="W70" s="1"/>
      <c r="X70" s="1"/>
      <c r="Y70" s="1"/>
      <c r="Z70" s="1"/>
      <c r="AA70" s="1"/>
      <c r="AB70" s="1"/>
      <c r="AC70" s="1"/>
      <c r="AD70" s="15"/>
      <c r="AE70" s="1"/>
      <c r="AF70" s="1"/>
      <c r="AG70" s="1"/>
      <c r="AH70" s="1"/>
      <c r="AI70" s="1"/>
      <c r="AJ70" s="1"/>
      <c r="AK70" s="1"/>
      <c r="AL70" s="15"/>
    </row>
    <row r="71" ht="15.75" customHeight="1">
      <c r="C71" s="15"/>
      <c r="F71" s="15"/>
      <c r="N71" s="15"/>
      <c r="V71" s="15"/>
      <c r="W71" s="1"/>
      <c r="X71" s="1"/>
      <c r="Y71" s="1"/>
      <c r="Z71" s="1"/>
      <c r="AA71" s="1"/>
      <c r="AB71" s="1"/>
      <c r="AC71" s="1"/>
      <c r="AD71" s="15"/>
      <c r="AE71" s="1"/>
      <c r="AF71" s="1"/>
      <c r="AG71" s="1"/>
      <c r="AH71" s="1"/>
      <c r="AI71" s="1"/>
      <c r="AJ71" s="1"/>
      <c r="AK71" s="1"/>
      <c r="AL71" s="15"/>
    </row>
    <row r="72" ht="15.75" customHeight="1">
      <c r="C72" s="15"/>
      <c r="F72" s="15"/>
      <c r="N72" s="15"/>
      <c r="V72" s="15"/>
      <c r="W72" s="1"/>
      <c r="X72" s="1"/>
      <c r="Y72" s="1"/>
      <c r="Z72" s="1"/>
      <c r="AA72" s="1"/>
      <c r="AB72" s="1"/>
      <c r="AC72" s="1"/>
      <c r="AD72" s="15"/>
      <c r="AE72" s="1"/>
      <c r="AF72" s="1"/>
      <c r="AG72" s="1"/>
      <c r="AH72" s="1"/>
      <c r="AI72" s="1"/>
      <c r="AJ72" s="1"/>
      <c r="AK72" s="1"/>
      <c r="AL72" s="15"/>
    </row>
    <row r="73" ht="15.75" customHeight="1">
      <c r="C73" s="15"/>
      <c r="F73" s="15"/>
      <c r="N73" s="15"/>
      <c r="V73" s="15"/>
      <c r="W73" s="1"/>
      <c r="X73" s="1"/>
      <c r="Y73" s="1"/>
      <c r="Z73" s="1"/>
      <c r="AA73" s="1"/>
      <c r="AB73" s="1"/>
      <c r="AC73" s="1"/>
      <c r="AD73" s="15"/>
      <c r="AE73" s="1"/>
      <c r="AF73" s="1"/>
      <c r="AG73" s="1"/>
      <c r="AH73" s="1"/>
      <c r="AI73" s="1"/>
      <c r="AJ73" s="1"/>
      <c r="AK73" s="1"/>
      <c r="AL73" s="15"/>
    </row>
    <row r="74" ht="15.75" customHeight="1">
      <c r="C74" s="15"/>
      <c r="F74" s="15"/>
      <c r="N74" s="15"/>
      <c r="V74" s="15"/>
      <c r="W74" s="1"/>
      <c r="X74" s="1"/>
      <c r="Y74" s="1"/>
      <c r="Z74" s="1"/>
      <c r="AA74" s="1"/>
      <c r="AB74" s="1"/>
      <c r="AC74" s="1"/>
      <c r="AD74" s="15"/>
      <c r="AE74" s="1"/>
      <c r="AF74" s="1"/>
      <c r="AG74" s="1"/>
      <c r="AH74" s="1"/>
      <c r="AI74" s="1"/>
      <c r="AJ74" s="1"/>
      <c r="AK74" s="1"/>
      <c r="AL74" s="15"/>
    </row>
    <row r="75" ht="15.75" customHeight="1">
      <c r="C75" s="15"/>
      <c r="F75" s="15"/>
      <c r="N75" s="15"/>
      <c r="V75" s="15"/>
      <c r="W75" s="1"/>
      <c r="X75" s="1"/>
      <c r="Y75" s="1"/>
      <c r="Z75" s="1"/>
      <c r="AA75" s="1"/>
      <c r="AB75" s="1"/>
      <c r="AC75" s="1"/>
      <c r="AD75" s="15"/>
      <c r="AE75" s="1"/>
      <c r="AF75" s="1"/>
      <c r="AG75" s="1"/>
      <c r="AH75" s="1"/>
      <c r="AI75" s="1"/>
      <c r="AJ75" s="1"/>
      <c r="AK75" s="1"/>
      <c r="AL75" s="15"/>
    </row>
    <row r="76" ht="15.75" customHeight="1">
      <c r="C76" s="15"/>
      <c r="F76" s="15"/>
      <c r="N76" s="15"/>
      <c r="V76" s="15"/>
      <c r="W76" s="1"/>
      <c r="X76" s="1"/>
      <c r="Y76" s="1"/>
      <c r="Z76" s="1"/>
      <c r="AA76" s="1"/>
      <c r="AB76" s="1"/>
      <c r="AC76" s="1"/>
      <c r="AD76" s="15"/>
      <c r="AE76" s="1"/>
      <c r="AF76" s="1"/>
      <c r="AG76" s="1"/>
      <c r="AH76" s="1"/>
      <c r="AI76" s="1"/>
      <c r="AJ76" s="1"/>
      <c r="AK76" s="1"/>
      <c r="AL76" s="15"/>
    </row>
    <row r="77" ht="15.75" customHeight="1">
      <c r="C77" s="15"/>
      <c r="F77" s="15"/>
      <c r="N77" s="15"/>
      <c r="V77" s="15"/>
      <c r="W77" s="1"/>
      <c r="X77" s="1"/>
      <c r="Y77" s="1"/>
      <c r="Z77" s="1"/>
      <c r="AA77" s="1"/>
      <c r="AB77" s="1"/>
      <c r="AC77" s="1"/>
      <c r="AD77" s="15"/>
      <c r="AE77" s="1"/>
      <c r="AF77" s="1"/>
      <c r="AG77" s="1"/>
      <c r="AH77" s="1"/>
      <c r="AI77" s="1"/>
      <c r="AJ77" s="1"/>
      <c r="AK77" s="1"/>
      <c r="AL77" s="15"/>
    </row>
    <row r="78" ht="15.75" customHeight="1">
      <c r="C78" s="15"/>
      <c r="F78" s="15"/>
      <c r="N78" s="15"/>
      <c r="V78" s="15"/>
      <c r="W78" s="1"/>
      <c r="X78" s="1"/>
      <c r="Y78" s="1"/>
      <c r="Z78" s="1"/>
      <c r="AA78" s="1"/>
      <c r="AB78" s="1"/>
      <c r="AC78" s="1"/>
      <c r="AD78" s="15"/>
      <c r="AE78" s="1"/>
      <c r="AF78" s="1"/>
      <c r="AG78" s="1"/>
      <c r="AH78" s="1"/>
      <c r="AI78" s="1"/>
      <c r="AJ78" s="1"/>
      <c r="AK78" s="1"/>
      <c r="AL78" s="15"/>
    </row>
    <row r="79" ht="15.75" customHeight="1">
      <c r="C79" s="15"/>
      <c r="F79" s="15"/>
      <c r="N79" s="15"/>
      <c r="V79" s="15"/>
      <c r="W79" s="1"/>
      <c r="X79" s="1"/>
      <c r="Y79" s="1"/>
      <c r="Z79" s="1"/>
      <c r="AA79" s="1"/>
      <c r="AB79" s="1"/>
      <c r="AC79" s="1"/>
      <c r="AD79" s="15"/>
      <c r="AE79" s="1"/>
      <c r="AF79" s="1"/>
      <c r="AG79" s="1"/>
      <c r="AH79" s="1"/>
      <c r="AI79" s="1"/>
      <c r="AJ79" s="1"/>
      <c r="AK79" s="1"/>
      <c r="AL79" s="15"/>
    </row>
    <row r="80" ht="15.75" customHeight="1">
      <c r="C80" s="15"/>
      <c r="F80" s="15"/>
      <c r="N80" s="15"/>
      <c r="V80" s="15"/>
      <c r="W80" s="1"/>
      <c r="X80" s="1"/>
      <c r="Y80" s="1"/>
      <c r="Z80" s="1"/>
      <c r="AA80" s="1"/>
      <c r="AB80" s="1"/>
      <c r="AC80" s="1"/>
      <c r="AD80" s="15"/>
      <c r="AE80" s="1"/>
      <c r="AF80" s="1"/>
      <c r="AG80" s="1"/>
      <c r="AH80" s="1"/>
      <c r="AI80" s="1"/>
      <c r="AJ80" s="1"/>
      <c r="AK80" s="1"/>
      <c r="AL80" s="15"/>
    </row>
    <row r="81" ht="15.75" customHeight="1">
      <c r="C81" s="15"/>
      <c r="F81" s="15"/>
      <c r="N81" s="15"/>
      <c r="V81" s="15"/>
      <c r="W81" s="1"/>
      <c r="X81" s="1"/>
      <c r="Y81" s="1"/>
      <c r="Z81" s="1"/>
      <c r="AA81" s="1"/>
      <c r="AB81" s="1"/>
      <c r="AC81" s="1"/>
      <c r="AD81" s="15"/>
      <c r="AE81" s="1"/>
      <c r="AF81" s="1"/>
      <c r="AG81" s="1"/>
      <c r="AH81" s="1"/>
      <c r="AI81" s="1"/>
      <c r="AJ81" s="1"/>
      <c r="AK81" s="1"/>
      <c r="AL81" s="15"/>
    </row>
    <row r="82" ht="15.75" customHeight="1">
      <c r="C82" s="15"/>
      <c r="F82" s="15"/>
      <c r="N82" s="15"/>
      <c r="V82" s="15"/>
      <c r="W82" s="1"/>
      <c r="X82" s="1"/>
      <c r="Y82" s="1"/>
      <c r="Z82" s="1"/>
      <c r="AA82" s="1"/>
      <c r="AB82" s="1"/>
      <c r="AC82" s="1"/>
      <c r="AD82" s="15"/>
      <c r="AE82" s="1"/>
      <c r="AF82" s="1"/>
      <c r="AG82" s="1"/>
      <c r="AH82" s="1"/>
      <c r="AI82" s="1"/>
      <c r="AJ82" s="1"/>
      <c r="AK82" s="1"/>
      <c r="AL82" s="15"/>
    </row>
    <row r="83" ht="15.75" customHeight="1">
      <c r="C83" s="15"/>
      <c r="F83" s="15"/>
      <c r="N83" s="15"/>
      <c r="V83" s="15"/>
      <c r="W83" s="1"/>
      <c r="X83" s="1"/>
      <c r="Y83" s="1"/>
      <c r="Z83" s="1"/>
      <c r="AA83" s="1"/>
      <c r="AB83" s="1"/>
      <c r="AC83" s="1"/>
      <c r="AD83" s="15"/>
      <c r="AE83" s="1"/>
      <c r="AF83" s="1"/>
      <c r="AG83" s="1"/>
      <c r="AH83" s="1"/>
      <c r="AI83" s="1"/>
      <c r="AJ83" s="1"/>
      <c r="AK83" s="1"/>
      <c r="AL83" s="15"/>
    </row>
    <row r="84" ht="15.75" customHeight="1">
      <c r="C84" s="15"/>
      <c r="F84" s="15"/>
      <c r="N84" s="15"/>
      <c r="V84" s="15"/>
      <c r="W84" s="1"/>
      <c r="X84" s="1"/>
      <c r="Y84" s="1"/>
      <c r="Z84" s="1"/>
      <c r="AA84" s="1"/>
      <c r="AB84" s="1"/>
      <c r="AC84" s="1"/>
      <c r="AD84" s="15"/>
      <c r="AE84" s="1"/>
      <c r="AF84" s="1"/>
      <c r="AG84" s="1"/>
      <c r="AH84" s="1"/>
      <c r="AI84" s="1"/>
      <c r="AJ84" s="1"/>
      <c r="AK84" s="1"/>
      <c r="AL84" s="15"/>
    </row>
    <row r="85" ht="15.75" customHeight="1">
      <c r="C85" s="15"/>
      <c r="F85" s="15"/>
      <c r="N85" s="15"/>
      <c r="V85" s="15"/>
      <c r="W85" s="1"/>
      <c r="X85" s="1"/>
      <c r="Y85" s="1"/>
      <c r="Z85" s="1"/>
      <c r="AA85" s="1"/>
      <c r="AB85" s="1"/>
      <c r="AC85" s="1"/>
      <c r="AD85" s="15"/>
      <c r="AE85" s="1"/>
      <c r="AF85" s="1"/>
      <c r="AG85" s="1"/>
      <c r="AH85" s="1"/>
      <c r="AI85" s="1"/>
      <c r="AJ85" s="1"/>
      <c r="AK85" s="1"/>
      <c r="AL85" s="15"/>
    </row>
    <row r="86" ht="15.75" customHeight="1">
      <c r="C86" s="15"/>
      <c r="F86" s="15"/>
      <c r="N86" s="15"/>
      <c r="V86" s="15"/>
      <c r="W86" s="1"/>
      <c r="X86" s="1"/>
      <c r="Y86" s="1"/>
      <c r="Z86" s="1"/>
      <c r="AA86" s="1"/>
      <c r="AB86" s="1"/>
      <c r="AC86" s="1"/>
      <c r="AD86" s="15"/>
      <c r="AE86" s="1"/>
      <c r="AF86" s="1"/>
      <c r="AG86" s="1"/>
      <c r="AH86" s="1"/>
      <c r="AI86" s="1"/>
      <c r="AJ86" s="1"/>
      <c r="AK86" s="1"/>
      <c r="AL86" s="15"/>
    </row>
    <row r="87" ht="15.75" customHeight="1">
      <c r="C87" s="15"/>
      <c r="F87" s="15"/>
      <c r="N87" s="15"/>
      <c r="V87" s="15"/>
      <c r="W87" s="1"/>
      <c r="X87" s="1"/>
      <c r="Y87" s="1"/>
      <c r="Z87" s="1"/>
      <c r="AA87" s="1"/>
      <c r="AB87" s="1"/>
      <c r="AC87" s="1"/>
      <c r="AD87" s="15"/>
      <c r="AE87" s="1"/>
      <c r="AF87" s="1"/>
      <c r="AG87" s="1"/>
      <c r="AH87" s="1"/>
      <c r="AI87" s="1"/>
      <c r="AJ87" s="1"/>
      <c r="AK87" s="1"/>
      <c r="AL87" s="15"/>
    </row>
    <row r="88" ht="15.75" customHeight="1">
      <c r="C88" s="15"/>
      <c r="F88" s="15"/>
      <c r="N88" s="15"/>
      <c r="V88" s="15"/>
      <c r="W88" s="1"/>
      <c r="X88" s="1"/>
      <c r="Y88" s="1"/>
      <c r="Z88" s="1"/>
      <c r="AA88" s="1"/>
      <c r="AB88" s="1"/>
      <c r="AC88" s="1"/>
      <c r="AD88" s="15"/>
      <c r="AE88" s="1"/>
      <c r="AF88" s="1"/>
      <c r="AG88" s="1"/>
      <c r="AH88" s="1"/>
      <c r="AI88" s="1"/>
      <c r="AJ88" s="1"/>
      <c r="AK88" s="1"/>
      <c r="AL88" s="15"/>
    </row>
    <row r="89" ht="15.75" customHeight="1">
      <c r="C89" s="15"/>
      <c r="F89" s="15"/>
      <c r="N89" s="15"/>
      <c r="V89" s="15"/>
      <c r="W89" s="1"/>
      <c r="X89" s="1"/>
      <c r="Y89" s="1"/>
      <c r="Z89" s="1"/>
      <c r="AA89" s="1"/>
      <c r="AB89" s="1"/>
      <c r="AC89" s="1"/>
      <c r="AD89" s="15"/>
      <c r="AE89" s="1"/>
      <c r="AF89" s="1"/>
      <c r="AG89" s="1"/>
      <c r="AH89" s="1"/>
      <c r="AI89" s="1"/>
      <c r="AJ89" s="1"/>
      <c r="AK89" s="1"/>
      <c r="AL89" s="15"/>
    </row>
    <row r="90" ht="15.75" customHeight="1">
      <c r="C90" s="15"/>
      <c r="F90" s="15"/>
      <c r="N90" s="15"/>
      <c r="V90" s="15"/>
      <c r="W90" s="1"/>
      <c r="X90" s="1"/>
      <c r="Y90" s="1"/>
      <c r="Z90" s="1"/>
      <c r="AA90" s="1"/>
      <c r="AB90" s="1"/>
      <c r="AC90" s="1"/>
      <c r="AD90" s="15"/>
      <c r="AE90" s="1"/>
      <c r="AF90" s="1"/>
      <c r="AG90" s="1"/>
      <c r="AH90" s="1"/>
      <c r="AI90" s="1"/>
      <c r="AJ90" s="1"/>
      <c r="AK90" s="1"/>
      <c r="AL90" s="15"/>
    </row>
    <row r="91" ht="15.75" customHeight="1">
      <c r="C91" s="15"/>
      <c r="F91" s="15"/>
      <c r="N91" s="15"/>
      <c r="V91" s="15"/>
      <c r="W91" s="1"/>
      <c r="X91" s="1"/>
      <c r="Y91" s="1"/>
      <c r="Z91" s="1"/>
      <c r="AA91" s="1"/>
      <c r="AB91" s="1"/>
      <c r="AC91" s="1"/>
      <c r="AD91" s="15"/>
      <c r="AE91" s="1"/>
      <c r="AF91" s="1"/>
      <c r="AG91" s="1"/>
      <c r="AH91" s="1"/>
      <c r="AI91" s="1"/>
      <c r="AJ91" s="1"/>
      <c r="AK91" s="1"/>
      <c r="AL91" s="15"/>
    </row>
    <row r="92" ht="15.75" customHeight="1">
      <c r="C92" s="15"/>
      <c r="F92" s="15"/>
      <c r="N92" s="15"/>
      <c r="V92" s="15"/>
      <c r="W92" s="1"/>
      <c r="X92" s="1"/>
      <c r="Y92" s="1"/>
      <c r="Z92" s="1"/>
      <c r="AA92" s="1"/>
      <c r="AB92" s="1"/>
      <c r="AC92" s="1"/>
      <c r="AD92" s="15"/>
      <c r="AE92" s="1"/>
      <c r="AF92" s="1"/>
      <c r="AG92" s="1"/>
      <c r="AH92" s="1"/>
      <c r="AI92" s="1"/>
      <c r="AJ92" s="1"/>
      <c r="AK92" s="1"/>
      <c r="AL92" s="15"/>
    </row>
    <row r="93" ht="15.75" customHeight="1">
      <c r="C93" s="15"/>
      <c r="F93" s="15"/>
      <c r="N93" s="15"/>
      <c r="V93" s="15"/>
      <c r="W93" s="1"/>
      <c r="X93" s="1"/>
      <c r="Y93" s="1"/>
      <c r="Z93" s="1"/>
      <c r="AA93" s="1"/>
      <c r="AB93" s="1"/>
      <c r="AC93" s="1"/>
      <c r="AD93" s="15"/>
      <c r="AE93" s="1"/>
      <c r="AF93" s="1"/>
      <c r="AG93" s="1"/>
      <c r="AH93" s="1"/>
      <c r="AI93" s="1"/>
      <c r="AJ93" s="1"/>
      <c r="AK93" s="1"/>
      <c r="AL93" s="15"/>
    </row>
    <row r="94" ht="15.75" customHeight="1">
      <c r="C94" s="15"/>
      <c r="F94" s="15"/>
      <c r="N94" s="15"/>
      <c r="V94" s="15"/>
      <c r="W94" s="1"/>
      <c r="X94" s="1"/>
      <c r="Y94" s="1"/>
      <c r="Z94" s="1"/>
      <c r="AA94" s="1"/>
      <c r="AB94" s="1"/>
      <c r="AC94" s="1"/>
      <c r="AD94" s="15"/>
      <c r="AE94" s="1"/>
      <c r="AF94" s="1"/>
      <c r="AG94" s="1"/>
      <c r="AH94" s="1"/>
      <c r="AI94" s="1"/>
      <c r="AJ94" s="1"/>
      <c r="AK94" s="1"/>
      <c r="AL94" s="15"/>
    </row>
    <row r="95" ht="15.75" customHeight="1">
      <c r="C95" s="15"/>
      <c r="F95" s="15"/>
      <c r="N95" s="15"/>
      <c r="V95" s="15"/>
      <c r="W95" s="1"/>
      <c r="X95" s="1"/>
      <c r="Y95" s="1"/>
      <c r="Z95" s="1"/>
      <c r="AA95" s="1"/>
      <c r="AB95" s="1"/>
      <c r="AC95" s="1"/>
      <c r="AD95" s="15"/>
      <c r="AE95" s="1"/>
      <c r="AF95" s="1"/>
      <c r="AG95" s="1"/>
      <c r="AH95" s="1"/>
      <c r="AI95" s="1"/>
      <c r="AJ95" s="1"/>
      <c r="AK95" s="1"/>
      <c r="AL95" s="15"/>
    </row>
    <row r="96" ht="15.75" customHeight="1">
      <c r="C96" s="15"/>
      <c r="F96" s="15"/>
      <c r="N96" s="15"/>
      <c r="V96" s="15"/>
      <c r="W96" s="1"/>
      <c r="X96" s="1"/>
      <c r="Y96" s="1"/>
      <c r="Z96" s="1"/>
      <c r="AA96" s="1"/>
      <c r="AB96" s="1"/>
      <c r="AC96" s="1"/>
      <c r="AD96" s="15"/>
      <c r="AE96" s="1"/>
      <c r="AF96" s="1"/>
      <c r="AG96" s="1"/>
      <c r="AH96" s="1"/>
      <c r="AI96" s="1"/>
      <c r="AJ96" s="1"/>
      <c r="AK96" s="1"/>
      <c r="AL96" s="15"/>
    </row>
    <row r="97" ht="15.75" customHeight="1">
      <c r="C97" s="15"/>
      <c r="F97" s="15"/>
      <c r="N97" s="15"/>
      <c r="V97" s="15"/>
      <c r="W97" s="1"/>
      <c r="X97" s="1"/>
      <c r="Y97" s="1"/>
      <c r="Z97" s="1"/>
      <c r="AA97" s="1"/>
      <c r="AB97" s="1"/>
      <c r="AC97" s="1"/>
      <c r="AD97" s="15"/>
      <c r="AE97" s="1"/>
      <c r="AF97" s="1"/>
      <c r="AG97" s="1"/>
      <c r="AH97" s="1"/>
      <c r="AI97" s="1"/>
      <c r="AJ97" s="1"/>
      <c r="AK97" s="1"/>
      <c r="AL97" s="15"/>
    </row>
    <row r="98" ht="15.75" customHeight="1">
      <c r="C98" s="15"/>
      <c r="F98" s="15"/>
      <c r="N98" s="15"/>
      <c r="V98" s="15"/>
      <c r="W98" s="1"/>
      <c r="X98" s="1"/>
      <c r="Y98" s="1"/>
      <c r="Z98" s="1"/>
      <c r="AA98" s="1"/>
      <c r="AB98" s="1"/>
      <c r="AC98" s="1"/>
      <c r="AD98" s="15"/>
      <c r="AE98" s="1"/>
      <c r="AF98" s="1"/>
      <c r="AG98" s="1"/>
      <c r="AH98" s="1"/>
      <c r="AI98" s="1"/>
      <c r="AJ98" s="1"/>
      <c r="AK98" s="1"/>
      <c r="AL98" s="15"/>
    </row>
    <row r="99" ht="15.75" customHeight="1">
      <c r="C99" s="15"/>
      <c r="F99" s="15"/>
      <c r="N99" s="15"/>
      <c r="V99" s="15"/>
      <c r="W99" s="1"/>
      <c r="X99" s="1"/>
      <c r="Y99" s="1"/>
      <c r="Z99" s="1"/>
      <c r="AA99" s="1"/>
      <c r="AB99" s="1"/>
      <c r="AC99" s="1"/>
      <c r="AD99" s="15"/>
      <c r="AE99" s="1"/>
      <c r="AF99" s="1"/>
      <c r="AG99" s="1"/>
      <c r="AH99" s="1"/>
      <c r="AI99" s="1"/>
      <c r="AJ99" s="1"/>
      <c r="AK99" s="1"/>
      <c r="AL99" s="15"/>
    </row>
    <row r="100" ht="15.75" customHeight="1">
      <c r="C100" s="15"/>
      <c r="F100" s="15"/>
      <c r="N100" s="15"/>
      <c r="V100" s="15"/>
      <c r="W100" s="1"/>
      <c r="X100" s="1"/>
      <c r="Y100" s="1"/>
      <c r="Z100" s="1"/>
      <c r="AA100" s="1"/>
      <c r="AB100" s="1"/>
      <c r="AC100" s="1"/>
      <c r="AD100" s="15"/>
      <c r="AE100" s="1"/>
      <c r="AF100" s="1"/>
      <c r="AG100" s="1"/>
      <c r="AH100" s="1"/>
      <c r="AI100" s="1"/>
      <c r="AJ100" s="1"/>
      <c r="AK100" s="1"/>
      <c r="AL100" s="15"/>
    </row>
    <row r="101" ht="15.75" customHeight="1">
      <c r="C101" s="15"/>
      <c r="F101" s="15"/>
      <c r="N101" s="15"/>
      <c r="V101" s="15"/>
      <c r="W101" s="1"/>
      <c r="X101" s="1"/>
      <c r="Y101" s="1"/>
      <c r="Z101" s="1"/>
      <c r="AA101" s="1"/>
      <c r="AB101" s="1"/>
      <c r="AC101" s="1"/>
      <c r="AD101" s="15"/>
      <c r="AE101" s="1"/>
      <c r="AF101" s="1"/>
      <c r="AG101" s="1"/>
      <c r="AH101" s="1"/>
      <c r="AI101" s="1"/>
      <c r="AJ101" s="1"/>
      <c r="AK101" s="1"/>
      <c r="AL101" s="15"/>
    </row>
    <row r="102" ht="15.75" customHeight="1">
      <c r="C102" s="15"/>
      <c r="F102" s="15"/>
      <c r="N102" s="15"/>
      <c r="V102" s="15"/>
      <c r="W102" s="1"/>
      <c r="X102" s="1"/>
      <c r="Y102" s="1"/>
      <c r="Z102" s="1"/>
      <c r="AA102" s="1"/>
      <c r="AB102" s="1"/>
      <c r="AC102" s="1"/>
      <c r="AD102" s="15"/>
      <c r="AE102" s="1"/>
      <c r="AF102" s="1"/>
      <c r="AG102" s="1"/>
      <c r="AH102" s="1"/>
      <c r="AI102" s="1"/>
      <c r="AJ102" s="1"/>
      <c r="AK102" s="1"/>
      <c r="AL102" s="15"/>
    </row>
    <row r="103" ht="15.75" customHeight="1">
      <c r="C103" s="15"/>
      <c r="F103" s="15"/>
      <c r="N103" s="15"/>
      <c r="V103" s="15"/>
      <c r="W103" s="1"/>
      <c r="X103" s="1"/>
      <c r="Y103" s="1"/>
      <c r="Z103" s="1"/>
      <c r="AA103" s="1"/>
      <c r="AB103" s="1"/>
      <c r="AC103" s="1"/>
      <c r="AD103" s="15"/>
      <c r="AE103" s="1"/>
      <c r="AF103" s="1"/>
      <c r="AG103" s="1"/>
      <c r="AH103" s="1"/>
      <c r="AI103" s="1"/>
      <c r="AJ103" s="1"/>
      <c r="AK103" s="1"/>
      <c r="AL103" s="15"/>
    </row>
    <row r="104" ht="15.75" customHeight="1">
      <c r="C104" s="15"/>
      <c r="F104" s="15"/>
      <c r="N104" s="15"/>
      <c r="V104" s="15"/>
      <c r="W104" s="1"/>
      <c r="X104" s="1"/>
      <c r="Y104" s="1"/>
      <c r="Z104" s="1"/>
      <c r="AA104" s="1"/>
      <c r="AB104" s="1"/>
      <c r="AC104" s="1"/>
      <c r="AD104" s="15"/>
      <c r="AE104" s="1"/>
      <c r="AF104" s="1"/>
      <c r="AG104" s="1"/>
      <c r="AH104" s="1"/>
      <c r="AI104" s="1"/>
      <c r="AJ104" s="1"/>
      <c r="AK104" s="1"/>
      <c r="AL104" s="15"/>
    </row>
    <row r="105" ht="15.75" customHeight="1">
      <c r="C105" s="15"/>
      <c r="F105" s="15"/>
      <c r="N105" s="15"/>
      <c r="V105" s="15"/>
      <c r="W105" s="1"/>
      <c r="X105" s="1"/>
      <c r="Y105" s="1"/>
      <c r="Z105" s="1"/>
      <c r="AA105" s="1"/>
      <c r="AB105" s="1"/>
      <c r="AC105" s="1"/>
      <c r="AD105" s="15"/>
      <c r="AE105" s="1"/>
      <c r="AF105" s="1"/>
      <c r="AG105" s="1"/>
      <c r="AH105" s="1"/>
      <c r="AI105" s="1"/>
      <c r="AJ105" s="1"/>
      <c r="AK105" s="1"/>
      <c r="AL105" s="15"/>
    </row>
    <row r="106" ht="15.75" customHeight="1">
      <c r="C106" s="15"/>
      <c r="F106" s="15"/>
      <c r="N106" s="15"/>
      <c r="V106" s="15"/>
      <c r="W106" s="1"/>
      <c r="X106" s="1"/>
      <c r="Y106" s="1"/>
      <c r="Z106" s="1"/>
      <c r="AA106" s="1"/>
      <c r="AB106" s="1"/>
      <c r="AC106" s="1"/>
      <c r="AD106" s="15"/>
      <c r="AE106" s="1"/>
      <c r="AF106" s="1"/>
      <c r="AG106" s="1"/>
      <c r="AH106" s="1"/>
      <c r="AI106" s="1"/>
      <c r="AJ106" s="1"/>
      <c r="AK106" s="1"/>
      <c r="AL106" s="15"/>
    </row>
    <row r="107" ht="15.75" customHeight="1">
      <c r="C107" s="15"/>
      <c r="F107" s="15"/>
      <c r="N107" s="15"/>
      <c r="V107" s="15"/>
      <c r="W107" s="1"/>
      <c r="X107" s="1"/>
      <c r="Y107" s="1"/>
      <c r="Z107" s="1"/>
      <c r="AA107" s="1"/>
      <c r="AB107" s="1"/>
      <c r="AC107" s="1"/>
      <c r="AD107" s="15"/>
      <c r="AE107" s="1"/>
      <c r="AF107" s="1"/>
      <c r="AG107" s="1"/>
      <c r="AH107" s="1"/>
      <c r="AI107" s="1"/>
      <c r="AJ107" s="1"/>
      <c r="AK107" s="1"/>
      <c r="AL107" s="15"/>
    </row>
    <row r="108" ht="15.75" customHeight="1">
      <c r="C108" s="15"/>
      <c r="F108" s="15"/>
      <c r="N108" s="15"/>
      <c r="V108" s="15"/>
      <c r="W108" s="1"/>
      <c r="X108" s="1"/>
      <c r="Y108" s="1"/>
      <c r="Z108" s="1"/>
      <c r="AA108" s="1"/>
      <c r="AB108" s="1"/>
      <c r="AC108" s="1"/>
      <c r="AD108" s="15"/>
      <c r="AE108" s="1"/>
      <c r="AF108" s="1"/>
      <c r="AG108" s="1"/>
      <c r="AH108" s="1"/>
      <c r="AI108" s="1"/>
      <c r="AJ108" s="1"/>
      <c r="AK108" s="1"/>
      <c r="AL108" s="15"/>
    </row>
    <row r="109" ht="15.75" customHeight="1">
      <c r="C109" s="15"/>
      <c r="F109" s="15"/>
      <c r="N109" s="15"/>
      <c r="V109" s="15"/>
      <c r="AD109" s="15"/>
      <c r="AL109" s="15"/>
    </row>
    <row r="110" ht="15.75" customHeight="1">
      <c r="C110" s="15"/>
      <c r="F110" s="15"/>
      <c r="N110" s="15"/>
      <c r="V110" s="15"/>
      <c r="AD110" s="15"/>
      <c r="AL110" s="15"/>
    </row>
    <row r="111" ht="15.75" customHeight="1">
      <c r="C111" s="15"/>
      <c r="F111" s="15"/>
      <c r="N111" s="15"/>
      <c r="V111" s="15"/>
      <c r="AD111" s="15"/>
      <c r="AL111" s="15"/>
    </row>
    <row r="112" ht="15.75" customHeight="1">
      <c r="C112" s="15"/>
      <c r="F112" s="15"/>
      <c r="N112" s="15"/>
      <c r="V112" s="15"/>
      <c r="AD112" s="15"/>
      <c r="AL112" s="15"/>
    </row>
    <row r="113" ht="15.75" customHeight="1">
      <c r="C113" s="15"/>
      <c r="F113" s="15"/>
      <c r="N113" s="15"/>
      <c r="V113" s="15"/>
      <c r="AD113" s="15"/>
      <c r="AL113" s="15"/>
    </row>
    <row r="114" ht="15.75" customHeight="1">
      <c r="C114" s="15"/>
      <c r="F114" s="15"/>
      <c r="N114" s="15"/>
      <c r="V114" s="15"/>
      <c r="AD114" s="15"/>
      <c r="AL114" s="15"/>
    </row>
    <row r="115" ht="15.75" customHeight="1">
      <c r="C115" s="15"/>
      <c r="F115" s="15"/>
      <c r="N115" s="15"/>
      <c r="V115" s="15"/>
      <c r="AD115" s="15"/>
      <c r="AL115" s="15"/>
    </row>
    <row r="116" ht="15.75" customHeight="1">
      <c r="C116" s="15"/>
      <c r="F116" s="15"/>
      <c r="N116" s="15"/>
      <c r="V116" s="15"/>
      <c r="AD116" s="15"/>
      <c r="AL116" s="15"/>
    </row>
    <row r="117" ht="15.75" customHeight="1">
      <c r="C117" s="15"/>
      <c r="F117" s="15"/>
      <c r="N117" s="15"/>
      <c r="V117" s="15"/>
      <c r="AD117" s="15"/>
      <c r="AL117" s="15"/>
    </row>
    <row r="118" ht="15.75" customHeight="1">
      <c r="C118" s="15"/>
      <c r="F118" s="15"/>
      <c r="N118" s="15"/>
      <c r="V118" s="15"/>
      <c r="AD118" s="15"/>
      <c r="AL118" s="15"/>
    </row>
    <row r="119" ht="15.75" customHeight="1">
      <c r="C119" s="15"/>
      <c r="F119" s="15"/>
      <c r="N119" s="15"/>
      <c r="V119" s="15"/>
      <c r="AD119" s="15"/>
      <c r="AL119" s="15"/>
    </row>
    <row r="120" ht="15.75" customHeight="1">
      <c r="C120" s="15"/>
      <c r="F120" s="15"/>
      <c r="N120" s="15"/>
      <c r="V120" s="15"/>
      <c r="AD120" s="15"/>
      <c r="AL120" s="15"/>
    </row>
    <row r="121" ht="15.75" customHeight="1">
      <c r="C121" s="15"/>
      <c r="F121" s="15"/>
      <c r="N121" s="15"/>
      <c r="V121" s="15"/>
      <c r="AD121" s="15"/>
      <c r="AL121" s="15"/>
    </row>
    <row r="122" ht="15.75" customHeight="1">
      <c r="C122" s="15"/>
      <c r="F122" s="15"/>
      <c r="N122" s="15"/>
      <c r="V122" s="15"/>
      <c r="AD122" s="15"/>
      <c r="AL122" s="15"/>
    </row>
    <row r="123" ht="15.75" customHeight="1">
      <c r="C123" s="15"/>
      <c r="F123" s="15"/>
      <c r="N123" s="15"/>
      <c r="V123" s="15"/>
      <c r="AD123" s="15"/>
      <c r="AL123" s="15"/>
    </row>
    <row r="124" ht="15.75" customHeight="1">
      <c r="C124" s="15"/>
      <c r="F124" s="15"/>
      <c r="N124" s="15"/>
      <c r="V124" s="15"/>
      <c r="AD124" s="15"/>
      <c r="AL124" s="15"/>
    </row>
    <row r="125" ht="15.75" customHeight="1">
      <c r="C125" s="15"/>
      <c r="F125" s="15"/>
      <c r="N125" s="15"/>
      <c r="V125" s="15"/>
      <c r="AD125" s="15"/>
      <c r="AL125" s="15"/>
    </row>
    <row r="126" ht="15.75" customHeight="1">
      <c r="C126" s="15"/>
      <c r="F126" s="15"/>
      <c r="N126" s="15"/>
      <c r="V126" s="15"/>
      <c r="AD126" s="15"/>
      <c r="AL126" s="15"/>
    </row>
    <row r="127" ht="15.75" customHeight="1">
      <c r="C127" s="15"/>
      <c r="F127" s="15"/>
      <c r="N127" s="15"/>
      <c r="V127" s="15"/>
      <c r="AD127" s="15"/>
      <c r="AL127" s="15"/>
    </row>
    <row r="128" ht="15.75" customHeight="1">
      <c r="C128" s="15"/>
      <c r="F128" s="15"/>
      <c r="N128" s="15"/>
      <c r="V128" s="15"/>
      <c r="AD128" s="15"/>
      <c r="AL128" s="15"/>
    </row>
    <row r="129" ht="15.75" customHeight="1">
      <c r="C129" s="15"/>
      <c r="F129" s="15"/>
      <c r="N129" s="15"/>
      <c r="V129" s="15"/>
      <c r="AD129" s="15"/>
      <c r="AL129" s="15"/>
    </row>
    <row r="130" ht="15.75" customHeight="1">
      <c r="C130" s="15"/>
      <c r="F130" s="15"/>
      <c r="N130" s="15"/>
      <c r="V130" s="15"/>
      <c r="AD130" s="15"/>
      <c r="AL130" s="15"/>
    </row>
    <row r="131" ht="15.75" customHeight="1">
      <c r="C131" s="15"/>
      <c r="F131" s="15"/>
      <c r="N131" s="15"/>
      <c r="V131" s="15"/>
      <c r="AD131" s="15"/>
      <c r="AL131" s="15"/>
    </row>
    <row r="132" ht="15.75" customHeight="1">
      <c r="C132" s="15"/>
      <c r="F132" s="15"/>
      <c r="N132" s="15"/>
      <c r="V132" s="15"/>
      <c r="AD132" s="15"/>
      <c r="AL132" s="15"/>
    </row>
    <row r="133" ht="15.75" customHeight="1">
      <c r="C133" s="15"/>
      <c r="F133" s="15"/>
      <c r="N133" s="15"/>
      <c r="V133" s="15"/>
      <c r="AD133" s="15"/>
      <c r="AL133" s="15"/>
    </row>
    <row r="134" ht="15.75" customHeight="1">
      <c r="C134" s="15"/>
      <c r="F134" s="15"/>
      <c r="N134" s="15"/>
      <c r="V134" s="15"/>
      <c r="AD134" s="15"/>
      <c r="AL134" s="15"/>
    </row>
    <row r="135" ht="15.75" customHeight="1">
      <c r="C135" s="15"/>
      <c r="F135" s="15"/>
      <c r="N135" s="15"/>
      <c r="V135" s="15"/>
      <c r="AD135" s="15"/>
      <c r="AL135" s="15"/>
    </row>
    <row r="136" ht="15.75" customHeight="1">
      <c r="C136" s="15"/>
      <c r="F136" s="15"/>
      <c r="N136" s="15"/>
      <c r="V136" s="15"/>
      <c r="AD136" s="15"/>
      <c r="AL136" s="15"/>
    </row>
    <row r="137" ht="15.75" customHeight="1">
      <c r="C137" s="15"/>
      <c r="F137" s="15"/>
      <c r="N137" s="15"/>
      <c r="V137" s="15"/>
      <c r="AD137" s="15"/>
      <c r="AL137" s="15"/>
    </row>
    <row r="138" ht="15.75" customHeight="1">
      <c r="C138" s="15"/>
      <c r="F138" s="15"/>
      <c r="N138" s="15"/>
      <c r="V138" s="15"/>
      <c r="AD138" s="15"/>
      <c r="AL138" s="15"/>
    </row>
    <row r="139" ht="15.75" customHeight="1">
      <c r="C139" s="15"/>
      <c r="F139" s="15"/>
      <c r="N139" s="15"/>
      <c r="V139" s="15"/>
      <c r="AD139" s="15"/>
      <c r="AL139" s="15"/>
    </row>
    <row r="140" ht="15.75" customHeight="1">
      <c r="C140" s="15"/>
      <c r="F140" s="15"/>
      <c r="N140" s="15"/>
      <c r="V140" s="15"/>
      <c r="AD140" s="15"/>
      <c r="AL140" s="15"/>
    </row>
    <row r="141" ht="15.75" customHeight="1">
      <c r="C141" s="15"/>
      <c r="F141" s="15"/>
      <c r="N141" s="15"/>
      <c r="V141" s="15"/>
      <c r="AD141" s="15"/>
      <c r="AL141" s="15"/>
    </row>
    <row r="142" ht="15.75" customHeight="1">
      <c r="C142" s="15"/>
      <c r="F142" s="15"/>
      <c r="N142" s="15"/>
      <c r="V142" s="15"/>
      <c r="AD142" s="15"/>
      <c r="AL142" s="15"/>
    </row>
    <row r="143" ht="15.75" customHeight="1">
      <c r="C143" s="15"/>
      <c r="F143" s="15"/>
      <c r="N143" s="15"/>
      <c r="V143" s="15"/>
      <c r="AD143" s="15"/>
      <c r="AL143" s="15"/>
    </row>
    <row r="144" ht="15.75" customHeight="1">
      <c r="C144" s="15"/>
      <c r="F144" s="15"/>
      <c r="N144" s="15"/>
      <c r="V144" s="15"/>
      <c r="AD144" s="15"/>
      <c r="AL144" s="15"/>
    </row>
    <row r="145" ht="15.75" customHeight="1">
      <c r="C145" s="15"/>
      <c r="F145" s="15"/>
      <c r="N145" s="15"/>
      <c r="V145" s="15"/>
      <c r="AD145" s="15"/>
      <c r="AL145" s="15"/>
    </row>
    <row r="146" ht="15.75" customHeight="1">
      <c r="C146" s="15"/>
      <c r="F146" s="15"/>
      <c r="N146" s="15"/>
      <c r="V146" s="15"/>
      <c r="AD146" s="15"/>
      <c r="AL146" s="15"/>
    </row>
    <row r="147" ht="15.75" customHeight="1">
      <c r="C147" s="15"/>
      <c r="F147" s="15"/>
      <c r="N147" s="15"/>
      <c r="V147" s="15"/>
      <c r="AD147" s="15"/>
      <c r="AL147" s="15"/>
    </row>
    <row r="148" ht="15.75" customHeight="1">
      <c r="C148" s="15"/>
      <c r="F148" s="15"/>
      <c r="N148" s="15"/>
      <c r="V148" s="15"/>
      <c r="AD148" s="15"/>
      <c r="AL148" s="15"/>
    </row>
    <row r="149" ht="15.75" customHeight="1">
      <c r="C149" s="15"/>
      <c r="F149" s="15"/>
      <c r="N149" s="15"/>
      <c r="V149" s="15"/>
      <c r="AD149" s="15"/>
      <c r="AL149" s="15"/>
    </row>
    <row r="150" ht="15.75" customHeight="1">
      <c r="C150" s="15"/>
      <c r="F150" s="15"/>
      <c r="N150" s="15"/>
      <c r="V150" s="15"/>
      <c r="AD150" s="15"/>
      <c r="AL150" s="15"/>
    </row>
    <row r="151" ht="15.75" customHeight="1">
      <c r="C151" s="15"/>
      <c r="F151" s="15"/>
      <c r="N151" s="15"/>
      <c r="V151" s="15"/>
      <c r="AD151" s="15"/>
      <c r="AL151" s="15"/>
    </row>
    <row r="152" ht="15.75" customHeight="1">
      <c r="C152" s="15"/>
      <c r="F152" s="15"/>
      <c r="N152" s="15"/>
      <c r="V152" s="15"/>
      <c r="AD152" s="15"/>
      <c r="AL152" s="15"/>
    </row>
    <row r="153" ht="15.75" customHeight="1">
      <c r="C153" s="15"/>
      <c r="F153" s="15"/>
      <c r="N153" s="15"/>
      <c r="V153" s="15"/>
      <c r="AD153" s="15"/>
      <c r="AL153" s="15"/>
    </row>
    <row r="154" ht="15.75" customHeight="1">
      <c r="C154" s="15"/>
      <c r="F154" s="15"/>
      <c r="N154" s="15"/>
      <c r="V154" s="15"/>
      <c r="AD154" s="15"/>
      <c r="AL154" s="15"/>
    </row>
    <row r="155" ht="15.75" customHeight="1">
      <c r="C155" s="15"/>
      <c r="F155" s="15"/>
      <c r="N155" s="15"/>
      <c r="V155" s="15"/>
      <c r="AD155" s="15"/>
      <c r="AL155" s="15"/>
    </row>
    <row r="156" ht="15.75" customHeight="1">
      <c r="C156" s="15"/>
      <c r="F156" s="15"/>
      <c r="N156" s="15"/>
      <c r="V156" s="15"/>
      <c r="AD156" s="15"/>
      <c r="AL156" s="15"/>
    </row>
    <row r="157" ht="15.75" customHeight="1">
      <c r="C157" s="15"/>
      <c r="F157" s="15"/>
      <c r="N157" s="15"/>
      <c r="V157" s="15"/>
      <c r="AD157" s="15"/>
      <c r="AL157" s="15"/>
    </row>
    <row r="158" ht="15.75" customHeight="1">
      <c r="C158" s="15"/>
      <c r="F158" s="15"/>
      <c r="N158" s="15"/>
      <c r="V158" s="15"/>
      <c r="AD158" s="15"/>
      <c r="AL158" s="15"/>
    </row>
    <row r="159" ht="15.75" customHeight="1">
      <c r="C159" s="15"/>
      <c r="F159" s="15"/>
      <c r="N159" s="15"/>
      <c r="V159" s="15"/>
      <c r="AD159" s="15"/>
      <c r="AL159" s="15"/>
    </row>
    <row r="160" ht="15.75" customHeight="1">
      <c r="C160" s="15"/>
      <c r="F160" s="15"/>
      <c r="N160" s="15"/>
      <c r="V160" s="15"/>
      <c r="AD160" s="15"/>
      <c r="AL160" s="15"/>
    </row>
    <row r="161" ht="15.75" customHeight="1">
      <c r="C161" s="15"/>
      <c r="F161" s="15"/>
      <c r="N161" s="15"/>
      <c r="V161" s="15"/>
      <c r="AD161" s="15"/>
      <c r="AL161" s="15"/>
    </row>
    <row r="162" ht="15.75" customHeight="1">
      <c r="C162" s="15"/>
      <c r="F162" s="15"/>
      <c r="N162" s="15"/>
      <c r="V162" s="15"/>
      <c r="AD162" s="15"/>
      <c r="AL162" s="15"/>
    </row>
    <row r="163" ht="15.75" customHeight="1">
      <c r="C163" s="15"/>
      <c r="F163" s="15"/>
      <c r="N163" s="15"/>
      <c r="V163" s="15"/>
      <c r="AD163" s="15"/>
      <c r="AL163" s="15"/>
    </row>
    <row r="164" ht="15.75" customHeight="1">
      <c r="C164" s="15"/>
      <c r="F164" s="15"/>
      <c r="N164" s="15"/>
      <c r="V164" s="15"/>
      <c r="AD164" s="15"/>
      <c r="AL164" s="15"/>
    </row>
    <row r="165" ht="15.75" customHeight="1">
      <c r="C165" s="15"/>
      <c r="F165" s="15"/>
      <c r="N165" s="15"/>
      <c r="V165" s="15"/>
      <c r="AD165" s="15"/>
      <c r="AL165" s="15"/>
    </row>
    <row r="166" ht="15.75" customHeight="1">
      <c r="C166" s="15"/>
      <c r="F166" s="15"/>
      <c r="N166" s="15"/>
      <c r="V166" s="15"/>
      <c r="AD166" s="15"/>
      <c r="AL166" s="15"/>
    </row>
    <row r="167" ht="15.75" customHeight="1">
      <c r="C167" s="15"/>
      <c r="F167" s="15"/>
      <c r="N167" s="15"/>
      <c r="V167" s="15"/>
      <c r="AD167" s="15"/>
      <c r="AL167" s="15"/>
    </row>
    <row r="168" ht="15.75" customHeight="1">
      <c r="C168" s="15"/>
      <c r="F168" s="15"/>
      <c r="N168" s="15"/>
      <c r="V168" s="15"/>
      <c r="AD168" s="15"/>
      <c r="AL168" s="15"/>
    </row>
    <row r="169" ht="15.75" customHeight="1">
      <c r="C169" s="15"/>
      <c r="F169" s="15"/>
      <c r="N169" s="15"/>
      <c r="V169" s="15"/>
      <c r="AD169" s="15"/>
      <c r="AL169" s="15"/>
    </row>
    <row r="170" ht="15.75" customHeight="1">
      <c r="C170" s="15"/>
      <c r="F170" s="15"/>
      <c r="N170" s="15"/>
      <c r="V170" s="15"/>
      <c r="AD170" s="15"/>
      <c r="AL170" s="15"/>
    </row>
    <row r="171" ht="15.75" customHeight="1">
      <c r="C171" s="15"/>
      <c r="F171" s="15"/>
      <c r="N171" s="15"/>
      <c r="V171" s="15"/>
      <c r="AD171" s="15"/>
      <c r="AL171" s="15"/>
    </row>
    <row r="172" ht="15.75" customHeight="1">
      <c r="C172" s="15"/>
      <c r="F172" s="15"/>
      <c r="N172" s="15"/>
      <c r="V172" s="15"/>
      <c r="AD172" s="15"/>
      <c r="AL172" s="15"/>
    </row>
    <row r="173" ht="15.75" customHeight="1">
      <c r="C173" s="15"/>
      <c r="F173" s="15"/>
      <c r="N173" s="15"/>
      <c r="V173" s="15"/>
      <c r="AD173" s="15"/>
      <c r="AL173" s="15"/>
    </row>
    <row r="174" ht="15.75" customHeight="1">
      <c r="C174" s="15"/>
      <c r="F174" s="15"/>
      <c r="N174" s="15"/>
      <c r="V174" s="15"/>
      <c r="AD174" s="15"/>
      <c r="AL174" s="15"/>
    </row>
    <row r="175" ht="15.75" customHeight="1">
      <c r="C175" s="15"/>
      <c r="F175" s="15"/>
      <c r="N175" s="15"/>
      <c r="V175" s="15"/>
      <c r="AD175" s="15"/>
      <c r="AL175" s="15"/>
    </row>
    <row r="176" ht="15.75" customHeight="1">
      <c r="C176" s="15"/>
      <c r="F176" s="15"/>
      <c r="N176" s="15"/>
      <c r="V176" s="15"/>
      <c r="AD176" s="15"/>
      <c r="AL176" s="15"/>
    </row>
    <row r="177" ht="15.75" customHeight="1">
      <c r="C177" s="15"/>
      <c r="F177" s="15"/>
      <c r="N177" s="15"/>
      <c r="V177" s="15"/>
      <c r="AD177" s="15"/>
      <c r="AL177" s="15"/>
    </row>
    <row r="178" ht="15.75" customHeight="1">
      <c r="C178" s="15"/>
      <c r="F178" s="15"/>
      <c r="N178" s="15"/>
      <c r="V178" s="15"/>
      <c r="AD178" s="15"/>
      <c r="AL178" s="15"/>
    </row>
    <row r="179" ht="15.75" customHeight="1">
      <c r="C179" s="15"/>
      <c r="F179" s="15"/>
      <c r="N179" s="15"/>
      <c r="V179" s="15"/>
      <c r="AD179" s="15"/>
      <c r="AL179" s="15"/>
    </row>
    <row r="180" ht="15.75" customHeight="1">
      <c r="C180" s="15"/>
      <c r="F180" s="15"/>
      <c r="N180" s="15"/>
      <c r="V180" s="15"/>
      <c r="AD180" s="15"/>
      <c r="AL180" s="15"/>
    </row>
    <row r="181" ht="15.75" customHeight="1">
      <c r="C181" s="15"/>
      <c r="F181" s="15"/>
      <c r="N181" s="15"/>
      <c r="V181" s="15"/>
      <c r="AD181" s="15"/>
      <c r="AL181" s="15"/>
    </row>
    <row r="182" ht="15.75" customHeight="1">
      <c r="C182" s="15"/>
      <c r="F182" s="15"/>
      <c r="N182" s="15"/>
      <c r="V182" s="15"/>
      <c r="AD182" s="15"/>
      <c r="AL182" s="15"/>
    </row>
    <row r="183" ht="15.75" customHeight="1">
      <c r="C183" s="15"/>
      <c r="F183" s="15"/>
      <c r="N183" s="15"/>
      <c r="V183" s="15"/>
      <c r="AD183" s="15"/>
      <c r="AL183" s="15"/>
    </row>
    <row r="184" ht="15.75" customHeight="1">
      <c r="C184" s="15"/>
      <c r="F184" s="15"/>
      <c r="N184" s="15"/>
      <c r="V184" s="15"/>
      <c r="AD184" s="15"/>
      <c r="AL184" s="15"/>
    </row>
    <row r="185" ht="15.75" customHeight="1">
      <c r="C185" s="15"/>
      <c r="F185" s="15"/>
      <c r="N185" s="15"/>
      <c r="V185" s="15"/>
      <c r="AD185" s="15"/>
      <c r="AL185" s="15"/>
    </row>
    <row r="186" ht="15.75" customHeight="1">
      <c r="C186" s="15"/>
      <c r="F186" s="15"/>
      <c r="N186" s="15"/>
      <c r="V186" s="15"/>
      <c r="AD186" s="15"/>
      <c r="AL186" s="15"/>
    </row>
    <row r="187" ht="15.75" customHeight="1">
      <c r="C187" s="15"/>
      <c r="F187" s="15"/>
      <c r="N187" s="15"/>
      <c r="V187" s="15"/>
      <c r="AD187" s="15"/>
      <c r="AL187" s="15"/>
    </row>
    <row r="188" ht="15.75" customHeight="1">
      <c r="C188" s="15"/>
      <c r="F188" s="15"/>
      <c r="N188" s="15"/>
      <c r="V188" s="15"/>
      <c r="AD188" s="15"/>
      <c r="AL188" s="15"/>
    </row>
    <row r="189" ht="15.75" customHeight="1">
      <c r="C189" s="15"/>
      <c r="F189" s="15"/>
      <c r="N189" s="15"/>
      <c r="V189" s="15"/>
      <c r="AD189" s="15"/>
      <c r="AL189" s="15"/>
    </row>
    <row r="190" ht="15.75" customHeight="1">
      <c r="C190" s="15"/>
      <c r="F190" s="15"/>
      <c r="N190" s="15"/>
      <c r="V190" s="15"/>
      <c r="AD190" s="15"/>
      <c r="AL190" s="15"/>
    </row>
    <row r="191" ht="15.75" customHeight="1">
      <c r="C191" s="15"/>
      <c r="F191" s="15"/>
      <c r="N191" s="15"/>
      <c r="V191" s="15"/>
      <c r="AD191" s="15"/>
      <c r="AL191" s="15"/>
    </row>
    <row r="192" ht="15.75" customHeight="1">
      <c r="C192" s="15"/>
      <c r="F192" s="15"/>
      <c r="N192" s="15"/>
      <c r="V192" s="15"/>
      <c r="AD192" s="15"/>
      <c r="AL192" s="15"/>
    </row>
    <row r="193" ht="15.75" customHeight="1">
      <c r="C193" s="15"/>
      <c r="F193" s="15"/>
      <c r="N193" s="15"/>
      <c r="V193" s="15"/>
      <c r="AD193" s="15"/>
      <c r="AL193" s="15"/>
    </row>
    <row r="194" ht="15.75" customHeight="1">
      <c r="C194" s="15"/>
      <c r="F194" s="15"/>
      <c r="N194" s="15"/>
      <c r="V194" s="15"/>
      <c r="AD194" s="15"/>
      <c r="AL194" s="15"/>
    </row>
    <row r="195" ht="15.75" customHeight="1">
      <c r="C195" s="15"/>
      <c r="F195" s="15"/>
      <c r="N195" s="15"/>
      <c r="V195" s="15"/>
      <c r="AD195" s="15"/>
      <c r="AL195" s="15"/>
    </row>
    <row r="196" ht="15.75" customHeight="1">
      <c r="C196" s="15"/>
      <c r="F196" s="15"/>
      <c r="N196" s="15"/>
      <c r="V196" s="15"/>
      <c r="AD196" s="15"/>
      <c r="AL196" s="15"/>
    </row>
    <row r="197" ht="15.75" customHeight="1">
      <c r="C197" s="15"/>
      <c r="F197" s="15"/>
      <c r="N197" s="15"/>
      <c r="V197" s="15"/>
      <c r="AD197" s="15"/>
      <c r="AL197" s="15"/>
    </row>
    <row r="198" ht="15.75" customHeight="1">
      <c r="C198" s="15"/>
      <c r="F198" s="15"/>
      <c r="N198" s="15"/>
      <c r="V198" s="15"/>
      <c r="AD198" s="15"/>
      <c r="AL198" s="15"/>
    </row>
    <row r="199" ht="15.75" customHeight="1">
      <c r="C199" s="15"/>
      <c r="F199" s="15"/>
      <c r="N199" s="15"/>
      <c r="V199" s="15"/>
      <c r="AD199" s="15"/>
      <c r="AL199" s="15"/>
    </row>
    <row r="200" ht="15.75" customHeight="1">
      <c r="C200" s="15"/>
      <c r="F200" s="15"/>
      <c r="N200" s="15"/>
      <c r="V200" s="15"/>
      <c r="AD200" s="15"/>
      <c r="AL200" s="15"/>
    </row>
    <row r="201" ht="15.75" customHeight="1">
      <c r="C201" s="15"/>
      <c r="F201" s="15"/>
      <c r="N201" s="15"/>
      <c r="V201" s="15"/>
      <c r="AD201" s="15"/>
      <c r="AL201" s="15"/>
    </row>
    <row r="202" ht="15.75" customHeight="1">
      <c r="C202" s="15"/>
      <c r="F202" s="15"/>
      <c r="N202" s="15"/>
      <c r="V202" s="15"/>
      <c r="AD202" s="15"/>
      <c r="AL202" s="15"/>
    </row>
    <row r="203" ht="15.75" customHeight="1">
      <c r="C203" s="15"/>
      <c r="F203" s="15"/>
      <c r="N203" s="15"/>
      <c r="V203" s="15"/>
      <c r="AD203" s="15"/>
      <c r="AL203" s="15"/>
    </row>
    <row r="204" ht="15.75" customHeight="1">
      <c r="C204" s="15"/>
      <c r="F204" s="15"/>
      <c r="N204" s="15"/>
      <c r="V204" s="15"/>
      <c r="AD204" s="15"/>
      <c r="AL204" s="15"/>
    </row>
    <row r="205" ht="15.75" customHeight="1">
      <c r="C205" s="15"/>
      <c r="F205" s="15"/>
      <c r="N205" s="15"/>
      <c r="V205" s="15"/>
      <c r="AD205" s="15"/>
      <c r="AL205" s="15"/>
    </row>
    <row r="206" ht="15.75" customHeight="1">
      <c r="C206" s="15"/>
      <c r="F206" s="15"/>
      <c r="N206" s="15"/>
      <c r="V206" s="15"/>
      <c r="AD206" s="15"/>
      <c r="AL206" s="15"/>
    </row>
    <row r="207" ht="15.75" customHeight="1">
      <c r="C207" s="15"/>
      <c r="F207" s="15"/>
      <c r="N207" s="15"/>
      <c r="V207" s="15"/>
      <c r="AD207" s="15"/>
      <c r="AL207" s="15"/>
    </row>
    <row r="208" ht="15.75" customHeight="1">
      <c r="C208" s="15"/>
      <c r="F208" s="15"/>
      <c r="N208" s="15"/>
      <c r="V208" s="15"/>
      <c r="AD208" s="15"/>
      <c r="AL208" s="15"/>
    </row>
    <row r="209" ht="15.75" customHeight="1">
      <c r="C209" s="15"/>
      <c r="F209" s="15"/>
      <c r="N209" s="15"/>
      <c r="V209" s="15"/>
      <c r="AD209" s="15"/>
      <c r="AL209" s="15"/>
    </row>
    <row r="210" ht="15.75" customHeight="1">
      <c r="C210" s="15"/>
      <c r="F210" s="15"/>
      <c r="N210" s="15"/>
      <c r="V210" s="15"/>
      <c r="AD210" s="15"/>
      <c r="AL210" s="15"/>
    </row>
    <row r="211" ht="15.75" customHeight="1">
      <c r="C211" s="15"/>
      <c r="F211" s="15"/>
      <c r="N211" s="15"/>
      <c r="V211" s="15"/>
      <c r="AD211" s="15"/>
      <c r="AL211" s="15"/>
    </row>
    <row r="212" ht="15.75" customHeight="1">
      <c r="C212" s="15"/>
      <c r="F212" s="15"/>
      <c r="N212" s="15"/>
      <c r="V212" s="15"/>
      <c r="AD212" s="15"/>
      <c r="AL212" s="15"/>
    </row>
    <row r="213" ht="15.75" customHeight="1">
      <c r="C213" s="15"/>
      <c r="F213" s="15"/>
      <c r="N213" s="15"/>
      <c r="V213" s="15"/>
      <c r="AD213" s="15"/>
      <c r="AL213" s="15"/>
    </row>
    <row r="214" ht="15.75" customHeight="1">
      <c r="C214" s="15"/>
      <c r="F214" s="15"/>
      <c r="N214" s="15"/>
      <c r="V214" s="15"/>
      <c r="AD214" s="15"/>
      <c r="AL214" s="15"/>
    </row>
    <row r="215" ht="15.75" customHeight="1">
      <c r="C215" s="15"/>
      <c r="F215" s="15"/>
      <c r="N215" s="15"/>
      <c r="V215" s="15"/>
      <c r="AD215" s="15"/>
      <c r="AL215" s="15"/>
    </row>
    <row r="216" ht="15.75" customHeight="1">
      <c r="C216" s="15"/>
      <c r="F216" s="15"/>
      <c r="N216" s="15"/>
      <c r="V216" s="15"/>
      <c r="AD216" s="15"/>
      <c r="AL216" s="15"/>
    </row>
    <row r="217" ht="15.75" customHeight="1">
      <c r="C217" s="15"/>
      <c r="F217" s="15"/>
      <c r="N217" s="15"/>
      <c r="V217" s="15"/>
      <c r="AD217" s="15"/>
      <c r="AL217" s="15"/>
    </row>
    <row r="218" ht="15.75" customHeight="1">
      <c r="C218" s="15"/>
      <c r="F218" s="15"/>
      <c r="N218" s="15"/>
      <c r="V218" s="15"/>
      <c r="AD218" s="15"/>
      <c r="AL218" s="15"/>
    </row>
    <row r="219" ht="15.75" customHeight="1">
      <c r="C219" s="15"/>
      <c r="F219" s="15"/>
      <c r="N219" s="15"/>
      <c r="V219" s="15"/>
      <c r="AD219" s="15"/>
      <c r="AL219" s="15"/>
    </row>
    <row r="220" ht="15.75" customHeight="1">
      <c r="C220" s="15"/>
      <c r="F220" s="15"/>
      <c r="N220" s="15"/>
      <c r="V220" s="15"/>
      <c r="AD220" s="15"/>
      <c r="AL220" s="15"/>
    </row>
    <row r="221" ht="15.75" customHeight="1">
      <c r="C221" s="15"/>
      <c r="F221" s="15"/>
      <c r="N221" s="15"/>
      <c r="V221" s="15"/>
      <c r="AD221" s="15"/>
      <c r="AL221" s="15"/>
    </row>
    <row r="222" ht="15.75" customHeight="1">
      <c r="C222" s="15"/>
      <c r="F222" s="15"/>
      <c r="N222" s="15"/>
      <c r="V222" s="15"/>
      <c r="AD222" s="15"/>
      <c r="AL222" s="15"/>
    </row>
    <row r="223" ht="15.75" customHeight="1">
      <c r="C223" s="15"/>
      <c r="F223" s="15"/>
      <c r="N223" s="15"/>
      <c r="V223" s="15"/>
      <c r="AD223" s="15"/>
      <c r="AL223" s="15"/>
    </row>
    <row r="224" ht="15.75" customHeight="1">
      <c r="C224" s="15"/>
      <c r="F224" s="15"/>
      <c r="N224" s="15"/>
      <c r="V224" s="15"/>
      <c r="AD224" s="15"/>
      <c r="AL224" s="15"/>
    </row>
    <row r="225" ht="15.75" customHeight="1">
      <c r="C225" s="15"/>
      <c r="F225" s="15"/>
      <c r="N225" s="15"/>
      <c r="V225" s="15"/>
      <c r="AD225" s="15"/>
      <c r="AL225" s="15"/>
    </row>
    <row r="226" ht="15.75" customHeight="1">
      <c r="C226" s="15"/>
      <c r="F226" s="15"/>
      <c r="N226" s="15"/>
      <c r="V226" s="15"/>
      <c r="AD226" s="15"/>
      <c r="AL226" s="15"/>
    </row>
    <row r="227" ht="15.75" customHeight="1">
      <c r="C227" s="15"/>
      <c r="F227" s="15"/>
      <c r="N227" s="15"/>
      <c r="V227" s="15"/>
      <c r="AD227" s="15"/>
      <c r="AL227" s="15"/>
    </row>
    <row r="228" ht="15.75" customHeight="1">
      <c r="C228" s="15"/>
      <c r="F228" s="15"/>
      <c r="N228" s="15"/>
      <c r="V228" s="15"/>
      <c r="AD228" s="15"/>
      <c r="AL228" s="15"/>
    </row>
    <row r="229" ht="15.75" customHeight="1">
      <c r="C229" s="15"/>
      <c r="F229" s="15"/>
      <c r="N229" s="15"/>
      <c r="V229" s="15"/>
      <c r="AD229" s="15"/>
      <c r="AL229" s="15"/>
    </row>
    <row r="230" ht="15.75" customHeight="1">
      <c r="C230" s="15"/>
      <c r="F230" s="15"/>
      <c r="N230" s="15"/>
      <c r="V230" s="15"/>
      <c r="AD230" s="15"/>
      <c r="AL230" s="15"/>
    </row>
    <row r="231" ht="15.75" customHeight="1">
      <c r="C231" s="15"/>
      <c r="F231" s="15"/>
      <c r="N231" s="15"/>
      <c r="V231" s="15"/>
      <c r="AD231" s="15"/>
      <c r="AL231" s="15"/>
    </row>
    <row r="232" ht="15.75" customHeight="1">
      <c r="C232" s="15"/>
      <c r="F232" s="15"/>
      <c r="N232" s="15"/>
      <c r="V232" s="15"/>
      <c r="AD232" s="15"/>
      <c r="AL232" s="15"/>
    </row>
    <row r="233" ht="15.75" customHeight="1">
      <c r="C233" s="15"/>
      <c r="F233" s="15"/>
      <c r="N233" s="15"/>
      <c r="V233" s="15"/>
      <c r="AD233" s="15"/>
      <c r="AL233" s="15"/>
    </row>
    <row r="234" ht="15.75" customHeight="1">
      <c r="C234" s="15"/>
      <c r="F234" s="15"/>
      <c r="N234" s="15"/>
      <c r="V234" s="15"/>
      <c r="AD234" s="15"/>
      <c r="AL234" s="15"/>
    </row>
    <row r="235" ht="15.75" customHeight="1">
      <c r="C235" s="15"/>
      <c r="F235" s="15"/>
      <c r="N235" s="15"/>
      <c r="V235" s="15"/>
      <c r="AD235" s="15"/>
      <c r="AL235" s="15"/>
    </row>
    <row r="236" ht="15.75" customHeight="1">
      <c r="C236" s="15"/>
      <c r="F236" s="15"/>
      <c r="N236" s="15"/>
      <c r="V236" s="15"/>
      <c r="AD236" s="15"/>
      <c r="AL236" s="15"/>
    </row>
    <row r="237" ht="15.75" customHeight="1">
      <c r="C237" s="15"/>
      <c r="F237" s="15"/>
      <c r="N237" s="15"/>
      <c r="V237" s="15"/>
      <c r="AD237" s="15"/>
      <c r="AL237" s="15"/>
    </row>
    <row r="238" ht="15.75" customHeight="1">
      <c r="C238" s="15"/>
      <c r="F238" s="15"/>
      <c r="N238" s="15"/>
      <c r="V238" s="15"/>
      <c r="AD238" s="15"/>
      <c r="AL238" s="15"/>
    </row>
    <row r="239" ht="15.75" customHeight="1">
      <c r="C239" s="15"/>
      <c r="F239" s="15"/>
      <c r="N239" s="15"/>
      <c r="V239" s="15"/>
      <c r="AD239" s="15"/>
      <c r="AL239" s="15"/>
    </row>
    <row r="240" ht="15.75" customHeight="1">
      <c r="C240" s="15"/>
      <c r="F240" s="15"/>
      <c r="N240" s="15"/>
      <c r="V240" s="15"/>
      <c r="AD240" s="15"/>
      <c r="AL240" s="15"/>
    </row>
    <row r="241" ht="15.75" customHeight="1">
      <c r="C241" s="15"/>
      <c r="F241" s="15"/>
      <c r="N241" s="15"/>
      <c r="V241" s="15"/>
      <c r="AD241" s="15"/>
      <c r="AL241" s="15"/>
    </row>
    <row r="242" ht="15.75" customHeight="1">
      <c r="C242" s="15"/>
      <c r="F242" s="15"/>
      <c r="N242" s="15"/>
      <c r="V242" s="15"/>
      <c r="AD242" s="15"/>
      <c r="AL242" s="15"/>
    </row>
    <row r="243" ht="15.75" customHeight="1">
      <c r="C243" s="15"/>
      <c r="F243" s="15"/>
      <c r="N243" s="15"/>
      <c r="V243" s="15"/>
      <c r="AD243" s="15"/>
      <c r="AL243" s="15"/>
    </row>
    <row r="244" ht="15.75" customHeight="1">
      <c r="C244" s="15"/>
      <c r="F244" s="15"/>
      <c r="N244" s="15"/>
      <c r="V244" s="15"/>
      <c r="AD244" s="15"/>
      <c r="AL244" s="15"/>
    </row>
    <row r="245" ht="15.75" customHeight="1">
      <c r="C245" s="15"/>
      <c r="F245" s="15"/>
      <c r="N245" s="15"/>
      <c r="V245" s="15"/>
      <c r="AD245" s="15"/>
      <c r="AL245" s="15"/>
    </row>
    <row r="246" ht="15.75" customHeight="1">
      <c r="C246" s="15"/>
      <c r="F246" s="15"/>
      <c r="N246" s="15"/>
      <c r="V246" s="15"/>
      <c r="AD246" s="15"/>
      <c r="AL246" s="15"/>
    </row>
    <row r="247" ht="15.75" customHeight="1">
      <c r="C247" s="15"/>
      <c r="F247" s="15"/>
      <c r="N247" s="15"/>
      <c r="V247" s="15"/>
      <c r="AD247" s="15"/>
      <c r="AL247" s="15"/>
    </row>
    <row r="248" ht="15.75" customHeight="1">
      <c r="C248" s="15"/>
      <c r="F248" s="15"/>
      <c r="N248" s="15"/>
      <c r="V248" s="15"/>
      <c r="AD248" s="15"/>
      <c r="AL248" s="15"/>
    </row>
    <row r="249" ht="15.75" customHeight="1">
      <c r="C249" s="15"/>
      <c r="F249" s="15"/>
      <c r="N249" s="15"/>
      <c r="V249" s="15"/>
      <c r="AD249" s="15"/>
      <c r="AL249" s="15"/>
    </row>
    <row r="250" ht="15.75" customHeight="1">
      <c r="C250" s="15"/>
      <c r="F250" s="15"/>
      <c r="N250" s="15"/>
      <c r="V250" s="15"/>
      <c r="AD250" s="15"/>
      <c r="AL250" s="15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O1:U1"/>
    <mergeCell ref="O2:U2"/>
    <mergeCell ref="O4:U4"/>
    <mergeCell ref="A1:E1"/>
    <mergeCell ref="G1:M1"/>
    <mergeCell ref="W1:AC1"/>
    <mergeCell ref="AE1:AK1"/>
    <mergeCell ref="D2:E2"/>
    <mergeCell ref="G2:M2"/>
    <mergeCell ref="W2:AC2"/>
    <mergeCell ref="A2:B2"/>
    <mergeCell ref="A3:B3"/>
    <mergeCell ref="A4:B4"/>
    <mergeCell ref="G4:M4"/>
    <mergeCell ref="A5:B5"/>
    <mergeCell ref="A6:B6"/>
    <mergeCell ref="D7:E7"/>
    <mergeCell ref="A7:B7"/>
    <mergeCell ref="A8:B8"/>
    <mergeCell ref="A9:B9"/>
    <mergeCell ref="A10:B10"/>
    <mergeCell ref="D12:E12"/>
    <mergeCell ref="O12:U12"/>
    <mergeCell ref="W12:AC12"/>
    <mergeCell ref="G32:M32"/>
    <mergeCell ref="O32:U32"/>
    <mergeCell ref="W32:AC32"/>
    <mergeCell ref="G34:M34"/>
    <mergeCell ref="O42:U42"/>
    <mergeCell ref="G12:M12"/>
    <mergeCell ref="G14:M14"/>
    <mergeCell ref="D17:E17"/>
    <mergeCell ref="G22:M22"/>
    <mergeCell ref="O22:U22"/>
    <mergeCell ref="W22:AC22"/>
    <mergeCell ref="G24:M2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5.38"/>
    <col customWidth="1" min="3" max="3" width="1.88"/>
    <col customWidth="1" min="4" max="4" width="15.38"/>
    <col customWidth="1" min="5" max="5" width="9.0"/>
    <col customWidth="1" min="6" max="6" width="1.88"/>
    <col customWidth="1" min="12" max="12" width="1.88"/>
    <col customWidth="1" min="16" max="16" width="1.88"/>
  </cols>
  <sheetData>
    <row r="1" ht="15.75" customHeight="1">
      <c r="A1" s="14" t="s">
        <v>138</v>
      </c>
      <c r="F1" s="15"/>
      <c r="G1" s="14" t="s">
        <v>343</v>
      </c>
      <c r="L1" s="15"/>
      <c r="M1" s="14" t="s">
        <v>344</v>
      </c>
      <c r="P1" s="15"/>
    </row>
    <row r="2" ht="15.75" customHeight="1">
      <c r="A2" s="43" t="s">
        <v>142</v>
      </c>
      <c r="B2" s="27"/>
      <c r="C2" s="15"/>
      <c r="D2" s="43" t="s">
        <v>345</v>
      </c>
      <c r="E2" s="27"/>
      <c r="F2" s="15"/>
      <c r="G2" s="16" t="s">
        <v>346</v>
      </c>
      <c r="L2" s="15"/>
      <c r="M2" s="16" t="s">
        <v>347</v>
      </c>
      <c r="P2" s="15"/>
    </row>
    <row r="3" ht="15.75" customHeight="1">
      <c r="A3" s="87" t="s">
        <v>144</v>
      </c>
      <c r="C3" s="15"/>
      <c r="D3" s="5" t="s">
        <v>61</v>
      </c>
      <c r="E3" s="44" t="s">
        <v>145</v>
      </c>
      <c r="F3" s="15"/>
      <c r="G3" s="88">
        <v>3.0</v>
      </c>
      <c r="H3" s="90" t="s">
        <v>324</v>
      </c>
      <c r="I3" s="90" t="s">
        <v>325</v>
      </c>
      <c r="J3" s="90" t="s">
        <v>307</v>
      </c>
      <c r="K3" s="90" t="s">
        <v>312</v>
      </c>
      <c r="L3" s="15"/>
      <c r="M3" s="88">
        <v>2.0</v>
      </c>
      <c r="N3" s="90" t="s">
        <v>313</v>
      </c>
      <c r="O3" s="90" t="s">
        <v>316</v>
      </c>
      <c r="P3" s="15"/>
    </row>
    <row r="4" ht="15.75" customHeight="1">
      <c r="A4" s="93" t="s">
        <v>153</v>
      </c>
      <c r="C4" s="15"/>
      <c r="D4" s="2" t="s">
        <v>59</v>
      </c>
      <c r="E4" s="49">
        <f>'Distance Cost Calculator'!I16/'Distance Cost Calculator'!B14</f>
        <v>57</v>
      </c>
      <c r="F4" s="15"/>
      <c r="G4" s="126" t="s">
        <v>328</v>
      </c>
      <c r="H4" s="26"/>
      <c r="I4" s="26"/>
      <c r="J4" s="26"/>
      <c r="K4" s="27"/>
      <c r="L4" s="15"/>
      <c r="M4" s="126" t="s">
        <v>328</v>
      </c>
      <c r="N4" s="26"/>
      <c r="O4" s="27"/>
      <c r="P4" s="15"/>
    </row>
    <row r="5" ht="15.75" customHeight="1">
      <c r="A5" s="96" t="s">
        <v>157</v>
      </c>
      <c r="C5" s="15"/>
      <c r="D5" s="20" t="s">
        <v>71</v>
      </c>
      <c r="E5" s="49">
        <f>'Distance Cost Calculator'!I17/'Distance Cost Calculator'!B14</f>
        <v>35</v>
      </c>
      <c r="F5" s="15"/>
      <c r="G5" s="90" t="s">
        <v>158</v>
      </c>
      <c r="H5" s="101" t="s">
        <v>329</v>
      </c>
      <c r="I5" s="101" t="s">
        <v>329</v>
      </c>
      <c r="J5" s="101" t="s">
        <v>329</v>
      </c>
      <c r="K5" s="101" t="s">
        <v>329</v>
      </c>
      <c r="L5" s="15"/>
      <c r="M5" s="90" t="s">
        <v>158</v>
      </c>
      <c r="N5" s="101" t="s">
        <v>329</v>
      </c>
      <c r="O5" s="101" t="s">
        <v>329</v>
      </c>
      <c r="P5" s="15"/>
    </row>
    <row r="6" ht="15.75" customHeight="1">
      <c r="A6" s="99" t="s">
        <v>161</v>
      </c>
      <c r="C6" s="15"/>
      <c r="D6" s="2" t="s">
        <v>72</v>
      </c>
      <c r="E6" s="49">
        <f>'Distance Cost Calculator'!I18/'Distance Cost Calculator'!B14</f>
        <v>52</v>
      </c>
      <c r="F6" s="15"/>
      <c r="G6" s="100" t="s">
        <v>162</v>
      </c>
      <c r="H6" s="101">
        <f>'Ore Base Price Calculator'!$I$16*$G$3</f>
        <v>292.8</v>
      </c>
      <c r="I6" s="101">
        <f>'Ore Base Price Calculator'!$J$16*$G$3</f>
        <v>432</v>
      </c>
      <c r="J6" s="101">
        <f>'Ore Base Price Calculator'!$N$16*$G$3</f>
        <v>122.1</v>
      </c>
      <c r="K6" s="101">
        <f>'Ore Base Price Calculator'!$I$26*$G$3</f>
        <v>199.2</v>
      </c>
      <c r="L6" s="15"/>
      <c r="M6" s="100" t="s">
        <v>162</v>
      </c>
      <c r="N6" s="101">
        <f>'Ore Base Price Calculator'!$N$26*$M$3</f>
        <v>21.6</v>
      </c>
      <c r="O6" s="101">
        <f>'Ore Base Price Calculator'!$N$36*$M$3</f>
        <v>142.1</v>
      </c>
      <c r="P6" s="15"/>
    </row>
    <row r="7" ht="15.75" customHeight="1">
      <c r="A7" s="104" t="s">
        <v>163</v>
      </c>
      <c r="C7" s="15"/>
      <c r="D7" s="43" t="s">
        <v>348</v>
      </c>
      <c r="E7" s="27"/>
      <c r="F7" s="15"/>
      <c r="G7" s="105" t="s">
        <v>165</v>
      </c>
      <c r="H7" s="101">
        <f>'Ore Base Price Calculator'!$I$17*$G$3</f>
        <v>292.8</v>
      </c>
      <c r="I7" s="101">
        <f>'Ore Base Price Calculator'!$J$17*$G$3</f>
        <v>432</v>
      </c>
      <c r="J7" s="101">
        <f>'Ore Base Price Calculator'!$N$17*$G$3</f>
        <v>255.3</v>
      </c>
      <c r="K7" s="101">
        <f>'Ore Base Price Calculator'!$I$27*$G$3</f>
        <v>79.2</v>
      </c>
      <c r="L7" s="15"/>
      <c r="M7" s="105" t="s">
        <v>165</v>
      </c>
      <c r="N7" s="101">
        <f>'Ore Base Price Calculator'!$N$27*$M$3</f>
        <v>101.6</v>
      </c>
      <c r="O7" s="101">
        <f>'Ore Base Price Calculator'!$N$37*$M$3</f>
        <v>62.1</v>
      </c>
      <c r="P7" s="15"/>
    </row>
    <row r="8" ht="15.75" customHeight="1">
      <c r="A8" s="88" t="s">
        <v>166</v>
      </c>
      <c r="C8" s="15"/>
      <c r="D8" s="5" t="s">
        <v>61</v>
      </c>
      <c r="E8" s="44" t="s">
        <v>145</v>
      </c>
      <c r="F8" s="15"/>
      <c r="G8" s="108" t="s">
        <v>167</v>
      </c>
      <c r="H8" s="101">
        <f>'Ore Base Price Calculator'!$I$18*$G$3</f>
        <v>328.8</v>
      </c>
      <c r="I8" s="101">
        <f>'Ore Base Price Calculator'!$J$18*$G$3</f>
        <v>468</v>
      </c>
      <c r="J8" s="101">
        <f>'Ore Base Price Calculator'!$N$18*$G$3</f>
        <v>243.3</v>
      </c>
      <c r="K8" s="101">
        <f>'Ore Base Price Calculator'!$I$28*$G$3</f>
        <v>223.2</v>
      </c>
      <c r="L8" s="15"/>
      <c r="M8" s="108" t="s">
        <v>167</v>
      </c>
      <c r="N8" s="101">
        <f>'Ore Base Price Calculator'!$N$28*$M$3</f>
        <v>93.6</v>
      </c>
      <c r="O8" s="101">
        <f>'Ore Base Price Calculator'!$N$38*$M$3</f>
        <v>158.1</v>
      </c>
      <c r="P8" s="15"/>
    </row>
    <row r="9" ht="15.75" customHeight="1">
      <c r="A9" s="110" t="s">
        <v>168</v>
      </c>
      <c r="C9" s="15"/>
      <c r="D9" s="20" t="s">
        <v>58</v>
      </c>
      <c r="E9" s="49">
        <f>'Distance Cost Calculator'!Q16/'Distance Cost Calculator'!B14</f>
        <v>57</v>
      </c>
      <c r="F9" s="15"/>
      <c r="G9" s="111" t="s">
        <v>123</v>
      </c>
      <c r="H9" s="101">
        <f>'Ore Base Price Calculator'!$I$19*$G$3</f>
        <v>292.8</v>
      </c>
      <c r="I9" s="101">
        <f>'Ore Base Price Calculator'!$J$19*$G$3</f>
        <v>432</v>
      </c>
      <c r="J9" s="101">
        <f>'Ore Base Price Calculator'!$N$19*$G$3</f>
        <v>207.3</v>
      </c>
      <c r="K9" s="101">
        <f>'Ore Base Price Calculator'!$I$29*$G$3</f>
        <v>187.2</v>
      </c>
      <c r="L9" s="15"/>
      <c r="M9" s="111" t="s">
        <v>123</v>
      </c>
      <c r="N9" s="101">
        <f>'Ore Base Price Calculator'!$N$29*$M$3</f>
        <v>69.6</v>
      </c>
      <c r="O9" s="101">
        <f>'Ore Base Price Calculator'!$N$39*$M$3</f>
        <v>134.1</v>
      </c>
      <c r="P9" s="15"/>
    </row>
    <row r="10" ht="15.75" customHeight="1">
      <c r="A10" s="66" t="s">
        <v>169</v>
      </c>
      <c r="B10" s="67"/>
      <c r="C10" s="21"/>
      <c r="D10" s="20" t="s">
        <v>71</v>
      </c>
      <c r="E10" s="49">
        <f>'Distance Cost Calculator'!Q17/'Distance Cost Calculator'!B14</f>
        <v>52</v>
      </c>
      <c r="F10" s="21"/>
      <c r="L10" s="21"/>
      <c r="P10" s="21"/>
    </row>
    <row r="11" ht="15.75" customHeight="1">
      <c r="C11" s="22"/>
      <c r="D11" s="2" t="s">
        <v>72</v>
      </c>
      <c r="E11" s="49">
        <f>'Distance Cost Calculator'!Q18/'Distance Cost Calculator'!B14</f>
        <v>69</v>
      </c>
      <c r="F11" s="22"/>
      <c r="L11" s="22"/>
      <c r="P11" s="22"/>
    </row>
    <row r="12" ht="15.75" customHeight="1">
      <c r="A12" s="114"/>
      <c r="B12" s="115"/>
      <c r="C12" s="23"/>
      <c r="D12" s="43" t="s">
        <v>349</v>
      </c>
      <c r="E12" s="27"/>
      <c r="F12" s="23"/>
      <c r="G12" s="16" t="s">
        <v>350</v>
      </c>
      <c r="L12" s="23"/>
      <c r="P12" s="23"/>
    </row>
    <row r="13" ht="15.75" customHeight="1">
      <c r="C13" s="23"/>
      <c r="D13" s="5" t="s">
        <v>61</v>
      </c>
      <c r="E13" s="44" t="s">
        <v>145</v>
      </c>
      <c r="F13" s="23"/>
      <c r="G13" s="88">
        <v>7.0</v>
      </c>
      <c r="H13" s="90" t="s">
        <v>324</v>
      </c>
      <c r="I13" s="90" t="s">
        <v>325</v>
      </c>
      <c r="J13" s="90" t="s">
        <v>307</v>
      </c>
      <c r="K13" s="90" t="s">
        <v>312</v>
      </c>
      <c r="L13" s="23"/>
      <c r="P13" s="23"/>
    </row>
    <row r="14" ht="15.75" customHeight="1">
      <c r="C14" s="23"/>
      <c r="D14" s="20" t="s">
        <v>58</v>
      </c>
      <c r="E14" s="49">
        <f>'Distance Cost Calculator'!I21/'Distance Cost Calculator'!B14</f>
        <v>35</v>
      </c>
      <c r="F14" s="23"/>
      <c r="G14" s="126" t="s">
        <v>328</v>
      </c>
      <c r="H14" s="26"/>
      <c r="I14" s="26"/>
      <c r="J14" s="26"/>
      <c r="K14" s="27"/>
      <c r="L14" s="23"/>
      <c r="P14" s="23"/>
    </row>
    <row r="15" ht="15.75" customHeight="1">
      <c r="C15" s="23"/>
      <c r="D15" s="2" t="s">
        <v>59</v>
      </c>
      <c r="E15" s="49">
        <f>'Distance Cost Calculator'!I22/'Distance Cost Calculator'!B14</f>
        <v>52</v>
      </c>
      <c r="F15" s="23"/>
      <c r="G15" s="90" t="s">
        <v>158</v>
      </c>
      <c r="H15" s="101" t="s">
        <v>329</v>
      </c>
      <c r="I15" s="101" t="s">
        <v>329</v>
      </c>
      <c r="J15" s="101" t="s">
        <v>329</v>
      </c>
      <c r="K15" s="101" t="s">
        <v>329</v>
      </c>
      <c r="L15" s="23"/>
      <c r="P15" s="23"/>
    </row>
    <row r="16" ht="15.75" customHeight="1">
      <c r="C16" s="23"/>
      <c r="D16" s="2" t="s">
        <v>72</v>
      </c>
      <c r="E16" s="49">
        <f>'Distance Cost Calculator'!I23/'Distance Cost Calculator'!B14</f>
        <v>18</v>
      </c>
      <c r="F16" s="23"/>
      <c r="G16" s="100" t="s">
        <v>162</v>
      </c>
      <c r="H16" s="101">
        <f>'Ore Base Price Calculator'!$I$16*$G$13</f>
        <v>683.2</v>
      </c>
      <c r="I16" s="101">
        <f>'Ore Base Price Calculator'!$J$16*$G$13</f>
        <v>1008</v>
      </c>
      <c r="J16" s="101">
        <f>'Ore Base Price Calculator'!$N$16*$G$13</f>
        <v>284.9</v>
      </c>
      <c r="K16" s="101">
        <f>'Ore Base Price Calculator'!$I$26*$G$13</f>
        <v>464.8</v>
      </c>
      <c r="L16" s="23"/>
      <c r="P16" s="23"/>
    </row>
    <row r="17" ht="15.75" customHeight="1">
      <c r="C17" s="23"/>
      <c r="D17" s="43" t="s">
        <v>351</v>
      </c>
      <c r="E17" s="27"/>
      <c r="F17" s="23"/>
      <c r="G17" s="105" t="s">
        <v>165</v>
      </c>
      <c r="H17" s="101">
        <f>'Ore Base Price Calculator'!$I$17*$G$13</f>
        <v>683.2</v>
      </c>
      <c r="I17" s="101">
        <f>'Ore Base Price Calculator'!$J$17*$G$13</f>
        <v>1008</v>
      </c>
      <c r="J17" s="101">
        <f>'Ore Base Price Calculator'!$N$17*$G$13</f>
        <v>595.7</v>
      </c>
      <c r="K17" s="101">
        <f>'Ore Base Price Calculator'!$I$27*$G$13</f>
        <v>184.8</v>
      </c>
      <c r="L17" s="23"/>
      <c r="P17" s="23"/>
    </row>
    <row r="18" ht="15.75" customHeight="1">
      <c r="C18" s="23"/>
      <c r="D18" s="5" t="s">
        <v>61</v>
      </c>
      <c r="E18" s="44" t="s">
        <v>145</v>
      </c>
      <c r="F18" s="23"/>
      <c r="G18" s="108" t="s">
        <v>167</v>
      </c>
      <c r="H18" s="101">
        <f>'Ore Base Price Calculator'!$I$18*$G$13</f>
        <v>767.2</v>
      </c>
      <c r="I18" s="101">
        <f>'Ore Base Price Calculator'!$J$18*$G$13</f>
        <v>1092</v>
      </c>
      <c r="J18" s="101">
        <f>'Ore Base Price Calculator'!$N$18*$G$13</f>
        <v>567.7</v>
      </c>
      <c r="K18" s="101">
        <f>'Ore Base Price Calculator'!$I$28*$G$13</f>
        <v>520.8</v>
      </c>
      <c r="L18" s="23"/>
      <c r="P18" s="23"/>
    </row>
    <row r="19" ht="15.75" customHeight="1">
      <c r="C19" s="23"/>
      <c r="D19" s="20" t="s">
        <v>58</v>
      </c>
      <c r="E19" s="49">
        <f>'Distance Cost Calculator'!Q21/'Distance Cost Calculator'!B14</f>
        <v>52</v>
      </c>
      <c r="F19" s="23"/>
      <c r="G19" s="111" t="s">
        <v>123</v>
      </c>
      <c r="H19" s="101">
        <f>'Ore Base Price Calculator'!$I$19*$G$13</f>
        <v>683.2</v>
      </c>
      <c r="I19" s="101">
        <f>'Ore Base Price Calculator'!$J$19*$G$13</f>
        <v>1008</v>
      </c>
      <c r="J19" s="101">
        <f>'Ore Base Price Calculator'!$N$19*$G$13</f>
        <v>483.7</v>
      </c>
      <c r="K19" s="101">
        <f>'Ore Base Price Calculator'!$I$29*$G$13</f>
        <v>436.8</v>
      </c>
      <c r="L19" s="23"/>
      <c r="P19" s="23"/>
    </row>
    <row r="20" ht="15.75" customHeight="1">
      <c r="C20" s="23"/>
      <c r="D20" s="2" t="s">
        <v>59</v>
      </c>
      <c r="E20" s="49">
        <f>'Distance Cost Calculator'!Q22/'Distance Cost Calculator'!B14</f>
        <v>69</v>
      </c>
      <c r="F20" s="23"/>
      <c r="L20" s="23"/>
      <c r="P20" s="23"/>
    </row>
    <row r="21" ht="15.75" customHeight="1">
      <c r="C21" s="23"/>
      <c r="D21" s="20" t="s">
        <v>71</v>
      </c>
      <c r="E21" s="49">
        <f>'Distance Cost Calculator'!Q23/'Distance Cost Calculator'!B14</f>
        <v>18</v>
      </c>
      <c r="F21" s="23"/>
      <c r="L21" s="23"/>
      <c r="P21" s="23"/>
    </row>
    <row r="22" ht="15.75" customHeight="1">
      <c r="C22" s="23"/>
      <c r="F22" s="23"/>
      <c r="G22" s="16" t="s">
        <v>352</v>
      </c>
      <c r="L22" s="23"/>
      <c r="P22" s="23"/>
    </row>
    <row r="23" ht="15.75" customHeight="1">
      <c r="C23" s="23"/>
      <c r="F23" s="23"/>
      <c r="G23" s="88">
        <v>15.0</v>
      </c>
      <c r="H23" s="90" t="s">
        <v>324</v>
      </c>
      <c r="I23" s="90" t="s">
        <v>325</v>
      </c>
      <c r="J23" s="90" t="s">
        <v>307</v>
      </c>
      <c r="K23" s="90" t="s">
        <v>312</v>
      </c>
      <c r="L23" s="23"/>
      <c r="P23" s="23"/>
    </row>
    <row r="24" ht="15.75" customHeight="1">
      <c r="C24" s="23"/>
      <c r="F24" s="23"/>
      <c r="G24" s="126" t="s">
        <v>328</v>
      </c>
      <c r="H24" s="26"/>
      <c r="I24" s="26"/>
      <c r="J24" s="26"/>
      <c r="K24" s="27"/>
      <c r="L24" s="23"/>
      <c r="P24" s="23"/>
    </row>
    <row r="25" ht="15.75" customHeight="1">
      <c r="C25" s="23"/>
      <c r="F25" s="23"/>
      <c r="G25" s="90" t="s">
        <v>158</v>
      </c>
      <c r="H25" s="101" t="s">
        <v>329</v>
      </c>
      <c r="I25" s="101" t="s">
        <v>329</v>
      </c>
      <c r="J25" s="101" t="s">
        <v>329</v>
      </c>
      <c r="K25" s="101" t="s">
        <v>329</v>
      </c>
      <c r="L25" s="23"/>
      <c r="P25" s="23"/>
    </row>
    <row r="26" ht="15.75" customHeight="1">
      <c r="C26" s="23"/>
      <c r="F26" s="23"/>
      <c r="G26" s="100" t="s">
        <v>162</v>
      </c>
      <c r="H26" s="101">
        <f>'Ore Base Price Calculator'!$I$16*$G$23</f>
        <v>1464</v>
      </c>
      <c r="I26" s="101">
        <f>'Ore Base Price Calculator'!$J$16*$G$23</f>
        <v>2160</v>
      </c>
      <c r="J26" s="101">
        <f>'Ore Base Price Calculator'!$N$16*$G$23</f>
        <v>610.5</v>
      </c>
      <c r="K26" s="101">
        <f>'Ore Base Price Calculator'!$I$26*$G$23</f>
        <v>996</v>
      </c>
      <c r="L26" s="23"/>
      <c r="P26" s="23"/>
    </row>
    <row r="27" ht="15.75" customHeight="1">
      <c r="C27" s="23"/>
      <c r="F27" s="23"/>
      <c r="G27" s="105" t="s">
        <v>165</v>
      </c>
      <c r="H27" s="101">
        <f>'Ore Base Price Calculator'!$I$17*$G$23</f>
        <v>1464</v>
      </c>
      <c r="I27" s="101">
        <f>'Ore Base Price Calculator'!$J$17*$G$23</f>
        <v>2160</v>
      </c>
      <c r="J27" s="101">
        <f>'Ore Base Price Calculator'!$N$17*$G$23</f>
        <v>1276.5</v>
      </c>
      <c r="K27" s="101">
        <f>'Ore Base Price Calculator'!$I$27*$G$23</f>
        <v>396</v>
      </c>
      <c r="L27" s="23"/>
      <c r="P27" s="23"/>
    </row>
    <row r="28" ht="15.75" customHeight="1">
      <c r="C28" s="23"/>
      <c r="F28" s="23"/>
      <c r="G28" s="108" t="s">
        <v>167</v>
      </c>
      <c r="H28" s="101">
        <f>'Ore Base Price Calculator'!$I$18*$G$23</f>
        <v>1644</v>
      </c>
      <c r="I28" s="101">
        <f>'Ore Base Price Calculator'!$J$18*$G$23</f>
        <v>2340</v>
      </c>
      <c r="J28" s="101">
        <f>'Ore Base Price Calculator'!$N$18*$G$23</f>
        <v>1216.5</v>
      </c>
      <c r="K28" s="101">
        <f>'Ore Base Price Calculator'!$I$28*$G$23</f>
        <v>1116</v>
      </c>
      <c r="L28" s="23"/>
      <c r="P28" s="23"/>
    </row>
    <row r="29" ht="15.75" customHeight="1">
      <c r="C29" s="23"/>
      <c r="F29" s="23"/>
      <c r="G29" s="111" t="s">
        <v>123</v>
      </c>
      <c r="H29" s="101">
        <f>'Ore Base Price Calculator'!$I$19*$G$23</f>
        <v>1464</v>
      </c>
      <c r="I29" s="101">
        <f>'Ore Base Price Calculator'!$J$19*$G$23</f>
        <v>2160</v>
      </c>
      <c r="J29" s="101">
        <f>'Ore Base Price Calculator'!$N$19*$G$23</f>
        <v>1036.5</v>
      </c>
      <c r="K29" s="101">
        <f>'Ore Base Price Calculator'!$I$29*$G$23</f>
        <v>936</v>
      </c>
      <c r="L29" s="23"/>
      <c r="P29" s="23"/>
    </row>
    <row r="30" ht="15.75" customHeight="1">
      <c r="C30" s="23"/>
      <c r="F30" s="23"/>
      <c r="L30" s="23"/>
      <c r="P30" s="23"/>
    </row>
    <row r="31" ht="15.75" customHeight="1">
      <c r="C31" s="23"/>
      <c r="F31" s="23"/>
      <c r="L31" s="23"/>
      <c r="P31" s="23"/>
    </row>
    <row r="32" ht="15.75" customHeight="1">
      <c r="C32" s="23"/>
      <c r="F32" s="23"/>
      <c r="G32" s="16" t="s">
        <v>353</v>
      </c>
      <c r="L32" s="23"/>
      <c r="P32" s="23"/>
    </row>
    <row r="33" ht="15.75" customHeight="1">
      <c r="C33" s="23"/>
      <c r="F33" s="23"/>
      <c r="G33" s="88">
        <v>6.0</v>
      </c>
      <c r="H33" s="90" t="s">
        <v>324</v>
      </c>
      <c r="I33" s="90" t="s">
        <v>325</v>
      </c>
      <c r="J33" s="90" t="s">
        <v>307</v>
      </c>
      <c r="K33" s="90" t="s">
        <v>312</v>
      </c>
      <c r="L33" s="23"/>
      <c r="P33" s="23"/>
    </row>
    <row r="34" ht="15.75" customHeight="1">
      <c r="C34" s="23"/>
      <c r="F34" s="23"/>
      <c r="G34" s="126" t="s">
        <v>328</v>
      </c>
      <c r="H34" s="26"/>
      <c r="I34" s="26"/>
      <c r="J34" s="26"/>
      <c r="K34" s="27"/>
      <c r="L34" s="23"/>
      <c r="P34" s="23"/>
    </row>
    <row r="35" ht="15.75" customHeight="1">
      <c r="C35" s="23"/>
      <c r="F35" s="23"/>
      <c r="G35" s="90" t="s">
        <v>158</v>
      </c>
      <c r="H35" s="101" t="s">
        <v>329</v>
      </c>
      <c r="I35" s="101" t="s">
        <v>329</v>
      </c>
      <c r="J35" s="101" t="s">
        <v>329</v>
      </c>
      <c r="K35" s="101" t="s">
        <v>329</v>
      </c>
      <c r="L35" s="23"/>
      <c r="P35" s="23"/>
    </row>
    <row r="36" ht="15.75" customHeight="1">
      <c r="C36" s="23"/>
      <c r="F36" s="23"/>
      <c r="G36" s="100" t="s">
        <v>162</v>
      </c>
      <c r="H36" s="101">
        <f>'Ore Base Price Calculator'!$I$16*$G$33</f>
        <v>585.6</v>
      </c>
      <c r="I36" s="101">
        <f>'Ore Base Price Calculator'!$J$16*$G$33</f>
        <v>864</v>
      </c>
      <c r="J36" s="101">
        <f>'Ore Base Price Calculator'!$N$16*$G$33</f>
        <v>244.2</v>
      </c>
      <c r="K36" s="101">
        <f>'Ore Base Price Calculator'!$I$26*$G$33</f>
        <v>398.4</v>
      </c>
      <c r="L36" s="23"/>
      <c r="P36" s="23"/>
    </row>
    <row r="37" ht="15.75" customHeight="1">
      <c r="C37" s="23"/>
      <c r="F37" s="23"/>
      <c r="G37" s="105" t="s">
        <v>165</v>
      </c>
      <c r="H37" s="101">
        <f>'Ore Base Price Calculator'!$I$17*$G$33</f>
        <v>585.6</v>
      </c>
      <c r="I37" s="101">
        <f>'Ore Base Price Calculator'!$J$17*$G$33</f>
        <v>864</v>
      </c>
      <c r="J37" s="101">
        <f>'Ore Base Price Calculator'!$N$17*$G$33</f>
        <v>510.6</v>
      </c>
      <c r="K37" s="101">
        <f>'Ore Base Price Calculator'!$I$27*$G$33</f>
        <v>158.4</v>
      </c>
      <c r="L37" s="23"/>
      <c r="P37" s="23"/>
    </row>
    <row r="38" ht="15.75" customHeight="1">
      <c r="C38" s="15"/>
      <c r="F38" s="15"/>
      <c r="G38" s="108" t="s">
        <v>167</v>
      </c>
      <c r="H38" s="101">
        <f>'Ore Base Price Calculator'!$I$18*$G$33</f>
        <v>657.6</v>
      </c>
      <c r="I38" s="101">
        <f>'Ore Base Price Calculator'!$J$18*$G$33</f>
        <v>936</v>
      </c>
      <c r="J38" s="101">
        <f>'Ore Base Price Calculator'!$N$18*$G$33</f>
        <v>486.6</v>
      </c>
      <c r="K38" s="101">
        <f>'Ore Base Price Calculator'!$I$28*$G$33</f>
        <v>446.4</v>
      </c>
      <c r="L38" s="15"/>
      <c r="P38" s="15"/>
    </row>
    <row r="39" ht="15.75" customHeight="1">
      <c r="C39" s="15"/>
      <c r="F39" s="15"/>
      <c r="G39" s="111" t="s">
        <v>123</v>
      </c>
      <c r="H39" s="101">
        <f>'Ore Base Price Calculator'!$I$19*$G$33</f>
        <v>585.6</v>
      </c>
      <c r="I39" s="101">
        <f>'Ore Base Price Calculator'!$J$19*$G$33</f>
        <v>864</v>
      </c>
      <c r="J39" s="101">
        <f>'Ore Base Price Calculator'!$N$19*$G$33</f>
        <v>414.6</v>
      </c>
      <c r="K39" s="101">
        <f>'Ore Base Price Calculator'!$I$29*$G$33</f>
        <v>374.4</v>
      </c>
      <c r="L39" s="15"/>
      <c r="P39" s="15"/>
    </row>
    <row r="40" ht="15.75" customHeight="1">
      <c r="C40" s="15"/>
      <c r="F40" s="15"/>
      <c r="L40" s="15"/>
      <c r="P40" s="15"/>
    </row>
    <row r="41" ht="15.75" customHeight="1">
      <c r="C41" s="15"/>
      <c r="F41" s="15"/>
      <c r="L41" s="15"/>
      <c r="P41" s="15"/>
    </row>
    <row r="42" ht="15.75" customHeight="1">
      <c r="C42" s="15"/>
      <c r="F42" s="15"/>
      <c r="L42" s="15"/>
      <c r="P42" s="15"/>
    </row>
    <row r="43" ht="15.75" customHeight="1">
      <c r="C43" s="15"/>
      <c r="F43" s="15"/>
      <c r="L43" s="15"/>
      <c r="P43" s="15"/>
    </row>
    <row r="44" ht="15.75" customHeight="1">
      <c r="C44" s="15"/>
      <c r="F44" s="15"/>
      <c r="L44" s="15"/>
      <c r="P44" s="15"/>
    </row>
    <row r="45" ht="15.75" customHeight="1">
      <c r="C45" s="15"/>
      <c r="F45" s="15"/>
      <c r="L45" s="15"/>
      <c r="P45" s="15"/>
    </row>
    <row r="46" ht="15.75" customHeight="1">
      <c r="C46" s="15"/>
      <c r="F46" s="15"/>
      <c r="L46" s="15"/>
      <c r="P46" s="15"/>
    </row>
    <row r="47" ht="15.75" customHeight="1">
      <c r="C47" s="15"/>
      <c r="F47" s="15"/>
      <c r="L47" s="15"/>
      <c r="P47" s="15"/>
    </row>
    <row r="48" ht="15.75" customHeight="1">
      <c r="C48" s="15"/>
      <c r="F48" s="15"/>
      <c r="L48" s="15"/>
      <c r="P48" s="15"/>
    </row>
    <row r="49" ht="15.75" customHeight="1">
      <c r="C49" s="15"/>
      <c r="F49" s="15"/>
      <c r="L49" s="15"/>
      <c r="P49" s="15"/>
    </row>
    <row r="50" ht="15.75" customHeight="1">
      <c r="C50" s="15"/>
      <c r="F50" s="15"/>
      <c r="L50" s="15"/>
      <c r="P50" s="15"/>
    </row>
    <row r="51" ht="15.75" customHeight="1">
      <c r="C51" s="15"/>
      <c r="F51" s="15"/>
      <c r="L51" s="15"/>
      <c r="P51" s="15"/>
    </row>
    <row r="52" ht="15.75" customHeight="1">
      <c r="C52" s="15"/>
      <c r="F52" s="15"/>
      <c r="L52" s="15"/>
      <c r="P52" s="15"/>
    </row>
    <row r="53" ht="15.75" customHeight="1">
      <c r="C53" s="15"/>
      <c r="F53" s="15"/>
      <c r="L53" s="15"/>
      <c r="P53" s="15"/>
    </row>
    <row r="54" ht="15.75" customHeight="1">
      <c r="C54" s="15"/>
      <c r="F54" s="15"/>
      <c r="L54" s="15"/>
      <c r="P54" s="15"/>
    </row>
    <row r="55" ht="15.75" customHeight="1">
      <c r="C55" s="15"/>
      <c r="F55" s="15"/>
      <c r="L55" s="15"/>
      <c r="P55" s="15"/>
    </row>
    <row r="56" ht="15.75" customHeight="1">
      <c r="C56" s="15"/>
      <c r="F56" s="15"/>
      <c r="L56" s="15"/>
      <c r="P56" s="15"/>
    </row>
    <row r="57" ht="15.75" customHeight="1">
      <c r="C57" s="15"/>
      <c r="F57" s="15"/>
      <c r="L57" s="15"/>
      <c r="P57" s="15"/>
    </row>
    <row r="58" ht="15.75" customHeight="1">
      <c r="C58" s="15"/>
      <c r="F58" s="15"/>
      <c r="L58" s="15"/>
      <c r="P58" s="15"/>
    </row>
    <row r="59" ht="15.75" customHeight="1">
      <c r="C59" s="15"/>
      <c r="F59" s="15"/>
      <c r="L59" s="15"/>
      <c r="P59" s="15"/>
    </row>
    <row r="60" ht="15.75" customHeight="1">
      <c r="C60" s="15"/>
      <c r="F60" s="15"/>
      <c r="L60" s="15"/>
      <c r="P60" s="15"/>
    </row>
    <row r="61" ht="15.75" customHeight="1">
      <c r="C61" s="15"/>
      <c r="F61" s="15"/>
      <c r="L61" s="15"/>
      <c r="P61" s="15"/>
    </row>
    <row r="62" ht="15.75" customHeight="1">
      <c r="C62" s="15"/>
      <c r="F62" s="15"/>
      <c r="L62" s="15"/>
      <c r="P62" s="15"/>
    </row>
    <row r="63" ht="15.75" customHeight="1">
      <c r="C63" s="15"/>
      <c r="F63" s="15"/>
      <c r="L63" s="15"/>
      <c r="P63" s="15"/>
    </row>
    <row r="64" ht="15.75" customHeight="1">
      <c r="C64" s="15"/>
      <c r="F64" s="15"/>
      <c r="L64" s="15"/>
      <c r="P64" s="15"/>
    </row>
    <row r="65" ht="15.75" customHeight="1">
      <c r="C65" s="15"/>
      <c r="F65" s="15"/>
      <c r="L65" s="15"/>
      <c r="P65" s="15"/>
    </row>
    <row r="66" ht="15.75" customHeight="1">
      <c r="C66" s="15"/>
      <c r="F66" s="15"/>
      <c r="L66" s="15"/>
      <c r="P66" s="15"/>
    </row>
    <row r="67" ht="15.75" customHeight="1">
      <c r="C67" s="15"/>
      <c r="F67" s="15"/>
      <c r="L67" s="15"/>
      <c r="P67" s="15"/>
    </row>
    <row r="68" ht="15.75" customHeight="1">
      <c r="C68" s="15"/>
      <c r="F68" s="15"/>
      <c r="L68" s="15"/>
      <c r="P68" s="15"/>
    </row>
    <row r="69" ht="15.75" customHeight="1">
      <c r="C69" s="15"/>
      <c r="F69" s="15"/>
      <c r="L69" s="15"/>
      <c r="P69" s="15"/>
    </row>
    <row r="70" ht="15.75" customHeight="1">
      <c r="C70" s="15"/>
      <c r="F70" s="15"/>
      <c r="L70" s="15"/>
      <c r="P70" s="15"/>
    </row>
    <row r="71" ht="15.75" customHeight="1">
      <c r="C71" s="15"/>
      <c r="F71" s="15"/>
      <c r="L71" s="15"/>
      <c r="P71" s="15"/>
    </row>
    <row r="72" ht="15.75" customHeight="1">
      <c r="C72" s="15"/>
      <c r="F72" s="15"/>
      <c r="L72" s="15"/>
      <c r="P72" s="15"/>
    </row>
    <row r="73" ht="15.75" customHeight="1">
      <c r="C73" s="15"/>
      <c r="F73" s="15"/>
      <c r="L73" s="15"/>
      <c r="P73" s="15"/>
    </row>
    <row r="74" ht="15.75" customHeight="1">
      <c r="C74" s="15"/>
      <c r="F74" s="15"/>
      <c r="L74" s="15"/>
      <c r="P74" s="15"/>
    </row>
    <row r="75" ht="15.75" customHeight="1">
      <c r="C75" s="15"/>
      <c r="F75" s="15"/>
      <c r="L75" s="15"/>
      <c r="P75" s="15"/>
    </row>
    <row r="76" ht="15.75" customHeight="1">
      <c r="C76" s="15"/>
      <c r="F76" s="15"/>
      <c r="L76" s="15"/>
      <c r="P76" s="15"/>
    </row>
    <row r="77" ht="15.75" customHeight="1">
      <c r="C77" s="15"/>
      <c r="F77" s="15"/>
      <c r="L77" s="15"/>
      <c r="P77" s="15"/>
    </row>
    <row r="78" ht="15.75" customHeight="1">
      <c r="C78" s="15"/>
      <c r="F78" s="15"/>
      <c r="L78" s="15"/>
      <c r="P78" s="15"/>
    </row>
    <row r="79" ht="15.75" customHeight="1">
      <c r="C79" s="15"/>
      <c r="F79" s="15"/>
      <c r="L79" s="15"/>
      <c r="P79" s="15"/>
    </row>
    <row r="80" ht="15.75" customHeight="1">
      <c r="C80" s="15"/>
      <c r="F80" s="15"/>
      <c r="L80" s="15"/>
      <c r="P80" s="15"/>
    </row>
    <row r="81" ht="15.75" customHeight="1">
      <c r="C81" s="15"/>
      <c r="F81" s="15"/>
      <c r="L81" s="15"/>
      <c r="P81" s="15"/>
    </row>
    <row r="82" ht="15.75" customHeight="1">
      <c r="C82" s="15"/>
      <c r="F82" s="15"/>
      <c r="L82" s="15"/>
      <c r="P82" s="15"/>
    </row>
    <row r="83" ht="15.75" customHeight="1">
      <c r="C83" s="15"/>
      <c r="F83" s="15"/>
      <c r="L83" s="15"/>
      <c r="P83" s="15"/>
    </row>
    <row r="84" ht="15.75" customHeight="1">
      <c r="C84" s="15"/>
      <c r="F84" s="15"/>
      <c r="L84" s="15"/>
      <c r="P84" s="15"/>
    </row>
    <row r="85" ht="15.75" customHeight="1">
      <c r="C85" s="15"/>
      <c r="F85" s="15"/>
      <c r="L85" s="15"/>
      <c r="P85" s="15"/>
    </row>
    <row r="86" ht="15.75" customHeight="1">
      <c r="C86" s="15"/>
      <c r="F86" s="15"/>
      <c r="L86" s="15"/>
      <c r="P86" s="15"/>
    </row>
    <row r="87" ht="15.75" customHeight="1">
      <c r="C87" s="15"/>
      <c r="F87" s="15"/>
      <c r="L87" s="15"/>
      <c r="P87" s="15"/>
    </row>
    <row r="88" ht="15.75" customHeight="1">
      <c r="C88" s="15"/>
      <c r="F88" s="15"/>
      <c r="L88" s="15"/>
      <c r="P88" s="15"/>
    </row>
    <row r="89" ht="15.75" customHeight="1">
      <c r="C89" s="15"/>
      <c r="F89" s="15"/>
      <c r="L89" s="15"/>
      <c r="P89" s="15"/>
    </row>
    <row r="90" ht="15.75" customHeight="1">
      <c r="C90" s="15"/>
      <c r="F90" s="15"/>
      <c r="L90" s="15"/>
      <c r="P90" s="15"/>
    </row>
    <row r="91" ht="15.75" customHeight="1">
      <c r="C91" s="15"/>
      <c r="F91" s="15"/>
      <c r="L91" s="15"/>
      <c r="P91" s="15"/>
    </row>
    <row r="92" ht="15.75" customHeight="1">
      <c r="C92" s="15"/>
      <c r="F92" s="15"/>
      <c r="L92" s="15"/>
      <c r="P92" s="15"/>
    </row>
    <row r="93" ht="15.75" customHeight="1">
      <c r="C93" s="15"/>
      <c r="F93" s="15"/>
      <c r="L93" s="15"/>
      <c r="P93" s="15"/>
    </row>
    <row r="94" ht="15.75" customHeight="1">
      <c r="C94" s="15"/>
      <c r="F94" s="15"/>
      <c r="L94" s="15"/>
      <c r="P94" s="15"/>
    </row>
    <row r="95" ht="15.75" customHeight="1">
      <c r="C95" s="15"/>
      <c r="F95" s="15"/>
      <c r="L95" s="15"/>
      <c r="P95" s="15"/>
    </row>
    <row r="96" ht="15.75" customHeight="1">
      <c r="C96" s="15"/>
      <c r="F96" s="15"/>
      <c r="L96" s="15"/>
      <c r="P96" s="15"/>
    </row>
    <row r="97" ht="15.75" customHeight="1">
      <c r="C97" s="15"/>
      <c r="F97" s="15"/>
      <c r="L97" s="15"/>
      <c r="P97" s="15"/>
    </row>
    <row r="98" ht="15.75" customHeight="1">
      <c r="C98" s="15"/>
      <c r="F98" s="15"/>
      <c r="L98" s="15"/>
      <c r="P98" s="15"/>
    </row>
    <row r="99" ht="15.75" customHeight="1">
      <c r="C99" s="15"/>
      <c r="F99" s="15"/>
      <c r="L99" s="15"/>
      <c r="P99" s="15"/>
    </row>
    <row r="100" ht="15.75" customHeight="1">
      <c r="C100" s="15"/>
      <c r="F100" s="15"/>
      <c r="L100" s="15"/>
      <c r="P100" s="15"/>
    </row>
    <row r="101" ht="15.75" customHeight="1">
      <c r="C101" s="15"/>
      <c r="F101" s="15"/>
      <c r="L101" s="15"/>
      <c r="P101" s="15"/>
    </row>
    <row r="102" ht="15.75" customHeight="1">
      <c r="C102" s="15"/>
      <c r="F102" s="15"/>
      <c r="L102" s="15"/>
      <c r="P102" s="15"/>
    </row>
    <row r="103" ht="15.75" customHeight="1">
      <c r="C103" s="15"/>
      <c r="F103" s="15"/>
      <c r="L103" s="15"/>
      <c r="P103" s="15"/>
    </row>
    <row r="104" ht="15.75" customHeight="1">
      <c r="C104" s="15"/>
      <c r="F104" s="15"/>
      <c r="L104" s="15"/>
      <c r="P104" s="15"/>
    </row>
    <row r="105" ht="15.75" customHeight="1">
      <c r="C105" s="15"/>
      <c r="F105" s="15"/>
      <c r="L105" s="15"/>
      <c r="P105" s="15"/>
    </row>
    <row r="106" ht="15.75" customHeight="1">
      <c r="C106" s="15"/>
      <c r="F106" s="15"/>
      <c r="L106" s="15"/>
      <c r="P106" s="15"/>
    </row>
    <row r="107" ht="15.75" customHeight="1">
      <c r="C107" s="15"/>
      <c r="F107" s="15"/>
      <c r="L107" s="15"/>
      <c r="P107" s="15"/>
    </row>
    <row r="108" ht="15.75" customHeight="1">
      <c r="C108" s="15"/>
      <c r="F108" s="15"/>
      <c r="L108" s="15"/>
      <c r="P108" s="15"/>
    </row>
    <row r="109" ht="15.75" customHeight="1">
      <c r="C109" s="15"/>
      <c r="F109" s="15"/>
      <c r="L109" s="15"/>
      <c r="P109" s="15"/>
    </row>
    <row r="110" ht="15.75" customHeight="1">
      <c r="C110" s="15"/>
      <c r="F110" s="15"/>
      <c r="L110" s="15"/>
      <c r="P110" s="15"/>
    </row>
    <row r="111" ht="15.75" customHeight="1">
      <c r="C111" s="15"/>
      <c r="F111" s="15"/>
      <c r="L111" s="15"/>
      <c r="P111" s="15"/>
    </row>
    <row r="112" ht="15.75" customHeight="1">
      <c r="C112" s="15"/>
      <c r="F112" s="15"/>
      <c r="L112" s="15"/>
      <c r="P112" s="15"/>
    </row>
    <row r="113" ht="15.75" customHeight="1">
      <c r="C113" s="15"/>
      <c r="F113" s="15"/>
      <c r="L113" s="15"/>
      <c r="P113" s="15"/>
    </row>
    <row r="114" ht="15.75" customHeight="1">
      <c r="C114" s="15"/>
      <c r="F114" s="15"/>
      <c r="L114" s="15"/>
      <c r="P114" s="15"/>
    </row>
    <row r="115" ht="15.75" customHeight="1">
      <c r="C115" s="15"/>
      <c r="F115" s="15"/>
      <c r="L115" s="15"/>
      <c r="P115" s="15"/>
    </row>
    <row r="116" ht="15.75" customHeight="1">
      <c r="C116" s="15"/>
      <c r="F116" s="15"/>
      <c r="L116" s="15"/>
      <c r="P116" s="15"/>
    </row>
    <row r="117" ht="15.75" customHeight="1">
      <c r="C117" s="15"/>
      <c r="F117" s="15"/>
      <c r="L117" s="15"/>
      <c r="P117" s="15"/>
    </row>
    <row r="118" ht="15.75" customHeight="1">
      <c r="C118" s="15"/>
      <c r="F118" s="15"/>
      <c r="L118" s="15"/>
      <c r="P118" s="15"/>
    </row>
    <row r="119" ht="15.75" customHeight="1">
      <c r="C119" s="15"/>
      <c r="F119" s="15"/>
      <c r="L119" s="15"/>
      <c r="P119" s="15"/>
    </row>
    <row r="120" ht="15.75" customHeight="1">
      <c r="C120" s="15"/>
      <c r="F120" s="15"/>
      <c r="L120" s="15"/>
      <c r="P120" s="15"/>
    </row>
    <row r="121" ht="15.75" customHeight="1">
      <c r="C121" s="15"/>
      <c r="F121" s="15"/>
      <c r="L121" s="15"/>
      <c r="P121" s="15"/>
    </row>
    <row r="122" ht="15.75" customHeight="1">
      <c r="C122" s="15"/>
      <c r="F122" s="15"/>
      <c r="L122" s="15"/>
      <c r="P122" s="15"/>
    </row>
    <row r="123" ht="15.75" customHeight="1">
      <c r="C123" s="15"/>
      <c r="F123" s="15"/>
      <c r="L123" s="15"/>
      <c r="P123" s="15"/>
    </row>
    <row r="124" ht="15.75" customHeight="1">
      <c r="C124" s="15"/>
      <c r="F124" s="15"/>
      <c r="L124" s="15"/>
      <c r="P124" s="15"/>
    </row>
    <row r="125" ht="15.75" customHeight="1">
      <c r="C125" s="15"/>
      <c r="F125" s="15"/>
      <c r="L125" s="15"/>
      <c r="P125" s="15"/>
    </row>
    <row r="126" ht="15.75" customHeight="1">
      <c r="C126" s="15"/>
      <c r="F126" s="15"/>
      <c r="L126" s="15"/>
      <c r="P126" s="15"/>
    </row>
    <row r="127" ht="15.75" customHeight="1">
      <c r="C127" s="15"/>
      <c r="F127" s="15"/>
      <c r="L127" s="15"/>
      <c r="P127" s="15"/>
    </row>
    <row r="128" ht="15.75" customHeight="1">
      <c r="C128" s="15"/>
      <c r="F128" s="15"/>
      <c r="L128" s="15"/>
      <c r="P128" s="15"/>
    </row>
    <row r="129" ht="15.75" customHeight="1">
      <c r="C129" s="15"/>
      <c r="F129" s="15"/>
      <c r="L129" s="15"/>
      <c r="P129" s="15"/>
    </row>
    <row r="130" ht="15.75" customHeight="1">
      <c r="C130" s="15"/>
      <c r="F130" s="15"/>
      <c r="L130" s="15"/>
      <c r="P130" s="15"/>
    </row>
    <row r="131" ht="15.75" customHeight="1">
      <c r="C131" s="15"/>
      <c r="F131" s="15"/>
      <c r="L131" s="15"/>
      <c r="P131" s="15"/>
    </row>
    <row r="132" ht="15.75" customHeight="1">
      <c r="C132" s="15"/>
      <c r="F132" s="15"/>
      <c r="L132" s="15"/>
      <c r="P132" s="15"/>
    </row>
    <row r="133" ht="15.75" customHeight="1">
      <c r="C133" s="15"/>
      <c r="F133" s="15"/>
      <c r="L133" s="15"/>
      <c r="P133" s="15"/>
    </row>
    <row r="134" ht="15.75" customHeight="1">
      <c r="C134" s="15"/>
      <c r="F134" s="15"/>
      <c r="L134" s="15"/>
      <c r="P134" s="15"/>
    </row>
    <row r="135" ht="15.75" customHeight="1">
      <c r="C135" s="15"/>
      <c r="F135" s="15"/>
      <c r="L135" s="15"/>
      <c r="P135" s="15"/>
    </row>
    <row r="136" ht="15.75" customHeight="1">
      <c r="C136" s="15"/>
      <c r="F136" s="15"/>
      <c r="L136" s="15"/>
      <c r="P136" s="15"/>
    </row>
    <row r="137" ht="15.75" customHeight="1">
      <c r="C137" s="15"/>
      <c r="F137" s="15"/>
      <c r="L137" s="15"/>
      <c r="P137" s="15"/>
    </row>
    <row r="138" ht="15.75" customHeight="1">
      <c r="C138" s="15"/>
      <c r="F138" s="15"/>
      <c r="L138" s="15"/>
      <c r="P138" s="15"/>
    </row>
    <row r="139" ht="15.75" customHeight="1">
      <c r="C139" s="15"/>
      <c r="F139" s="15"/>
      <c r="L139" s="15"/>
      <c r="P139" s="15"/>
    </row>
    <row r="140" ht="15.75" customHeight="1">
      <c r="C140" s="15"/>
      <c r="F140" s="15"/>
      <c r="L140" s="15"/>
      <c r="P140" s="15"/>
    </row>
    <row r="141" ht="15.75" customHeight="1">
      <c r="C141" s="15"/>
      <c r="F141" s="15"/>
      <c r="L141" s="15"/>
      <c r="P141" s="15"/>
    </row>
    <row r="142" ht="15.75" customHeight="1">
      <c r="C142" s="15"/>
      <c r="F142" s="15"/>
      <c r="L142" s="15"/>
      <c r="P142" s="15"/>
    </row>
    <row r="143" ht="15.75" customHeight="1">
      <c r="C143" s="15"/>
      <c r="F143" s="15"/>
      <c r="L143" s="15"/>
      <c r="P143" s="15"/>
    </row>
    <row r="144" ht="15.75" customHeight="1">
      <c r="C144" s="15"/>
      <c r="F144" s="15"/>
      <c r="L144" s="15"/>
      <c r="P144" s="15"/>
    </row>
    <row r="145" ht="15.75" customHeight="1">
      <c r="C145" s="15"/>
      <c r="F145" s="15"/>
      <c r="L145" s="15"/>
      <c r="P145" s="15"/>
    </row>
    <row r="146" ht="15.75" customHeight="1">
      <c r="C146" s="15"/>
      <c r="F146" s="15"/>
      <c r="L146" s="15"/>
      <c r="P146" s="15"/>
    </row>
    <row r="147" ht="15.75" customHeight="1">
      <c r="C147" s="15"/>
      <c r="F147" s="15"/>
      <c r="L147" s="15"/>
      <c r="P147" s="15"/>
    </row>
    <row r="148" ht="15.75" customHeight="1">
      <c r="C148" s="15"/>
      <c r="F148" s="15"/>
      <c r="L148" s="15"/>
      <c r="P148" s="15"/>
    </row>
    <row r="149" ht="15.75" customHeight="1">
      <c r="C149" s="15"/>
      <c r="F149" s="15"/>
      <c r="L149" s="15"/>
      <c r="P149" s="15"/>
    </row>
    <row r="150" ht="15.75" customHeight="1">
      <c r="C150" s="15"/>
      <c r="F150" s="15"/>
      <c r="L150" s="15"/>
      <c r="P150" s="15"/>
    </row>
    <row r="151" ht="15.75" customHeight="1">
      <c r="C151" s="15"/>
      <c r="F151" s="15"/>
      <c r="L151" s="15"/>
      <c r="P151" s="15"/>
    </row>
    <row r="152" ht="15.75" customHeight="1">
      <c r="C152" s="15"/>
      <c r="F152" s="15"/>
      <c r="L152" s="15"/>
      <c r="P152" s="15"/>
    </row>
    <row r="153" ht="15.75" customHeight="1">
      <c r="C153" s="15"/>
      <c r="F153" s="15"/>
      <c r="L153" s="15"/>
      <c r="P153" s="15"/>
    </row>
    <row r="154" ht="15.75" customHeight="1">
      <c r="C154" s="15"/>
      <c r="F154" s="15"/>
      <c r="L154" s="15"/>
      <c r="P154" s="15"/>
    </row>
    <row r="155" ht="15.75" customHeight="1">
      <c r="C155" s="15"/>
      <c r="F155" s="15"/>
      <c r="L155" s="15"/>
      <c r="P155" s="15"/>
    </row>
    <row r="156" ht="15.75" customHeight="1">
      <c r="C156" s="15"/>
      <c r="F156" s="15"/>
      <c r="L156" s="15"/>
      <c r="P156" s="15"/>
    </row>
    <row r="157" ht="15.75" customHeight="1">
      <c r="C157" s="15"/>
      <c r="F157" s="15"/>
      <c r="L157" s="15"/>
      <c r="P157" s="15"/>
    </row>
    <row r="158" ht="15.75" customHeight="1">
      <c r="C158" s="15"/>
      <c r="F158" s="15"/>
      <c r="L158" s="15"/>
      <c r="P158" s="15"/>
    </row>
    <row r="159" ht="15.75" customHeight="1">
      <c r="C159" s="15"/>
      <c r="F159" s="15"/>
      <c r="L159" s="15"/>
      <c r="P159" s="15"/>
    </row>
    <row r="160" ht="15.75" customHeight="1">
      <c r="C160" s="15"/>
      <c r="F160" s="15"/>
      <c r="L160" s="15"/>
      <c r="P160" s="15"/>
    </row>
    <row r="161" ht="15.75" customHeight="1">
      <c r="C161" s="15"/>
      <c r="F161" s="15"/>
      <c r="L161" s="15"/>
      <c r="P161" s="15"/>
    </row>
    <row r="162" ht="15.75" customHeight="1">
      <c r="C162" s="15"/>
      <c r="F162" s="15"/>
      <c r="L162" s="15"/>
      <c r="P162" s="15"/>
    </row>
    <row r="163" ht="15.75" customHeight="1">
      <c r="C163" s="15"/>
      <c r="F163" s="15"/>
      <c r="L163" s="15"/>
      <c r="P163" s="15"/>
    </row>
    <row r="164" ht="15.75" customHeight="1">
      <c r="C164" s="15"/>
      <c r="F164" s="15"/>
      <c r="L164" s="15"/>
      <c r="P164" s="15"/>
    </row>
    <row r="165" ht="15.75" customHeight="1">
      <c r="C165" s="15"/>
      <c r="F165" s="15"/>
      <c r="L165" s="15"/>
      <c r="P165" s="15"/>
    </row>
    <row r="166" ht="15.75" customHeight="1">
      <c r="C166" s="15"/>
      <c r="F166" s="15"/>
      <c r="L166" s="15"/>
      <c r="P166" s="15"/>
    </row>
    <row r="167" ht="15.75" customHeight="1">
      <c r="C167" s="15"/>
      <c r="F167" s="15"/>
      <c r="L167" s="15"/>
      <c r="P167" s="15"/>
    </row>
    <row r="168" ht="15.75" customHeight="1">
      <c r="C168" s="15"/>
      <c r="F168" s="15"/>
      <c r="L168" s="15"/>
      <c r="P168" s="15"/>
    </row>
    <row r="169" ht="15.75" customHeight="1">
      <c r="C169" s="15"/>
      <c r="F169" s="15"/>
      <c r="L169" s="15"/>
      <c r="P169" s="15"/>
    </row>
    <row r="170" ht="15.75" customHeight="1">
      <c r="C170" s="15"/>
      <c r="F170" s="15"/>
      <c r="L170" s="15"/>
      <c r="P170" s="15"/>
    </row>
    <row r="171" ht="15.75" customHeight="1">
      <c r="C171" s="15"/>
      <c r="F171" s="15"/>
      <c r="L171" s="15"/>
      <c r="P171" s="15"/>
    </row>
    <row r="172" ht="15.75" customHeight="1">
      <c r="C172" s="15"/>
      <c r="F172" s="15"/>
      <c r="L172" s="15"/>
      <c r="P172" s="15"/>
    </row>
    <row r="173" ht="15.75" customHeight="1">
      <c r="C173" s="15"/>
      <c r="F173" s="15"/>
      <c r="L173" s="15"/>
      <c r="P173" s="15"/>
    </row>
    <row r="174" ht="15.75" customHeight="1">
      <c r="C174" s="15"/>
      <c r="F174" s="15"/>
      <c r="L174" s="15"/>
      <c r="P174" s="15"/>
    </row>
    <row r="175" ht="15.75" customHeight="1">
      <c r="C175" s="15"/>
      <c r="F175" s="15"/>
      <c r="L175" s="15"/>
      <c r="P175" s="15"/>
    </row>
    <row r="176" ht="15.75" customHeight="1">
      <c r="C176" s="15"/>
      <c r="F176" s="15"/>
      <c r="L176" s="15"/>
      <c r="P176" s="15"/>
    </row>
    <row r="177" ht="15.75" customHeight="1">
      <c r="C177" s="15"/>
      <c r="F177" s="15"/>
      <c r="L177" s="15"/>
      <c r="P177" s="15"/>
    </row>
    <row r="178" ht="15.75" customHeight="1">
      <c r="C178" s="15"/>
      <c r="F178" s="15"/>
      <c r="L178" s="15"/>
      <c r="P178" s="15"/>
    </row>
    <row r="179" ht="15.75" customHeight="1">
      <c r="C179" s="15"/>
      <c r="F179" s="15"/>
      <c r="L179" s="15"/>
      <c r="P179" s="15"/>
    </row>
    <row r="180" ht="15.75" customHeight="1">
      <c r="C180" s="15"/>
      <c r="F180" s="15"/>
      <c r="L180" s="15"/>
      <c r="P180" s="15"/>
    </row>
    <row r="181" ht="15.75" customHeight="1">
      <c r="C181" s="15"/>
      <c r="F181" s="15"/>
      <c r="L181" s="15"/>
      <c r="P181" s="15"/>
    </row>
    <row r="182" ht="15.75" customHeight="1">
      <c r="C182" s="15"/>
      <c r="F182" s="15"/>
      <c r="L182" s="15"/>
      <c r="P182" s="15"/>
    </row>
    <row r="183" ht="15.75" customHeight="1">
      <c r="C183" s="15"/>
      <c r="F183" s="15"/>
      <c r="L183" s="15"/>
      <c r="P183" s="15"/>
    </row>
    <row r="184" ht="15.75" customHeight="1">
      <c r="C184" s="15"/>
      <c r="F184" s="15"/>
      <c r="L184" s="15"/>
      <c r="P184" s="15"/>
    </row>
    <row r="185" ht="15.75" customHeight="1">
      <c r="C185" s="15"/>
      <c r="F185" s="15"/>
      <c r="L185" s="15"/>
      <c r="P185" s="15"/>
    </row>
    <row r="186" ht="15.75" customHeight="1">
      <c r="C186" s="15"/>
      <c r="F186" s="15"/>
      <c r="L186" s="15"/>
      <c r="P186" s="15"/>
    </row>
    <row r="187" ht="15.75" customHeight="1">
      <c r="C187" s="15"/>
      <c r="F187" s="15"/>
      <c r="L187" s="15"/>
      <c r="P187" s="15"/>
    </row>
    <row r="188" ht="15.75" customHeight="1">
      <c r="C188" s="15"/>
      <c r="F188" s="15"/>
      <c r="L188" s="15"/>
      <c r="P188" s="15"/>
    </row>
    <row r="189" ht="15.75" customHeight="1">
      <c r="C189" s="15"/>
      <c r="F189" s="15"/>
      <c r="L189" s="15"/>
      <c r="P189" s="15"/>
    </row>
    <row r="190" ht="15.75" customHeight="1">
      <c r="C190" s="15"/>
      <c r="F190" s="15"/>
      <c r="L190" s="15"/>
      <c r="P190" s="15"/>
    </row>
    <row r="191" ht="15.75" customHeight="1">
      <c r="C191" s="15"/>
      <c r="F191" s="15"/>
      <c r="L191" s="15"/>
      <c r="P191" s="15"/>
    </row>
    <row r="192" ht="15.75" customHeight="1">
      <c r="C192" s="15"/>
      <c r="F192" s="15"/>
      <c r="L192" s="15"/>
      <c r="P192" s="15"/>
    </row>
    <row r="193" ht="15.75" customHeight="1">
      <c r="C193" s="15"/>
      <c r="F193" s="15"/>
      <c r="L193" s="15"/>
      <c r="P193" s="15"/>
    </row>
    <row r="194" ht="15.75" customHeight="1">
      <c r="C194" s="15"/>
      <c r="F194" s="15"/>
      <c r="L194" s="15"/>
      <c r="P194" s="15"/>
    </row>
    <row r="195" ht="15.75" customHeight="1">
      <c r="C195" s="15"/>
      <c r="F195" s="15"/>
      <c r="L195" s="15"/>
      <c r="P195" s="15"/>
    </row>
    <row r="196" ht="15.75" customHeight="1">
      <c r="C196" s="15"/>
      <c r="F196" s="15"/>
      <c r="L196" s="15"/>
      <c r="P196" s="15"/>
    </row>
    <row r="197" ht="15.75" customHeight="1">
      <c r="C197" s="15"/>
      <c r="F197" s="15"/>
      <c r="L197" s="15"/>
      <c r="P197" s="15"/>
    </row>
    <row r="198" ht="15.75" customHeight="1">
      <c r="C198" s="15"/>
      <c r="F198" s="15"/>
      <c r="L198" s="15"/>
      <c r="P198" s="15"/>
    </row>
    <row r="199" ht="15.75" customHeight="1">
      <c r="C199" s="15"/>
      <c r="F199" s="15"/>
      <c r="L199" s="15"/>
      <c r="P199" s="15"/>
    </row>
    <row r="200" ht="15.75" customHeight="1">
      <c r="C200" s="15"/>
      <c r="F200" s="15"/>
      <c r="L200" s="15"/>
      <c r="P200" s="15"/>
    </row>
    <row r="201" ht="15.75" customHeight="1">
      <c r="C201" s="15"/>
      <c r="F201" s="15"/>
      <c r="L201" s="15"/>
      <c r="P201" s="15"/>
    </row>
    <row r="202" ht="15.75" customHeight="1">
      <c r="C202" s="15"/>
      <c r="F202" s="15"/>
      <c r="L202" s="15"/>
      <c r="P202" s="15"/>
    </row>
    <row r="203" ht="15.75" customHeight="1">
      <c r="C203" s="15"/>
      <c r="F203" s="15"/>
      <c r="L203" s="15"/>
      <c r="P203" s="15"/>
    </row>
    <row r="204" ht="15.75" customHeight="1">
      <c r="C204" s="15"/>
      <c r="F204" s="15"/>
      <c r="L204" s="15"/>
      <c r="P204" s="15"/>
    </row>
    <row r="205" ht="15.75" customHeight="1">
      <c r="C205" s="15"/>
      <c r="F205" s="15"/>
      <c r="L205" s="15"/>
      <c r="P205" s="15"/>
    </row>
    <row r="206" ht="15.75" customHeight="1">
      <c r="C206" s="15"/>
      <c r="F206" s="15"/>
      <c r="L206" s="15"/>
      <c r="P206" s="15"/>
    </row>
    <row r="207" ht="15.75" customHeight="1">
      <c r="C207" s="15"/>
      <c r="F207" s="15"/>
      <c r="L207" s="15"/>
      <c r="P207" s="15"/>
    </row>
    <row r="208" ht="15.75" customHeight="1">
      <c r="C208" s="15"/>
      <c r="F208" s="15"/>
      <c r="L208" s="15"/>
      <c r="P208" s="15"/>
    </row>
    <row r="209" ht="15.75" customHeight="1">
      <c r="C209" s="15"/>
      <c r="F209" s="15"/>
      <c r="L209" s="15"/>
      <c r="P209" s="15"/>
    </row>
    <row r="210" ht="15.75" customHeight="1">
      <c r="C210" s="15"/>
      <c r="F210" s="15"/>
      <c r="L210" s="15"/>
      <c r="P210" s="15"/>
    </row>
    <row r="211" ht="15.75" customHeight="1">
      <c r="C211" s="15"/>
      <c r="F211" s="15"/>
      <c r="L211" s="15"/>
      <c r="P211" s="15"/>
    </row>
    <row r="212" ht="15.75" customHeight="1">
      <c r="C212" s="15"/>
      <c r="F212" s="15"/>
      <c r="L212" s="15"/>
      <c r="P212" s="15"/>
    </row>
    <row r="213" ht="15.75" customHeight="1">
      <c r="C213" s="15"/>
      <c r="F213" s="15"/>
      <c r="L213" s="15"/>
      <c r="P213" s="15"/>
    </row>
    <row r="214" ht="15.75" customHeight="1">
      <c r="C214" s="15"/>
      <c r="F214" s="15"/>
      <c r="L214" s="15"/>
      <c r="P214" s="15"/>
    </row>
    <row r="215" ht="15.75" customHeight="1">
      <c r="C215" s="15"/>
      <c r="F215" s="15"/>
      <c r="L215" s="15"/>
      <c r="P215" s="15"/>
    </row>
    <row r="216" ht="15.75" customHeight="1">
      <c r="C216" s="15"/>
      <c r="F216" s="15"/>
      <c r="L216" s="15"/>
      <c r="P216" s="15"/>
    </row>
    <row r="217" ht="15.75" customHeight="1">
      <c r="C217" s="15"/>
      <c r="F217" s="15"/>
      <c r="L217" s="15"/>
      <c r="P217" s="15"/>
    </row>
    <row r="218" ht="15.75" customHeight="1">
      <c r="C218" s="15"/>
      <c r="F218" s="15"/>
      <c r="L218" s="15"/>
      <c r="P218" s="15"/>
    </row>
    <row r="219" ht="15.75" customHeight="1">
      <c r="C219" s="15"/>
      <c r="F219" s="15"/>
      <c r="L219" s="15"/>
      <c r="P219" s="15"/>
    </row>
    <row r="220" ht="15.75" customHeight="1">
      <c r="C220" s="15"/>
      <c r="F220" s="15"/>
      <c r="L220" s="15"/>
      <c r="P220" s="15"/>
    </row>
    <row r="221" ht="15.75" customHeight="1">
      <c r="C221" s="15"/>
      <c r="F221" s="15"/>
      <c r="L221" s="15"/>
      <c r="P221" s="15"/>
    </row>
    <row r="222" ht="15.75" customHeight="1">
      <c r="C222" s="15"/>
      <c r="F222" s="15"/>
      <c r="L222" s="15"/>
      <c r="P222" s="15"/>
    </row>
    <row r="223" ht="15.75" customHeight="1">
      <c r="C223" s="15"/>
      <c r="F223" s="15"/>
      <c r="L223" s="15"/>
      <c r="P223" s="15"/>
    </row>
    <row r="224" ht="15.75" customHeight="1">
      <c r="C224" s="15"/>
      <c r="F224" s="15"/>
      <c r="L224" s="15"/>
      <c r="P224" s="15"/>
    </row>
    <row r="225" ht="15.75" customHeight="1">
      <c r="C225" s="15"/>
      <c r="F225" s="15"/>
      <c r="L225" s="15"/>
      <c r="P225" s="15"/>
    </row>
    <row r="226" ht="15.75" customHeight="1">
      <c r="C226" s="15"/>
      <c r="F226" s="15"/>
      <c r="L226" s="15"/>
      <c r="P226" s="15"/>
    </row>
    <row r="227" ht="15.75" customHeight="1">
      <c r="C227" s="15"/>
      <c r="F227" s="15"/>
      <c r="L227" s="15"/>
      <c r="P227" s="15"/>
    </row>
    <row r="228" ht="15.75" customHeight="1">
      <c r="C228" s="15"/>
      <c r="F228" s="15"/>
      <c r="L228" s="15"/>
      <c r="P228" s="15"/>
    </row>
    <row r="229" ht="15.75" customHeight="1">
      <c r="C229" s="15"/>
      <c r="F229" s="15"/>
      <c r="L229" s="15"/>
      <c r="P229" s="15"/>
    </row>
    <row r="230" ht="15.75" customHeight="1">
      <c r="C230" s="15"/>
      <c r="F230" s="15"/>
      <c r="L230" s="15"/>
      <c r="P230" s="15"/>
    </row>
    <row r="231" ht="15.75" customHeight="1">
      <c r="C231" s="15"/>
      <c r="F231" s="15"/>
      <c r="L231" s="15"/>
      <c r="P231" s="15"/>
    </row>
    <row r="232" ht="15.75" customHeight="1">
      <c r="C232" s="15"/>
      <c r="F232" s="15"/>
      <c r="L232" s="15"/>
      <c r="P232" s="15"/>
    </row>
    <row r="233" ht="15.75" customHeight="1">
      <c r="C233" s="15"/>
      <c r="F233" s="15"/>
      <c r="L233" s="15"/>
      <c r="P233" s="15"/>
    </row>
    <row r="234" ht="15.75" customHeight="1">
      <c r="C234" s="15"/>
      <c r="F234" s="15"/>
      <c r="L234" s="15"/>
      <c r="P234" s="15"/>
    </row>
    <row r="235" ht="15.75" customHeight="1">
      <c r="C235" s="15"/>
      <c r="F235" s="15"/>
      <c r="L235" s="15"/>
      <c r="P235" s="15"/>
    </row>
    <row r="236" ht="15.75" customHeight="1">
      <c r="C236" s="15"/>
      <c r="F236" s="15"/>
      <c r="L236" s="15"/>
      <c r="P236" s="15"/>
    </row>
    <row r="237" ht="15.75" customHeight="1">
      <c r="C237" s="15"/>
      <c r="F237" s="15"/>
      <c r="L237" s="15"/>
      <c r="P237" s="15"/>
    </row>
    <row r="238" ht="15.75" customHeight="1">
      <c r="C238" s="15"/>
      <c r="F238" s="15"/>
      <c r="L238" s="15"/>
      <c r="P238" s="15"/>
    </row>
    <row r="239" ht="15.75" customHeight="1">
      <c r="C239" s="15"/>
      <c r="F239" s="15"/>
      <c r="L239" s="15"/>
      <c r="P239" s="15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E1"/>
    <mergeCell ref="G1:K1"/>
    <mergeCell ref="M1:O1"/>
    <mergeCell ref="A2:B2"/>
    <mergeCell ref="D2:E2"/>
    <mergeCell ref="G2:K2"/>
    <mergeCell ref="M2:O2"/>
    <mergeCell ref="A3:B3"/>
    <mergeCell ref="A4:B4"/>
    <mergeCell ref="G4:K4"/>
    <mergeCell ref="M4:O4"/>
    <mergeCell ref="A5:B5"/>
    <mergeCell ref="A6:B6"/>
    <mergeCell ref="D7:E7"/>
    <mergeCell ref="G14:K14"/>
    <mergeCell ref="G22:K22"/>
    <mergeCell ref="G24:K24"/>
    <mergeCell ref="G32:K32"/>
    <mergeCell ref="G34:K34"/>
    <mergeCell ref="A7:B7"/>
    <mergeCell ref="A8:B8"/>
    <mergeCell ref="A9:B9"/>
    <mergeCell ref="A10:B10"/>
    <mergeCell ref="D12:E12"/>
    <mergeCell ref="G12:K12"/>
    <mergeCell ref="D17:E17"/>
  </mergeCells>
  <drawing r:id="rId1"/>
</worksheet>
</file>