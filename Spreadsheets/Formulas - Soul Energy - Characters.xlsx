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ova\Documents\GitHub\HusbandOutWorld\Spreadsheets\"/>
    </mc:Choice>
  </mc:AlternateContent>
  <xr:revisionPtr revIDLastSave="0" documentId="13_ncr:1_{F396FCFD-1E25-46B9-8614-F39FC2C6F9C8}" xr6:coauthVersionLast="47" xr6:coauthVersionMax="47" xr10:uidLastSave="{00000000-0000-0000-0000-000000000000}"/>
  <bookViews>
    <workbookView xWindow="-103" yWindow="-103" windowWidth="33120" windowHeight="18000" firstSheet="1" activeTab="12" xr2:uid="{00000000-000D-0000-FFFF-FFFF00000000}"/>
  </bookViews>
  <sheets>
    <sheet name="RAW" sheetId="13" r:id="rId1"/>
    <sheet name="Adventurers" sheetId="1" r:id="rId2"/>
    <sheet name="Blood" sheetId="2" r:id="rId3"/>
    <sheet name="Flatland" sheetId="3" r:id="rId4"/>
    <sheet name="Forway" sheetId="4" r:id="rId5"/>
    <sheet name="Forway Villages" sheetId="5" r:id="rId6"/>
    <sheet name="Freeish" sheetId="6" r:id="rId7"/>
    <sheet name="Gandew" sheetId="7" r:id="rId8"/>
    <sheet name="Sanbi" sheetId="8" r:id="rId9"/>
    <sheet name="Sanbi Villages" sheetId="9" r:id="rId10"/>
    <sheet name="Sundeath" sheetId="10" r:id="rId11"/>
    <sheet name="Tolerideme" sheetId="11" r:id="rId12"/>
    <sheet name="Tolerideme Villages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W9KXTEP91ZC7vzqzIcEqyCB6puy1vlQ5z2YCBsamwj8="/>
    </ext>
  </extLst>
</workbook>
</file>

<file path=xl/calcChain.xml><?xml version="1.0" encoding="utf-8"?>
<calcChain xmlns="http://schemas.openxmlformats.org/spreadsheetml/2006/main">
  <c r="A62" i="12" l="1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B45" i="12"/>
  <c r="AA45" i="12"/>
  <c r="Z45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D3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D2" i="12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D3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D2" i="11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D3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D2" i="10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D3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D2" i="9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D3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D2" i="8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D3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D2" i="7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D3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D2" i="6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D3" i="5"/>
  <c r="I2" i="5"/>
  <c r="H2" i="5"/>
  <c r="G2" i="5"/>
  <c r="D2" i="5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D3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D2" i="4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D3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D2" i="3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D3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D2" i="2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D3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D2" i="1"/>
  <c r="V13" i="10" l="1"/>
  <c r="J55" i="7"/>
  <c r="R19" i="7"/>
  <c r="AB37" i="12"/>
  <c r="AA37" i="12"/>
  <c r="Z37" i="12"/>
  <c r="Y37" i="12"/>
  <c r="X37" i="12"/>
  <c r="W37" i="12"/>
  <c r="V37" i="12"/>
  <c r="U37" i="12"/>
  <c r="M24" i="8"/>
  <c r="AB43" i="11"/>
  <c r="AA43" i="11"/>
  <c r="Z43" i="11"/>
  <c r="S30" i="6"/>
  <c r="M42" i="10"/>
  <c r="T47" i="6"/>
  <c r="AA62" i="6"/>
  <c r="H47" i="5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D62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D37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D36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D35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D34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D33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D32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D31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D30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D29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D28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D27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D24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D23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D22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D21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D20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D19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D18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D17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D16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D15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D14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D13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D11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D10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D9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D8" i="12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D62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D61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D60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D59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D58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D57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D56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D55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D54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D53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D52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D51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D50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D49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D48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D47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D46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Z15" i="11"/>
  <c r="T15" i="11"/>
  <c r="Q15" i="11"/>
  <c r="O15" i="11"/>
  <c r="M15" i="11"/>
  <c r="K15" i="11"/>
  <c r="I15" i="11"/>
  <c r="D15" i="11"/>
  <c r="AB14" i="11"/>
  <c r="Z14" i="11"/>
  <c r="X14" i="11"/>
  <c r="V14" i="11"/>
  <c r="S14" i="11"/>
  <c r="P14" i="11"/>
  <c r="N14" i="11"/>
  <c r="K14" i="11"/>
  <c r="I14" i="11"/>
  <c r="G14" i="11"/>
  <c r="D14" i="11"/>
  <c r="T13" i="11"/>
  <c r="R13" i="11"/>
  <c r="O13" i="11"/>
  <c r="M13" i="11"/>
  <c r="L13" i="11"/>
  <c r="K13" i="11"/>
  <c r="I13" i="11"/>
  <c r="G13" i="11"/>
  <c r="V12" i="11"/>
  <c r="S12" i="11"/>
  <c r="Q12" i="11"/>
  <c r="O12" i="11"/>
  <c r="M12" i="11"/>
  <c r="J12" i="11"/>
  <c r="H12" i="11"/>
  <c r="D12" i="11"/>
  <c r="AB11" i="11"/>
  <c r="AA11" i="11"/>
  <c r="Z11" i="11"/>
  <c r="Y11" i="11"/>
  <c r="X11" i="11"/>
  <c r="W11" i="11"/>
  <c r="U11" i="11"/>
  <c r="S11" i="11"/>
  <c r="Q11" i="11"/>
  <c r="O11" i="11"/>
  <c r="M11" i="11"/>
  <c r="K11" i="11"/>
  <c r="I11" i="11"/>
  <c r="D11" i="11"/>
  <c r="AB10" i="11"/>
  <c r="AA10" i="11"/>
  <c r="Z10" i="11"/>
  <c r="Y10" i="11"/>
  <c r="W10" i="11"/>
  <c r="V10" i="11"/>
  <c r="T10" i="11"/>
  <c r="R10" i="11"/>
  <c r="O10" i="11"/>
  <c r="M10" i="11"/>
  <c r="K10" i="11"/>
  <c r="I10" i="11"/>
  <c r="G10" i="11"/>
  <c r="D10" i="11"/>
  <c r="AB9" i="11"/>
  <c r="AA9" i="11"/>
  <c r="Z9" i="11"/>
  <c r="Y9" i="11"/>
  <c r="X9" i="11"/>
  <c r="V9" i="11"/>
  <c r="T9" i="11"/>
  <c r="R9" i="11"/>
  <c r="P9" i="11"/>
  <c r="N9" i="11"/>
  <c r="L9" i="11"/>
  <c r="J9" i="11"/>
  <c r="H9" i="11"/>
  <c r="D9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D8" i="11"/>
  <c r="AA62" i="10"/>
  <c r="Y62" i="10"/>
  <c r="W62" i="10"/>
  <c r="U62" i="10"/>
  <c r="S62" i="10"/>
  <c r="Q62" i="10"/>
  <c r="O62" i="10"/>
  <c r="M62" i="10"/>
  <c r="K62" i="10"/>
  <c r="I62" i="10"/>
  <c r="G62" i="10"/>
  <c r="D62" i="10"/>
  <c r="AB61" i="10"/>
  <c r="AA61" i="10"/>
  <c r="Z61" i="10"/>
  <c r="Y61" i="10"/>
  <c r="X61" i="10"/>
  <c r="W61" i="10"/>
  <c r="U61" i="10"/>
  <c r="T61" i="10"/>
  <c r="R61" i="10"/>
  <c r="O61" i="10"/>
  <c r="M61" i="10"/>
  <c r="K61" i="10"/>
  <c r="I61" i="10"/>
  <c r="D61" i="10"/>
  <c r="AB60" i="10"/>
  <c r="Z60" i="10"/>
  <c r="X60" i="10"/>
  <c r="U60" i="10"/>
  <c r="S60" i="10"/>
  <c r="Q60" i="10"/>
  <c r="O60" i="10"/>
  <c r="M60" i="10"/>
  <c r="K60" i="10"/>
  <c r="I60" i="10"/>
  <c r="G60" i="10"/>
  <c r="Z59" i="10"/>
  <c r="X59" i="10"/>
  <c r="V59" i="10"/>
  <c r="T59" i="10"/>
  <c r="R59" i="10"/>
  <c r="P59" i="10"/>
  <c r="N59" i="10"/>
  <c r="L59" i="10"/>
  <c r="J59" i="10"/>
  <c r="X57" i="10"/>
  <c r="U57" i="10"/>
  <c r="S57" i="10"/>
  <c r="Q57" i="10"/>
  <c r="O57" i="10"/>
  <c r="M57" i="10"/>
  <c r="L57" i="10"/>
  <c r="K57" i="10"/>
  <c r="I57" i="10"/>
  <c r="G57" i="10"/>
  <c r="X56" i="10"/>
  <c r="U56" i="10"/>
  <c r="S56" i="10"/>
  <c r="Q56" i="10"/>
  <c r="O56" i="10"/>
  <c r="M56" i="10"/>
  <c r="K56" i="10"/>
  <c r="I56" i="10"/>
  <c r="G56" i="10"/>
  <c r="Y55" i="10"/>
  <c r="V55" i="10"/>
  <c r="T55" i="10"/>
  <c r="S55" i="10"/>
  <c r="Q55" i="10"/>
  <c r="N55" i="10"/>
  <c r="L55" i="10"/>
  <c r="J55" i="10"/>
  <c r="I55" i="10"/>
  <c r="G55" i="10"/>
  <c r="D55" i="10"/>
  <c r="AB54" i="10"/>
  <c r="AA54" i="10"/>
  <c r="Z54" i="10"/>
  <c r="Y54" i="10"/>
  <c r="W54" i="10"/>
  <c r="U54" i="10"/>
  <c r="S54" i="10"/>
  <c r="R54" i="10"/>
  <c r="P54" i="10"/>
  <c r="N54" i="10"/>
  <c r="L54" i="10"/>
  <c r="J54" i="10"/>
  <c r="H54" i="10"/>
  <c r="D54" i="10"/>
  <c r="AB53" i="10"/>
  <c r="AA53" i="10"/>
  <c r="Z53" i="10"/>
  <c r="Y53" i="10"/>
  <c r="X53" i="10"/>
  <c r="U53" i="10"/>
  <c r="S53" i="10"/>
  <c r="Q53" i="10"/>
  <c r="O53" i="10"/>
  <c r="M53" i="10"/>
  <c r="K53" i="10"/>
  <c r="I53" i="10"/>
  <c r="G53" i="10"/>
  <c r="X52" i="10"/>
  <c r="V52" i="10"/>
  <c r="T52" i="10"/>
  <c r="S52" i="10"/>
  <c r="Q52" i="10"/>
  <c r="O52" i="10"/>
  <c r="M52" i="10"/>
  <c r="K52" i="10"/>
  <c r="I52" i="10"/>
  <c r="G52" i="10"/>
  <c r="AB51" i="10"/>
  <c r="AA51" i="10"/>
  <c r="Z51" i="10"/>
  <c r="X51" i="10"/>
  <c r="W51" i="10"/>
  <c r="U51" i="10"/>
  <c r="S51" i="10"/>
  <c r="Q51" i="10"/>
  <c r="N51" i="10"/>
  <c r="L51" i="10"/>
  <c r="J51" i="10"/>
  <c r="D51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K50" i="10"/>
  <c r="I50" i="10"/>
  <c r="G50" i="10"/>
  <c r="D50" i="10"/>
  <c r="AB49" i="10"/>
  <c r="AA49" i="10"/>
  <c r="Z49" i="10"/>
  <c r="Y49" i="10"/>
  <c r="X49" i="10"/>
  <c r="W49" i="10"/>
  <c r="U49" i="10"/>
  <c r="S49" i="10"/>
  <c r="Q49" i="10"/>
  <c r="O49" i="10"/>
  <c r="M49" i="10"/>
  <c r="K49" i="10"/>
  <c r="I49" i="10"/>
  <c r="G49" i="10"/>
  <c r="X48" i="10"/>
  <c r="U48" i="10"/>
  <c r="S48" i="10"/>
  <c r="P48" i="10"/>
  <c r="O48" i="10"/>
  <c r="M48" i="10"/>
  <c r="L48" i="10"/>
  <c r="J48" i="10"/>
  <c r="H48" i="10"/>
  <c r="Z47" i="10"/>
  <c r="W47" i="10"/>
  <c r="U47" i="10"/>
  <c r="S47" i="10"/>
  <c r="Q47" i="10"/>
  <c r="O47" i="10"/>
  <c r="M47" i="10"/>
  <c r="K47" i="10"/>
  <c r="I47" i="10"/>
  <c r="H47" i="10"/>
  <c r="D47" i="10"/>
  <c r="AB46" i="10"/>
  <c r="AA46" i="10"/>
  <c r="Z46" i="10"/>
  <c r="Y46" i="10"/>
  <c r="X46" i="10"/>
  <c r="V46" i="10"/>
  <c r="T46" i="10"/>
  <c r="Q46" i="10"/>
  <c r="O46" i="10"/>
  <c r="L46" i="10"/>
  <c r="J46" i="10"/>
  <c r="D46" i="10"/>
  <c r="AB45" i="10"/>
  <c r="Z45" i="10"/>
  <c r="Y45" i="10"/>
  <c r="W45" i="10"/>
  <c r="V45" i="10"/>
  <c r="T45" i="10"/>
  <c r="S45" i="10"/>
  <c r="R45" i="10"/>
  <c r="P45" i="10"/>
  <c r="O45" i="10"/>
  <c r="M45" i="10"/>
  <c r="K45" i="10"/>
  <c r="J45" i="10"/>
  <c r="G45" i="10"/>
  <c r="AA43" i="10"/>
  <c r="Z43" i="10"/>
  <c r="Y43" i="10"/>
  <c r="W43" i="10"/>
  <c r="U43" i="10"/>
  <c r="S43" i="10"/>
  <c r="Q43" i="10"/>
  <c r="O43" i="10"/>
  <c r="M43" i="10"/>
  <c r="K43" i="10"/>
  <c r="I43" i="10"/>
  <c r="D43" i="10"/>
  <c r="AB42" i="10"/>
  <c r="AA42" i="10"/>
  <c r="Z42" i="10"/>
  <c r="Y42" i="10"/>
  <c r="W42" i="10"/>
  <c r="U42" i="10"/>
  <c r="S42" i="10"/>
  <c r="Q42" i="10"/>
  <c r="O42" i="10"/>
  <c r="K30" i="10"/>
  <c r="H30" i="10"/>
  <c r="D30" i="10"/>
  <c r="AB29" i="10"/>
  <c r="Z29" i="10"/>
  <c r="X29" i="10"/>
  <c r="V29" i="10"/>
  <c r="R29" i="10"/>
  <c r="P29" i="10"/>
  <c r="N29" i="10"/>
  <c r="K29" i="10"/>
  <c r="H29" i="10"/>
  <c r="D29" i="10"/>
  <c r="W28" i="10"/>
  <c r="U28" i="10"/>
  <c r="S28" i="10"/>
  <c r="P28" i="10"/>
  <c r="N28" i="10"/>
  <c r="L28" i="10"/>
  <c r="J28" i="10"/>
  <c r="G28" i="10"/>
  <c r="X27" i="10"/>
  <c r="V27" i="10"/>
  <c r="T27" i="10"/>
  <c r="R27" i="10"/>
  <c r="P27" i="10"/>
  <c r="N27" i="10"/>
  <c r="L27" i="10"/>
  <c r="J27" i="10"/>
  <c r="H27" i="10"/>
  <c r="D27" i="10"/>
  <c r="Z24" i="10"/>
  <c r="X24" i="10"/>
  <c r="W24" i="10"/>
  <c r="U24" i="10"/>
  <c r="S24" i="10"/>
  <c r="R24" i="10"/>
  <c r="P24" i="10"/>
  <c r="N24" i="10"/>
  <c r="L24" i="10"/>
  <c r="K24" i="10"/>
  <c r="I24" i="10"/>
  <c r="G24" i="10"/>
  <c r="D24" i="10"/>
  <c r="AB23" i="10"/>
  <c r="Z23" i="10"/>
  <c r="Y23" i="10"/>
  <c r="W23" i="10"/>
  <c r="V23" i="10"/>
  <c r="T23" i="10"/>
  <c r="R23" i="10"/>
  <c r="P23" i="10"/>
  <c r="N23" i="10"/>
  <c r="L23" i="10"/>
  <c r="I23" i="10"/>
  <c r="G23" i="10"/>
  <c r="W22" i="10"/>
  <c r="U22" i="10"/>
  <c r="S22" i="10"/>
  <c r="Q22" i="10"/>
  <c r="O22" i="10"/>
  <c r="N22" i="10"/>
  <c r="L22" i="10"/>
  <c r="J22" i="10"/>
  <c r="H22" i="10"/>
  <c r="G22" i="10"/>
  <c r="AB21" i="10"/>
  <c r="AA21" i="10"/>
  <c r="Z21" i="10"/>
  <c r="X21" i="10"/>
  <c r="V21" i="10"/>
  <c r="T21" i="10"/>
  <c r="R21" i="10"/>
  <c r="M21" i="10"/>
  <c r="J21" i="10"/>
  <c r="D21" i="10"/>
  <c r="AB20" i="10"/>
  <c r="AA20" i="10"/>
  <c r="Z20" i="10"/>
  <c r="X20" i="10"/>
  <c r="V20" i="10"/>
  <c r="S20" i="10"/>
  <c r="P20" i="10"/>
  <c r="M20" i="10"/>
  <c r="K20" i="10"/>
  <c r="I20" i="10"/>
  <c r="G20" i="10"/>
  <c r="AB19" i="10"/>
  <c r="AA19" i="10"/>
  <c r="Z19" i="10"/>
  <c r="X19" i="10"/>
  <c r="W19" i="10"/>
  <c r="T19" i="10"/>
  <c r="R19" i="10"/>
  <c r="P19" i="10"/>
  <c r="M19" i="10"/>
  <c r="J19" i="10"/>
  <c r="H19" i="10"/>
  <c r="D19" i="10"/>
  <c r="AB18" i="10"/>
  <c r="AA18" i="10"/>
  <c r="Y18" i="10"/>
  <c r="X18" i="10"/>
  <c r="V18" i="10"/>
  <c r="T18" i="10"/>
  <c r="R18" i="10"/>
  <c r="P18" i="10"/>
  <c r="M18" i="10"/>
  <c r="K18" i="10"/>
  <c r="J18" i="10"/>
  <c r="H18" i="10"/>
  <c r="D18" i="10"/>
  <c r="AB17" i="10"/>
  <c r="AA17" i="10"/>
  <c r="Z17" i="10"/>
  <c r="Y17" i="10"/>
  <c r="X17" i="10"/>
  <c r="V17" i="10"/>
  <c r="T17" i="10"/>
  <c r="R17" i="10"/>
  <c r="P17" i="10"/>
  <c r="N17" i="10"/>
  <c r="M17" i="10"/>
  <c r="K17" i="10"/>
  <c r="I17" i="10"/>
  <c r="G17" i="10"/>
  <c r="W16" i="10"/>
  <c r="T16" i="10"/>
  <c r="R16" i="10"/>
  <c r="N16" i="10"/>
  <c r="L16" i="10"/>
  <c r="J16" i="10"/>
  <c r="H16" i="10"/>
  <c r="W15" i="10"/>
  <c r="U15" i="10"/>
  <c r="S15" i="10"/>
  <c r="R15" i="10"/>
  <c r="P15" i="10"/>
  <c r="O15" i="10"/>
  <c r="M15" i="10"/>
  <c r="K15" i="10"/>
  <c r="I15" i="10"/>
  <c r="G15" i="10"/>
  <c r="X14" i="10"/>
  <c r="V14" i="10"/>
  <c r="T14" i="10"/>
  <c r="Q14" i="10"/>
  <c r="O14" i="10"/>
  <c r="M14" i="10"/>
  <c r="K14" i="10"/>
  <c r="I14" i="10"/>
  <c r="G14" i="10"/>
  <c r="Y13" i="10"/>
  <c r="W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D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D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D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D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D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D8" i="10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D62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D61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I60" i="9"/>
  <c r="H60" i="9"/>
  <c r="G60" i="9"/>
  <c r="D60" i="9"/>
  <c r="AA59" i="9"/>
  <c r="X59" i="9"/>
  <c r="V59" i="9"/>
  <c r="T59" i="9"/>
  <c r="S59" i="9"/>
  <c r="Q59" i="9"/>
  <c r="O59" i="9"/>
  <c r="M59" i="9"/>
  <c r="K59" i="9"/>
  <c r="I59" i="9"/>
  <c r="G59" i="9"/>
  <c r="D59" i="9"/>
  <c r="V58" i="9"/>
  <c r="T58" i="9"/>
  <c r="R58" i="9"/>
  <c r="P58" i="9"/>
  <c r="N58" i="9"/>
  <c r="M58" i="9"/>
  <c r="K58" i="9"/>
  <c r="I58" i="9"/>
  <c r="G58" i="9"/>
  <c r="AB57" i="9"/>
  <c r="AA57" i="9"/>
  <c r="Z57" i="9"/>
  <c r="X57" i="9"/>
  <c r="V57" i="9"/>
  <c r="T57" i="9"/>
  <c r="R57" i="9"/>
  <c r="P57" i="9"/>
  <c r="N57" i="9"/>
  <c r="L57" i="9"/>
  <c r="J57" i="9"/>
  <c r="H57" i="9"/>
  <c r="D57" i="9"/>
  <c r="AB56" i="9"/>
  <c r="AA56" i="9"/>
  <c r="Z56" i="9"/>
  <c r="X56" i="9"/>
  <c r="W56" i="9"/>
  <c r="U56" i="9"/>
  <c r="S56" i="9"/>
  <c r="Q56" i="9"/>
  <c r="O56" i="9"/>
  <c r="M56" i="9"/>
  <c r="K56" i="9"/>
  <c r="I56" i="9"/>
  <c r="G56" i="9"/>
  <c r="V55" i="9"/>
  <c r="T55" i="9"/>
  <c r="R55" i="9"/>
  <c r="P55" i="9"/>
  <c r="O55" i="9"/>
  <c r="M55" i="9"/>
  <c r="K55" i="9"/>
  <c r="H55" i="9"/>
  <c r="Y54" i="9"/>
  <c r="V54" i="9"/>
  <c r="S54" i="9"/>
  <c r="P54" i="9"/>
  <c r="N54" i="9"/>
  <c r="L54" i="9"/>
  <c r="J54" i="9"/>
  <c r="H54" i="9"/>
  <c r="D54" i="9"/>
  <c r="AB53" i="9"/>
  <c r="AA53" i="9"/>
  <c r="Z53" i="9"/>
  <c r="Y53" i="9"/>
  <c r="W53" i="9"/>
  <c r="U53" i="9"/>
  <c r="T53" i="9"/>
  <c r="S53" i="9"/>
  <c r="Q53" i="9"/>
  <c r="O53" i="9"/>
  <c r="M53" i="9"/>
  <c r="J53" i="9"/>
  <c r="I53" i="9"/>
  <c r="G53" i="9"/>
  <c r="V52" i="9"/>
  <c r="T52" i="9"/>
  <c r="R52" i="9"/>
  <c r="P52" i="9"/>
  <c r="N52" i="9"/>
  <c r="L52" i="9"/>
  <c r="J52" i="9"/>
  <c r="G52" i="9"/>
  <c r="D52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G51" i="9"/>
  <c r="W50" i="9"/>
  <c r="U50" i="9"/>
  <c r="S50" i="9"/>
  <c r="P50" i="9"/>
  <c r="N50" i="9"/>
  <c r="L50" i="9"/>
  <c r="J50" i="9"/>
  <c r="I50" i="9"/>
  <c r="G50" i="9"/>
  <c r="X49" i="9"/>
  <c r="U49" i="9"/>
  <c r="R49" i="9"/>
  <c r="Q49" i="9"/>
  <c r="O49" i="9"/>
  <c r="M49" i="9"/>
  <c r="K49" i="9"/>
  <c r="I49" i="9"/>
  <c r="G49" i="9"/>
  <c r="Z48" i="9"/>
  <c r="U48" i="9"/>
  <c r="T48" i="9"/>
  <c r="R48" i="9"/>
  <c r="P48" i="9"/>
  <c r="N48" i="9"/>
  <c r="L48" i="9"/>
  <c r="J48" i="9"/>
  <c r="H48" i="9"/>
  <c r="S47" i="9"/>
  <c r="P47" i="9"/>
  <c r="N47" i="9"/>
  <c r="L47" i="9"/>
  <c r="K47" i="9"/>
  <c r="J47" i="9"/>
  <c r="I47" i="9"/>
  <c r="H47" i="9"/>
  <c r="G47" i="9"/>
  <c r="D47" i="9"/>
  <c r="AB46" i="9"/>
  <c r="P46" i="9"/>
  <c r="L46" i="9"/>
  <c r="J46" i="9"/>
  <c r="I46" i="9"/>
  <c r="D46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D43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D42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AB40" i="9"/>
  <c r="AA40" i="9"/>
  <c r="Z40" i="9"/>
  <c r="Y40" i="9"/>
  <c r="X40" i="9"/>
  <c r="W40" i="9"/>
  <c r="V40" i="9"/>
  <c r="S40" i="9"/>
  <c r="Q40" i="9"/>
  <c r="O40" i="9"/>
  <c r="M40" i="9"/>
  <c r="K40" i="9"/>
  <c r="I40" i="9"/>
  <c r="G40" i="9"/>
  <c r="Z39" i="9"/>
  <c r="X39" i="9"/>
  <c r="V39" i="9"/>
  <c r="T39" i="9"/>
  <c r="R39" i="9"/>
  <c r="P39" i="9"/>
  <c r="N39" i="9"/>
  <c r="L39" i="9"/>
  <c r="I39" i="9"/>
  <c r="H39" i="9"/>
  <c r="D39" i="9"/>
  <c r="AB38" i="9"/>
  <c r="AA38" i="9"/>
  <c r="Z38" i="9"/>
  <c r="Y38" i="9"/>
  <c r="X38" i="9"/>
  <c r="V38" i="9"/>
  <c r="U38" i="9"/>
  <c r="S38" i="9"/>
  <c r="Q38" i="9"/>
  <c r="O38" i="9"/>
  <c r="L38" i="9"/>
  <c r="I38" i="9"/>
  <c r="D38" i="9"/>
  <c r="AB37" i="9"/>
  <c r="AA37" i="9"/>
  <c r="Z37" i="9"/>
  <c r="Y37" i="9"/>
  <c r="W37" i="9"/>
  <c r="V37" i="9"/>
  <c r="T37" i="9"/>
  <c r="R37" i="9"/>
  <c r="P37" i="9"/>
  <c r="N37" i="9"/>
  <c r="L37" i="9"/>
  <c r="J37" i="9"/>
  <c r="D37" i="9"/>
  <c r="AB36" i="9"/>
  <c r="AA36" i="9"/>
  <c r="Y36" i="9"/>
  <c r="W36" i="9"/>
  <c r="U36" i="9"/>
  <c r="S36" i="9"/>
  <c r="Q36" i="9"/>
  <c r="O36" i="9"/>
  <c r="N36" i="9"/>
  <c r="L36" i="9"/>
  <c r="J36" i="9"/>
  <c r="H36" i="9"/>
  <c r="D36" i="9"/>
  <c r="AB35" i="9"/>
  <c r="AA35" i="9"/>
  <c r="Z35" i="9"/>
  <c r="Y35" i="9"/>
  <c r="W35" i="9"/>
  <c r="U35" i="9"/>
  <c r="S35" i="9"/>
  <c r="Q35" i="9"/>
  <c r="P35" i="9"/>
  <c r="O35" i="9"/>
  <c r="L35" i="9"/>
  <c r="K35" i="9"/>
  <c r="I35" i="9"/>
  <c r="G35" i="9"/>
  <c r="V34" i="9"/>
  <c r="T34" i="9"/>
  <c r="S34" i="9"/>
  <c r="Q34" i="9"/>
  <c r="O34" i="9"/>
  <c r="M34" i="9"/>
  <c r="K34" i="9"/>
  <c r="I34" i="9"/>
  <c r="G34" i="9"/>
  <c r="U33" i="9"/>
  <c r="R33" i="9"/>
  <c r="P33" i="9"/>
  <c r="N33" i="9"/>
  <c r="L33" i="9"/>
  <c r="J33" i="9"/>
  <c r="H33" i="9"/>
  <c r="G33" i="9"/>
  <c r="Z32" i="9"/>
  <c r="W32" i="9"/>
  <c r="T32" i="9"/>
  <c r="R32" i="9"/>
  <c r="P32" i="9"/>
  <c r="N32" i="9"/>
  <c r="L32" i="9"/>
  <c r="I32" i="9"/>
  <c r="G32" i="9"/>
  <c r="Z31" i="9"/>
  <c r="V31" i="9"/>
  <c r="T31" i="9"/>
  <c r="Q31" i="9"/>
  <c r="O31" i="9"/>
  <c r="N31" i="9"/>
  <c r="L31" i="9"/>
  <c r="J31" i="9"/>
  <c r="H31" i="9"/>
  <c r="D31" i="9"/>
  <c r="AB30" i="9"/>
  <c r="AA30" i="9"/>
  <c r="Z30" i="9"/>
  <c r="Y30" i="9"/>
  <c r="W30" i="9"/>
  <c r="T30" i="9"/>
  <c r="Q30" i="9"/>
  <c r="O30" i="9"/>
  <c r="M30" i="9"/>
  <c r="J30" i="9"/>
  <c r="H30" i="9"/>
  <c r="D30" i="9"/>
  <c r="AB29" i="9"/>
  <c r="AA29" i="9"/>
  <c r="Z29" i="9"/>
  <c r="Y29" i="9"/>
  <c r="X29" i="9"/>
  <c r="V29" i="9"/>
  <c r="T29" i="9"/>
  <c r="Q29" i="9"/>
  <c r="O29" i="9"/>
  <c r="N29" i="9"/>
  <c r="L29" i="9"/>
  <c r="J29" i="9"/>
  <c r="H29" i="9"/>
  <c r="D29" i="9"/>
  <c r="AB28" i="9"/>
  <c r="Z28" i="9"/>
  <c r="X28" i="9"/>
  <c r="T28" i="9"/>
  <c r="R28" i="9"/>
  <c r="Q28" i="9"/>
  <c r="O28" i="9"/>
  <c r="M28" i="9"/>
  <c r="K28" i="9"/>
  <c r="H28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I27" i="9"/>
  <c r="G27" i="9"/>
  <c r="AB24" i="9"/>
  <c r="Z24" i="9"/>
  <c r="X24" i="9"/>
  <c r="W24" i="9"/>
  <c r="U24" i="9"/>
  <c r="T24" i="9"/>
  <c r="R24" i="9"/>
  <c r="P24" i="9"/>
  <c r="N24" i="9"/>
  <c r="L24" i="9"/>
  <c r="J24" i="9"/>
  <c r="H24" i="9"/>
  <c r="D24" i="9"/>
  <c r="AB23" i="9"/>
  <c r="AA23" i="9"/>
  <c r="Z23" i="9"/>
  <c r="Y23" i="9"/>
  <c r="W23" i="9"/>
  <c r="U23" i="9"/>
  <c r="S23" i="9"/>
  <c r="Q23" i="9"/>
  <c r="O23" i="9"/>
  <c r="M23" i="9"/>
  <c r="K23" i="9"/>
  <c r="I23" i="9"/>
  <c r="G23" i="9"/>
  <c r="Z22" i="9"/>
  <c r="X22" i="9"/>
  <c r="W22" i="9"/>
  <c r="U22" i="9"/>
  <c r="Q22" i="9"/>
  <c r="O22" i="9"/>
  <c r="L22" i="9"/>
  <c r="H22" i="9"/>
  <c r="G22" i="9"/>
  <c r="AB21" i="9"/>
  <c r="AA21" i="9"/>
  <c r="Z21" i="9"/>
  <c r="Y21" i="9"/>
  <c r="X21" i="9"/>
  <c r="W21" i="9"/>
  <c r="V21" i="9"/>
  <c r="U21" i="9"/>
  <c r="T21" i="9"/>
  <c r="S21" i="9"/>
  <c r="R21" i="9"/>
  <c r="P21" i="9"/>
  <c r="N21" i="9"/>
  <c r="L21" i="9"/>
  <c r="J21" i="9"/>
  <c r="H21" i="9"/>
  <c r="D21" i="9"/>
  <c r="AB20" i="9"/>
  <c r="AA20" i="9"/>
  <c r="Z20" i="9"/>
  <c r="X20" i="9"/>
  <c r="V20" i="9"/>
  <c r="T20" i="9"/>
  <c r="S20" i="9"/>
  <c r="P20" i="9"/>
  <c r="N20" i="9"/>
  <c r="L20" i="9"/>
  <c r="J20" i="9"/>
  <c r="G20" i="9"/>
  <c r="W19" i="9"/>
  <c r="T19" i="9"/>
  <c r="Q19" i="9"/>
  <c r="O19" i="9"/>
  <c r="M19" i="9"/>
  <c r="L19" i="9"/>
  <c r="J19" i="9"/>
  <c r="I19" i="9"/>
  <c r="G19" i="9"/>
  <c r="D19" i="9"/>
  <c r="AB18" i="9"/>
  <c r="AA18" i="9"/>
  <c r="Z18" i="9"/>
  <c r="Y18" i="9"/>
  <c r="X18" i="9"/>
  <c r="U18" i="9"/>
  <c r="AA17" i="9"/>
  <c r="X17" i="9"/>
  <c r="V17" i="9"/>
  <c r="T17" i="9"/>
  <c r="R17" i="9"/>
  <c r="P17" i="9"/>
  <c r="M17" i="9"/>
  <c r="K17" i="9"/>
  <c r="I17" i="9"/>
  <c r="G17" i="9"/>
  <c r="X16" i="9"/>
  <c r="T16" i="9"/>
  <c r="R16" i="9"/>
  <c r="P16" i="9"/>
  <c r="N16" i="9"/>
  <c r="M16" i="9"/>
  <c r="K16" i="9"/>
  <c r="H16" i="9"/>
  <c r="X15" i="9"/>
  <c r="V15" i="9"/>
  <c r="U15" i="9"/>
  <c r="R15" i="9"/>
  <c r="P15" i="9"/>
  <c r="N15" i="9"/>
  <c r="L15" i="9"/>
  <c r="J15" i="9"/>
  <c r="G15" i="9"/>
  <c r="Z14" i="9"/>
  <c r="W14" i="9"/>
  <c r="V14" i="9"/>
  <c r="S14" i="9"/>
  <c r="Q14" i="9"/>
  <c r="O14" i="9"/>
  <c r="M14" i="9"/>
  <c r="K14" i="9"/>
  <c r="I14" i="9"/>
  <c r="G14" i="9"/>
  <c r="X13" i="9"/>
  <c r="W13" i="9"/>
  <c r="U13" i="9"/>
  <c r="S13" i="9"/>
  <c r="R13" i="9"/>
  <c r="Q13" i="9"/>
  <c r="M13" i="9"/>
  <c r="K13" i="9"/>
  <c r="I13" i="9"/>
  <c r="H13" i="9"/>
  <c r="D13" i="9"/>
  <c r="AB12" i="9"/>
  <c r="AA12" i="9"/>
  <c r="Z12" i="9"/>
  <c r="X12" i="9"/>
  <c r="V12" i="9"/>
  <c r="T12" i="9"/>
  <c r="R12" i="9"/>
  <c r="P12" i="9"/>
  <c r="M12" i="9"/>
  <c r="K12" i="9"/>
  <c r="I12" i="9"/>
  <c r="H12" i="9"/>
  <c r="D12" i="9"/>
  <c r="Y11" i="9"/>
  <c r="W11" i="9"/>
  <c r="U11" i="9"/>
  <c r="S11" i="9"/>
  <c r="Q11" i="9"/>
  <c r="N11" i="9"/>
  <c r="M11" i="9"/>
  <c r="L11" i="9"/>
  <c r="K11" i="9"/>
  <c r="J11" i="9"/>
  <c r="I11" i="9"/>
  <c r="H11" i="9"/>
  <c r="G11" i="9"/>
  <c r="D11" i="9"/>
  <c r="AB10" i="9"/>
  <c r="Z10" i="9"/>
  <c r="Y10" i="9"/>
  <c r="W10" i="9"/>
  <c r="U10" i="9"/>
  <c r="S10" i="9"/>
  <c r="P10" i="9"/>
  <c r="N10" i="9"/>
  <c r="L10" i="9"/>
  <c r="K10" i="9"/>
  <c r="H10" i="9"/>
  <c r="AB9" i="9"/>
  <c r="AA9" i="9"/>
  <c r="Z9" i="9"/>
  <c r="Y9" i="9"/>
  <c r="W9" i="9"/>
  <c r="U9" i="9"/>
  <c r="S9" i="9"/>
  <c r="R9" i="9"/>
  <c r="Q9" i="9"/>
  <c r="O9" i="9"/>
  <c r="L9" i="9"/>
  <c r="J9" i="9"/>
  <c r="H9" i="9"/>
  <c r="D9" i="9"/>
  <c r="AB8" i="9"/>
  <c r="AA8" i="9"/>
  <c r="Z8" i="9"/>
  <c r="Y8" i="9"/>
  <c r="X8" i="9"/>
  <c r="V8" i="9"/>
  <c r="T8" i="9"/>
  <c r="R8" i="9"/>
  <c r="P8" i="9"/>
  <c r="N8" i="9"/>
  <c r="J8" i="9"/>
  <c r="G8" i="9"/>
  <c r="AB62" i="8"/>
  <c r="Z62" i="8"/>
  <c r="W62" i="8"/>
  <c r="U62" i="8"/>
  <c r="S62" i="8"/>
  <c r="Q62" i="8"/>
  <c r="O62" i="8"/>
  <c r="N62" i="8"/>
  <c r="L62" i="8"/>
  <c r="K62" i="8"/>
  <c r="I62" i="8"/>
  <c r="H62" i="8"/>
  <c r="D62" i="8"/>
  <c r="AB61" i="8"/>
  <c r="AA61" i="8"/>
  <c r="Y61" i="8"/>
  <c r="X61" i="8"/>
  <c r="U61" i="8"/>
  <c r="S61" i="8"/>
  <c r="R61" i="8"/>
  <c r="O61" i="8"/>
  <c r="M61" i="8"/>
  <c r="K61" i="8"/>
  <c r="J61" i="8"/>
  <c r="H61" i="8"/>
  <c r="G61" i="8"/>
  <c r="Z60" i="8"/>
  <c r="V60" i="8"/>
  <c r="S60" i="8"/>
  <c r="Q60" i="8"/>
  <c r="O60" i="8"/>
  <c r="M60" i="8"/>
  <c r="K60" i="8"/>
  <c r="I60" i="8"/>
  <c r="G60" i="8"/>
  <c r="W59" i="8"/>
  <c r="U59" i="8"/>
  <c r="T59" i="8"/>
  <c r="R59" i="8"/>
  <c r="P59" i="8"/>
  <c r="N59" i="8"/>
  <c r="L59" i="8"/>
  <c r="J59" i="8"/>
  <c r="H59" i="8"/>
  <c r="D59" i="8"/>
  <c r="AB58" i="8"/>
  <c r="AA58" i="8"/>
  <c r="Z58" i="8"/>
  <c r="Y58" i="8"/>
  <c r="W58" i="8"/>
  <c r="U58" i="8"/>
  <c r="S58" i="8"/>
  <c r="Q58" i="8"/>
  <c r="O58" i="8"/>
  <c r="M58" i="8"/>
  <c r="K58" i="8"/>
  <c r="H58" i="8"/>
  <c r="W57" i="8"/>
  <c r="U57" i="8"/>
  <c r="AB56" i="8"/>
  <c r="AA56" i="8"/>
  <c r="Y56" i="8"/>
  <c r="W56" i="8"/>
  <c r="U56" i="8"/>
  <c r="S56" i="8"/>
  <c r="Q56" i="8"/>
  <c r="O56" i="8"/>
  <c r="M56" i="8"/>
  <c r="K56" i="8"/>
  <c r="J56" i="8"/>
  <c r="H56" i="8"/>
  <c r="D56" i="8"/>
  <c r="AB55" i="8"/>
  <c r="AA55" i="8"/>
  <c r="Z55" i="8"/>
  <c r="Y55" i="8"/>
  <c r="X55" i="8"/>
  <c r="W55" i="8"/>
  <c r="U55" i="8"/>
  <c r="T55" i="8"/>
  <c r="R55" i="8"/>
  <c r="O55" i="8"/>
  <c r="M55" i="8"/>
  <c r="K55" i="8"/>
  <c r="I55" i="8"/>
  <c r="G55" i="8"/>
  <c r="X54" i="8"/>
  <c r="V54" i="8"/>
  <c r="T54" i="8"/>
  <c r="R54" i="8"/>
  <c r="P54" i="8"/>
  <c r="N54" i="8"/>
  <c r="L54" i="8"/>
  <c r="J54" i="8"/>
  <c r="H54" i="8"/>
  <c r="D54" i="8"/>
  <c r="AB53" i="8"/>
  <c r="AA53" i="8"/>
  <c r="Y53" i="8"/>
  <c r="W53" i="8"/>
  <c r="U53" i="8"/>
  <c r="S53" i="8"/>
  <c r="Q53" i="8"/>
  <c r="O53" i="8"/>
  <c r="N53" i="8"/>
  <c r="L53" i="8"/>
  <c r="J53" i="8"/>
  <c r="H53" i="8"/>
  <c r="D53" i="8"/>
  <c r="AB52" i="8"/>
  <c r="AA52" i="8"/>
  <c r="Y52" i="8"/>
  <c r="X52" i="8"/>
  <c r="W52" i="8"/>
  <c r="U52" i="8"/>
  <c r="S52" i="8"/>
  <c r="Q52" i="8"/>
  <c r="P52" i="8"/>
  <c r="O52" i="8"/>
  <c r="M52" i="8"/>
  <c r="J52" i="8"/>
  <c r="H52" i="8"/>
  <c r="D52" i="8"/>
  <c r="AB51" i="8"/>
  <c r="AA51" i="8"/>
  <c r="Z51" i="8"/>
  <c r="Y51" i="8"/>
  <c r="X51" i="8"/>
  <c r="W51" i="8"/>
  <c r="U51" i="8"/>
  <c r="S51" i="8"/>
  <c r="Q51" i="8"/>
  <c r="O51" i="8"/>
  <c r="M51" i="8"/>
  <c r="K51" i="8"/>
  <c r="I51" i="8"/>
  <c r="D51" i="8"/>
  <c r="AB50" i="8"/>
  <c r="AA50" i="8"/>
  <c r="Z50" i="8"/>
  <c r="Y50" i="8"/>
  <c r="X50" i="8"/>
  <c r="V50" i="8"/>
  <c r="T50" i="8"/>
  <c r="S50" i="8"/>
  <c r="R50" i="8"/>
  <c r="P50" i="8"/>
  <c r="N50" i="8"/>
  <c r="M50" i="8"/>
  <c r="K50" i="8"/>
  <c r="I50" i="8"/>
  <c r="D50" i="8"/>
  <c r="AB49" i="8"/>
  <c r="AA49" i="8"/>
  <c r="Z49" i="8"/>
  <c r="Y49" i="8"/>
  <c r="W49" i="8"/>
  <c r="U49" i="8"/>
  <c r="S49" i="8"/>
  <c r="Q49" i="8"/>
  <c r="O49" i="8"/>
  <c r="M49" i="8"/>
  <c r="K49" i="8"/>
  <c r="I49" i="8"/>
  <c r="H49" i="8"/>
  <c r="D49" i="8"/>
  <c r="AB48" i="8"/>
  <c r="AA48" i="8"/>
  <c r="Z48" i="8"/>
  <c r="X48" i="8"/>
  <c r="V48" i="8"/>
  <c r="T48" i="8"/>
  <c r="R48" i="8"/>
  <c r="P48" i="8"/>
  <c r="N48" i="8"/>
  <c r="L48" i="8"/>
  <c r="I48" i="8"/>
  <c r="G48" i="8"/>
  <c r="V47" i="8"/>
  <c r="T47" i="8"/>
  <c r="R47" i="8"/>
  <c r="O47" i="8"/>
  <c r="M47" i="8"/>
  <c r="J47" i="8"/>
  <c r="G47" i="8"/>
  <c r="X46" i="8"/>
  <c r="V46" i="8"/>
  <c r="T46" i="8"/>
  <c r="R46" i="8"/>
  <c r="O46" i="8"/>
  <c r="M46" i="8"/>
  <c r="K46" i="8"/>
  <c r="I46" i="8"/>
  <c r="G46" i="8"/>
  <c r="AA45" i="8"/>
  <c r="Y45" i="8"/>
  <c r="W45" i="8"/>
  <c r="U45" i="8"/>
  <c r="S45" i="8"/>
  <c r="Q45" i="8"/>
  <c r="O45" i="8"/>
  <c r="N45" i="8"/>
  <c r="L45" i="8"/>
  <c r="J45" i="8"/>
  <c r="H45" i="8"/>
  <c r="AB43" i="8"/>
  <c r="Y43" i="8"/>
  <c r="X43" i="8"/>
  <c r="V43" i="8"/>
  <c r="T43" i="8"/>
  <c r="R43" i="8"/>
  <c r="P43" i="8"/>
  <c r="N43" i="8"/>
  <c r="L43" i="8"/>
  <c r="J43" i="8"/>
  <c r="H43" i="8"/>
  <c r="D43" i="8"/>
  <c r="AB42" i="8"/>
  <c r="AA42" i="8"/>
  <c r="Z42" i="8"/>
  <c r="Y42" i="8"/>
  <c r="X42" i="8"/>
  <c r="W42" i="8"/>
  <c r="V42" i="8"/>
  <c r="U42" i="8"/>
  <c r="T42" i="8"/>
  <c r="S42" i="8"/>
  <c r="R42" i="8"/>
  <c r="P42" i="8"/>
  <c r="N42" i="8"/>
  <c r="Y41" i="8"/>
  <c r="W41" i="8"/>
  <c r="U41" i="8"/>
  <c r="T41" i="8"/>
  <c r="R41" i="8"/>
  <c r="P41" i="8"/>
  <c r="N41" i="8"/>
  <c r="M41" i="8"/>
  <c r="K41" i="8"/>
  <c r="I41" i="8"/>
  <c r="H41" i="8"/>
  <c r="D41" i="8"/>
  <c r="AB40" i="8"/>
  <c r="AA40" i="8"/>
  <c r="Z40" i="8"/>
  <c r="Y40" i="8"/>
  <c r="W40" i="8"/>
  <c r="U40" i="8"/>
  <c r="S40" i="8"/>
  <c r="Q40" i="8"/>
  <c r="P40" i="8"/>
  <c r="N40" i="8"/>
  <c r="L40" i="8"/>
  <c r="J40" i="8"/>
  <c r="H40" i="8"/>
  <c r="W39" i="8"/>
  <c r="V39" i="8"/>
  <c r="T39" i="8"/>
  <c r="R39" i="8"/>
  <c r="P39" i="8"/>
  <c r="N39" i="8"/>
  <c r="K39" i="8"/>
  <c r="I39" i="8"/>
  <c r="H39" i="8"/>
  <c r="X38" i="8"/>
  <c r="V38" i="8"/>
  <c r="S38" i="8"/>
  <c r="Q38" i="8"/>
  <c r="O38" i="8"/>
  <c r="M38" i="8"/>
  <c r="L38" i="8"/>
  <c r="J38" i="8"/>
  <c r="I38" i="8"/>
  <c r="G38" i="8"/>
  <c r="X37" i="8"/>
  <c r="V37" i="8"/>
  <c r="S37" i="8"/>
  <c r="Q37" i="8"/>
  <c r="O37" i="8"/>
  <c r="M37" i="8"/>
  <c r="K37" i="8"/>
  <c r="I37" i="8"/>
  <c r="G37" i="8"/>
  <c r="X36" i="8"/>
  <c r="V36" i="8"/>
  <c r="T36" i="8"/>
  <c r="R36" i="8"/>
  <c r="P36" i="8"/>
  <c r="N36" i="8"/>
  <c r="M36" i="8"/>
  <c r="K36" i="8"/>
  <c r="J36" i="8"/>
  <c r="H36" i="8"/>
  <c r="D36" i="8"/>
  <c r="AB35" i="8"/>
  <c r="AA35" i="8"/>
  <c r="Z35" i="8"/>
  <c r="Y35" i="8"/>
  <c r="V35" i="8"/>
  <c r="U35" i="8"/>
  <c r="S35" i="8"/>
  <c r="R35" i="8"/>
  <c r="P35" i="8"/>
  <c r="N35" i="8"/>
  <c r="L35" i="8"/>
  <c r="J35" i="8"/>
  <c r="I35" i="8"/>
  <c r="H35" i="8"/>
  <c r="G35" i="8"/>
  <c r="D35" i="8"/>
  <c r="AB34" i="8"/>
  <c r="AA34" i="8"/>
  <c r="Z34" i="8"/>
  <c r="Y34" i="8"/>
  <c r="W34" i="8"/>
  <c r="T34" i="8"/>
  <c r="R34" i="8"/>
  <c r="P34" i="8"/>
  <c r="N34" i="8"/>
  <c r="L34" i="8"/>
  <c r="K34" i="8"/>
  <c r="I34" i="8"/>
  <c r="G34" i="8"/>
  <c r="AB33" i="8"/>
  <c r="AA33" i="8"/>
  <c r="Z33" i="8"/>
  <c r="Y33" i="8"/>
  <c r="X33" i="8"/>
  <c r="V33" i="8"/>
  <c r="T33" i="8"/>
  <c r="R33" i="8"/>
  <c r="Q33" i="8"/>
  <c r="O33" i="8"/>
  <c r="N33" i="8"/>
  <c r="L33" i="8"/>
  <c r="J33" i="8"/>
  <c r="G33" i="8"/>
  <c r="X32" i="8"/>
  <c r="V32" i="8"/>
  <c r="T32" i="8"/>
  <c r="R32" i="8"/>
  <c r="P32" i="8"/>
  <c r="N32" i="8"/>
  <c r="L32" i="8"/>
  <c r="J32" i="8"/>
  <c r="H32" i="8"/>
  <c r="D32" i="8"/>
  <c r="AB31" i="8"/>
  <c r="AA31" i="8"/>
  <c r="Z31" i="8"/>
  <c r="X31" i="8"/>
  <c r="W31" i="8"/>
  <c r="U31" i="8"/>
  <c r="S31" i="8"/>
  <c r="Q31" i="8"/>
  <c r="O31" i="8"/>
  <c r="M31" i="8"/>
  <c r="L31" i="8"/>
  <c r="I31" i="8"/>
  <c r="G31" i="8"/>
  <c r="X30" i="8"/>
  <c r="V30" i="8"/>
  <c r="T30" i="8"/>
  <c r="S30" i="8"/>
  <c r="Q30" i="8"/>
  <c r="O30" i="8"/>
  <c r="M30" i="8"/>
  <c r="K30" i="8"/>
  <c r="I30" i="8"/>
  <c r="G30" i="8"/>
  <c r="AB29" i="8"/>
  <c r="AA29" i="8"/>
  <c r="Z29" i="8"/>
  <c r="Y29" i="8"/>
  <c r="X29" i="8"/>
  <c r="V29" i="8"/>
  <c r="T29" i="8"/>
  <c r="R29" i="8"/>
  <c r="O29" i="8"/>
  <c r="M29" i="8"/>
  <c r="K29" i="8"/>
  <c r="I29" i="8"/>
  <c r="G29" i="8"/>
  <c r="D29" i="8"/>
  <c r="AB28" i="8"/>
  <c r="AA28" i="8"/>
  <c r="Y28" i="8"/>
  <c r="W28" i="8"/>
  <c r="U28" i="8"/>
  <c r="R28" i="8"/>
  <c r="P28" i="8"/>
  <c r="N28" i="8"/>
  <c r="L28" i="8"/>
  <c r="I28" i="8"/>
  <c r="G28" i="8"/>
  <c r="X27" i="8"/>
  <c r="V27" i="8"/>
  <c r="T27" i="8"/>
  <c r="R27" i="8"/>
  <c r="P27" i="8"/>
  <c r="N27" i="8"/>
  <c r="L27" i="8"/>
  <c r="J27" i="8"/>
  <c r="H27" i="8"/>
  <c r="D27" i="8"/>
  <c r="AA24" i="8"/>
  <c r="Z24" i="8"/>
  <c r="X24" i="8"/>
  <c r="V24" i="8"/>
  <c r="T24" i="8"/>
  <c r="R24" i="8"/>
  <c r="P24" i="8"/>
  <c r="N24" i="8"/>
  <c r="D10" i="8"/>
  <c r="AB9" i="8"/>
  <c r="AA9" i="8"/>
  <c r="Z9" i="8"/>
  <c r="Y9" i="8"/>
  <c r="X9" i="8"/>
  <c r="W9" i="8"/>
  <c r="V9" i="8"/>
  <c r="U9" i="8"/>
  <c r="T9" i="8"/>
  <c r="S9" i="8"/>
  <c r="R9" i="8"/>
  <c r="P9" i="8"/>
  <c r="N9" i="8"/>
  <c r="L9" i="8"/>
  <c r="K9" i="8"/>
  <c r="I9" i="8"/>
  <c r="G9" i="8"/>
  <c r="D9" i="8"/>
  <c r="AB8" i="8"/>
  <c r="AA8" i="8"/>
  <c r="Z8" i="8"/>
  <c r="X8" i="8"/>
  <c r="W8" i="8"/>
  <c r="U8" i="8"/>
  <c r="T8" i="8"/>
  <c r="R8" i="8"/>
  <c r="P8" i="8"/>
  <c r="N8" i="8"/>
  <c r="L8" i="8"/>
  <c r="I8" i="8"/>
  <c r="G8" i="8"/>
  <c r="D8" i="8"/>
  <c r="AB62" i="7"/>
  <c r="Z62" i="7"/>
  <c r="X62" i="7"/>
  <c r="V62" i="7"/>
  <c r="T62" i="7"/>
  <c r="R62" i="7"/>
  <c r="O62" i="7"/>
  <c r="N62" i="7"/>
  <c r="L62" i="7"/>
  <c r="J62" i="7"/>
  <c r="G62" i="7"/>
  <c r="Y61" i="7"/>
  <c r="W61" i="7"/>
  <c r="U61" i="7"/>
  <c r="R61" i="7"/>
  <c r="O61" i="7"/>
  <c r="M61" i="7"/>
  <c r="K61" i="7"/>
  <c r="I61" i="7"/>
  <c r="G61" i="7"/>
  <c r="AB60" i="7"/>
  <c r="AA60" i="7"/>
  <c r="Z60" i="7"/>
  <c r="Y60" i="7"/>
  <c r="X60" i="7"/>
  <c r="V60" i="7"/>
  <c r="T60" i="7"/>
  <c r="R60" i="7"/>
  <c r="P60" i="7"/>
  <c r="N60" i="7"/>
  <c r="K60" i="7"/>
  <c r="I60" i="7"/>
  <c r="D60" i="7"/>
  <c r="AB59" i="7"/>
  <c r="AA59" i="7"/>
  <c r="Z59" i="7"/>
  <c r="Y59" i="7"/>
  <c r="W59" i="7"/>
  <c r="T59" i="7"/>
  <c r="R59" i="7"/>
  <c r="O59" i="7"/>
  <c r="L59" i="7"/>
  <c r="J59" i="7"/>
  <c r="G59" i="7"/>
  <c r="Y58" i="7"/>
  <c r="W58" i="7"/>
  <c r="U58" i="7"/>
  <c r="R58" i="7"/>
  <c r="P58" i="7"/>
  <c r="N58" i="7"/>
  <c r="M58" i="7"/>
  <c r="K58" i="7"/>
  <c r="I58" i="7"/>
  <c r="G58" i="7"/>
  <c r="D58" i="7"/>
  <c r="AB57" i="7"/>
  <c r="AA57" i="7"/>
  <c r="Z57" i="7"/>
  <c r="Y57" i="7"/>
  <c r="X57" i="7"/>
  <c r="V57" i="7"/>
  <c r="S57" i="7"/>
  <c r="Q57" i="7"/>
  <c r="O57" i="7"/>
  <c r="M57" i="7"/>
  <c r="K57" i="7"/>
  <c r="I57" i="7"/>
  <c r="H57" i="7"/>
  <c r="AB56" i="7"/>
  <c r="Z56" i="7"/>
  <c r="Y56" i="7"/>
  <c r="V56" i="7"/>
  <c r="U56" i="7"/>
  <c r="S56" i="7"/>
  <c r="P56" i="7"/>
  <c r="O56" i="7"/>
  <c r="L56" i="7"/>
  <c r="J56" i="7"/>
  <c r="G56" i="7"/>
  <c r="AB55" i="7"/>
  <c r="AA55" i="7"/>
  <c r="Z55" i="7"/>
  <c r="Y55" i="7"/>
  <c r="W55" i="7"/>
  <c r="V55" i="7"/>
  <c r="T55" i="7"/>
  <c r="R55" i="7"/>
  <c r="P55" i="7"/>
  <c r="N55" i="7"/>
  <c r="K55" i="7"/>
  <c r="I55" i="7"/>
  <c r="H55" i="7"/>
  <c r="G55" i="7"/>
  <c r="D55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D54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D53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D52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D51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D50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D49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D48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D47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D46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AB43" i="7"/>
  <c r="AA43" i="7"/>
  <c r="Y43" i="7"/>
  <c r="X43" i="7"/>
  <c r="V43" i="7"/>
  <c r="U43" i="7"/>
  <c r="S43" i="7"/>
  <c r="Q43" i="7"/>
  <c r="O43" i="7"/>
  <c r="M43" i="7"/>
  <c r="L43" i="7"/>
  <c r="J43" i="7"/>
  <c r="H43" i="7"/>
  <c r="D43" i="7"/>
  <c r="AB42" i="7"/>
  <c r="AA42" i="7"/>
  <c r="Z42" i="7"/>
  <c r="X42" i="7"/>
  <c r="V42" i="7"/>
  <c r="T42" i="7"/>
  <c r="Q42" i="7"/>
  <c r="O42" i="7"/>
  <c r="N42" i="7"/>
  <c r="L42" i="7"/>
  <c r="J42" i="7"/>
  <c r="H42" i="7"/>
  <c r="D42" i="7"/>
  <c r="AB41" i="7"/>
  <c r="AA41" i="7"/>
  <c r="Z41" i="7"/>
  <c r="W41" i="7"/>
  <c r="U41" i="7"/>
  <c r="S41" i="7"/>
  <c r="Q41" i="7"/>
  <c r="O41" i="7"/>
  <c r="N41" i="7"/>
  <c r="L41" i="7"/>
  <c r="J41" i="7"/>
  <c r="H41" i="7"/>
  <c r="G41" i="7"/>
  <c r="X40" i="7"/>
  <c r="U40" i="7"/>
  <c r="S40" i="7"/>
  <c r="R40" i="7"/>
  <c r="P40" i="7"/>
  <c r="M40" i="7"/>
  <c r="K40" i="7"/>
  <c r="I40" i="7"/>
  <c r="G40" i="7"/>
  <c r="Z39" i="7"/>
  <c r="W39" i="7"/>
  <c r="T39" i="7"/>
  <c r="Q39" i="7"/>
  <c r="O39" i="7"/>
  <c r="M39" i="7"/>
  <c r="K39" i="7"/>
  <c r="I39" i="7"/>
  <c r="G39" i="7"/>
  <c r="D39" i="7"/>
  <c r="AB38" i="7"/>
  <c r="AA38" i="7"/>
  <c r="Z38" i="7"/>
  <c r="Y38" i="7"/>
  <c r="X38" i="7"/>
  <c r="V38" i="7"/>
  <c r="U38" i="7"/>
  <c r="R38" i="7"/>
  <c r="Q38" i="7"/>
  <c r="O38" i="7"/>
  <c r="M38" i="7"/>
  <c r="K38" i="7"/>
  <c r="I38" i="7"/>
  <c r="G38" i="7"/>
  <c r="D38" i="7"/>
  <c r="AB37" i="7"/>
  <c r="AA37" i="7"/>
  <c r="Z37" i="7"/>
  <c r="X37" i="7"/>
  <c r="V37" i="7"/>
  <c r="U37" i="7"/>
  <c r="S37" i="7"/>
  <c r="Q37" i="7"/>
  <c r="O37" i="7"/>
  <c r="M37" i="7"/>
  <c r="K37" i="7"/>
  <c r="J37" i="7"/>
  <c r="H37" i="7"/>
  <c r="G37" i="7"/>
  <c r="W36" i="7"/>
  <c r="T36" i="7"/>
  <c r="R36" i="7"/>
  <c r="P36" i="7"/>
  <c r="M36" i="7"/>
  <c r="K36" i="7"/>
  <c r="I36" i="7"/>
  <c r="G36" i="7"/>
  <c r="Z35" i="7"/>
  <c r="X35" i="7"/>
  <c r="V35" i="7"/>
  <c r="U35" i="7"/>
  <c r="S35" i="7"/>
  <c r="R35" i="7"/>
  <c r="P35" i="7"/>
  <c r="O35" i="7"/>
  <c r="M35" i="7"/>
  <c r="K35" i="7"/>
  <c r="I35" i="7"/>
  <c r="G35" i="7"/>
  <c r="T34" i="7"/>
  <c r="Q34" i="7"/>
  <c r="N34" i="7"/>
  <c r="L34" i="7"/>
  <c r="K34" i="7"/>
  <c r="H34" i="7"/>
  <c r="D34" i="7"/>
  <c r="AB33" i="7"/>
  <c r="AA33" i="7"/>
  <c r="Z33" i="7"/>
  <c r="Y33" i="7"/>
  <c r="X33" i="7"/>
  <c r="W33" i="7"/>
  <c r="T33" i="7"/>
  <c r="S33" i="7"/>
  <c r="Q33" i="7"/>
  <c r="O33" i="7"/>
  <c r="M33" i="7"/>
  <c r="K33" i="7"/>
  <c r="I33" i="7"/>
  <c r="G33" i="7"/>
  <c r="D33" i="7"/>
  <c r="AB32" i="7"/>
  <c r="AA32" i="7"/>
  <c r="Z32" i="7"/>
  <c r="X32" i="7"/>
  <c r="W32" i="7"/>
  <c r="U32" i="7"/>
  <c r="R32" i="7"/>
  <c r="P32" i="7"/>
  <c r="AB30" i="7"/>
  <c r="AA30" i="7"/>
  <c r="Z30" i="7"/>
  <c r="X30" i="7"/>
  <c r="V30" i="7"/>
  <c r="T30" i="7"/>
  <c r="R30" i="7"/>
  <c r="P30" i="7"/>
  <c r="M30" i="7"/>
  <c r="J30" i="7"/>
  <c r="H30" i="7"/>
  <c r="D30" i="7"/>
  <c r="Y29" i="7"/>
  <c r="W29" i="7"/>
  <c r="U29" i="7"/>
  <c r="T29" i="7"/>
  <c r="R29" i="7"/>
  <c r="P29" i="7"/>
  <c r="M29" i="7"/>
  <c r="K29" i="7"/>
  <c r="I29" i="7"/>
  <c r="G29" i="7"/>
  <c r="AB28" i="7"/>
  <c r="AA28" i="7"/>
  <c r="Z28" i="7"/>
  <c r="X28" i="7"/>
  <c r="V28" i="7"/>
  <c r="T28" i="7"/>
  <c r="S28" i="7"/>
  <c r="P28" i="7"/>
  <c r="N28" i="7"/>
  <c r="L28" i="7"/>
  <c r="I28" i="7"/>
  <c r="G28" i="7"/>
  <c r="V27" i="7"/>
  <c r="T27" i="7"/>
  <c r="Q27" i="7"/>
  <c r="O27" i="7"/>
  <c r="M27" i="7"/>
  <c r="K27" i="7"/>
  <c r="H27" i="7"/>
  <c r="G27" i="7"/>
  <c r="AB24" i="7"/>
  <c r="Z24" i="7"/>
  <c r="X24" i="7"/>
  <c r="V24" i="7"/>
  <c r="S24" i="7"/>
  <c r="Q24" i="7"/>
  <c r="O24" i="7"/>
  <c r="K24" i="7"/>
  <c r="G24" i="7"/>
  <c r="V23" i="7"/>
  <c r="S23" i="7"/>
  <c r="Q23" i="7"/>
  <c r="M23" i="7"/>
  <c r="I23" i="7"/>
  <c r="D23" i="7"/>
  <c r="AA22" i="7"/>
  <c r="Y22" i="7"/>
  <c r="Q22" i="7"/>
  <c r="M22" i="7"/>
  <c r="I22" i="7"/>
  <c r="Z21" i="7"/>
  <c r="X21" i="7"/>
  <c r="V21" i="7"/>
  <c r="R21" i="7"/>
  <c r="O21" i="7"/>
  <c r="L21" i="7"/>
  <c r="I21" i="7"/>
  <c r="D21" i="7"/>
  <c r="Z20" i="7"/>
  <c r="P20" i="7"/>
  <c r="M20" i="7"/>
  <c r="J20" i="7"/>
  <c r="AA19" i="7"/>
  <c r="Y19" i="7"/>
  <c r="V19" i="7"/>
  <c r="S19" i="7"/>
  <c r="O19" i="7"/>
  <c r="L19" i="7"/>
  <c r="G19" i="7"/>
  <c r="AB18" i="7"/>
  <c r="Z18" i="7"/>
  <c r="V18" i="7"/>
  <c r="T18" i="7"/>
  <c r="M18" i="7"/>
  <c r="J18" i="7"/>
  <c r="H18" i="7"/>
  <c r="D18" i="7"/>
  <c r="AB17" i="7"/>
  <c r="Z17" i="7"/>
  <c r="X17" i="7"/>
  <c r="W17" i="7"/>
  <c r="T17" i="7"/>
  <c r="P17" i="7"/>
  <c r="J17" i="7"/>
  <c r="Z16" i="7"/>
  <c r="U16" i="7"/>
  <c r="Q16" i="7"/>
  <c r="M16" i="7"/>
  <c r="I16" i="7"/>
  <c r="S15" i="7"/>
  <c r="N15" i="7"/>
  <c r="J15" i="7"/>
  <c r="D15" i="7"/>
  <c r="AB14" i="7"/>
  <c r="Y14" i="7"/>
  <c r="W14" i="7"/>
  <c r="Q14" i="7"/>
  <c r="AA13" i="7"/>
  <c r="Y13" i="7"/>
  <c r="V13" i="7"/>
  <c r="T13" i="7"/>
  <c r="R13" i="7"/>
  <c r="P13" i="7"/>
  <c r="G13" i="7"/>
  <c r="AB12" i="7"/>
  <c r="X12" i="7"/>
  <c r="U12" i="7"/>
  <c r="P12" i="7"/>
  <c r="J12" i="7"/>
  <c r="D12" i="7"/>
  <c r="Z11" i="7"/>
  <c r="W11" i="7"/>
  <c r="T11" i="7"/>
  <c r="R11" i="7"/>
  <c r="Q11" i="7"/>
  <c r="J11" i="7"/>
  <c r="AB10" i="7"/>
  <c r="Y10" i="7"/>
  <c r="V10" i="7"/>
  <c r="R10" i="7"/>
  <c r="O10" i="7"/>
  <c r="G10" i="7"/>
  <c r="O9" i="7"/>
  <c r="G9" i="7"/>
  <c r="Z8" i="7"/>
  <c r="X8" i="7"/>
  <c r="U8" i="7"/>
  <c r="R8" i="7"/>
  <c r="Q8" i="7"/>
  <c r="O8" i="7"/>
  <c r="M8" i="7"/>
  <c r="K8" i="7"/>
  <c r="D8" i="7"/>
  <c r="Y62" i="6"/>
  <c r="X62" i="6"/>
  <c r="V62" i="6"/>
  <c r="S62" i="6"/>
  <c r="Q62" i="6"/>
  <c r="O62" i="6"/>
  <c r="L62" i="6"/>
  <c r="I62" i="6"/>
  <c r="G62" i="6"/>
  <c r="W61" i="6"/>
  <c r="T61" i="6"/>
  <c r="Q61" i="6"/>
  <c r="N61" i="6"/>
  <c r="M61" i="6"/>
  <c r="K61" i="6"/>
  <c r="J61" i="6"/>
  <c r="H61" i="6"/>
  <c r="D61" i="6"/>
  <c r="AB60" i="6"/>
  <c r="Z60" i="6"/>
  <c r="Y60" i="6"/>
  <c r="U60" i="6"/>
  <c r="R60" i="6"/>
  <c r="P60" i="6"/>
  <c r="M60" i="6"/>
  <c r="J60" i="6"/>
  <c r="R59" i="6"/>
  <c r="O59" i="6"/>
  <c r="M59" i="6"/>
  <c r="J59" i="6"/>
  <c r="D59" i="6"/>
  <c r="AA58" i="6"/>
  <c r="W58" i="6"/>
  <c r="R58" i="6"/>
  <c r="O58" i="6"/>
  <c r="L58" i="6"/>
  <c r="J58" i="6"/>
  <c r="G58" i="6"/>
  <c r="AB57" i="6"/>
  <c r="Z57" i="6"/>
  <c r="X57" i="6"/>
  <c r="V57" i="6"/>
  <c r="U57" i="6"/>
  <c r="S57" i="6"/>
  <c r="Q57" i="6"/>
  <c r="O57" i="6"/>
  <c r="L57" i="6"/>
  <c r="I57" i="6"/>
  <c r="D57" i="6"/>
  <c r="AB56" i="6"/>
  <c r="Z56" i="6"/>
  <c r="X56" i="6"/>
  <c r="W56" i="6"/>
  <c r="U56" i="6"/>
  <c r="S56" i="6"/>
  <c r="P56" i="6"/>
  <c r="M56" i="6"/>
  <c r="G56" i="6"/>
  <c r="T55" i="6"/>
  <c r="R55" i="6"/>
  <c r="P55" i="6"/>
  <c r="N55" i="6"/>
  <c r="I55" i="6"/>
  <c r="D55" i="6"/>
  <c r="AA54" i="6"/>
  <c r="Y54" i="6"/>
  <c r="W54" i="6"/>
  <c r="U54" i="6"/>
  <c r="S54" i="6"/>
  <c r="R54" i="6"/>
  <c r="P54" i="6"/>
  <c r="O54" i="6"/>
  <c r="L54" i="6"/>
  <c r="J54" i="6"/>
  <c r="H54" i="6"/>
  <c r="D54" i="6"/>
  <c r="AB53" i="6"/>
  <c r="Z53" i="6"/>
  <c r="Y53" i="6"/>
  <c r="X53" i="6"/>
  <c r="W53" i="6"/>
  <c r="U53" i="6"/>
  <c r="S53" i="6"/>
  <c r="R53" i="6"/>
  <c r="Q53" i="6"/>
  <c r="O53" i="6"/>
  <c r="M53" i="6"/>
  <c r="L53" i="6"/>
  <c r="I53" i="6"/>
  <c r="G53" i="6"/>
  <c r="Z51" i="6"/>
  <c r="X51" i="6"/>
  <c r="U51" i="6"/>
  <c r="P51" i="6"/>
  <c r="N51" i="6"/>
  <c r="K51" i="6"/>
  <c r="H51" i="6"/>
  <c r="AB50" i="6"/>
  <c r="Z50" i="6"/>
  <c r="X50" i="6"/>
  <c r="W50" i="6"/>
  <c r="U50" i="6"/>
  <c r="Q50" i="6"/>
  <c r="M50" i="6"/>
  <c r="I50" i="6"/>
  <c r="D50" i="6"/>
  <c r="Z49" i="6"/>
  <c r="X49" i="6"/>
  <c r="U49" i="6"/>
  <c r="S49" i="6"/>
  <c r="Q49" i="6"/>
  <c r="K49" i="6"/>
  <c r="I49" i="6"/>
  <c r="H49" i="6"/>
  <c r="AB48" i="6"/>
  <c r="Z48" i="6"/>
  <c r="V48" i="6"/>
  <c r="P48" i="6"/>
  <c r="K48" i="6"/>
  <c r="H48" i="6"/>
  <c r="AB47" i="6"/>
  <c r="Z47" i="6"/>
  <c r="V47" i="6"/>
  <c r="S47" i="6"/>
  <c r="Q47" i="6"/>
  <c r="O47" i="6"/>
  <c r="M47" i="6"/>
  <c r="K47" i="6"/>
  <c r="G47" i="6"/>
  <c r="AB46" i="6"/>
  <c r="AA46" i="6"/>
  <c r="Y46" i="6"/>
  <c r="W46" i="6"/>
  <c r="U46" i="6"/>
  <c r="S46" i="6"/>
  <c r="P46" i="6"/>
  <c r="N46" i="6"/>
  <c r="K46" i="6"/>
  <c r="I46" i="6"/>
  <c r="D46" i="6"/>
  <c r="AA45" i="6"/>
  <c r="Y45" i="6"/>
  <c r="V45" i="6"/>
  <c r="R45" i="6"/>
  <c r="N45" i="6"/>
  <c r="J45" i="6"/>
  <c r="H45" i="6"/>
  <c r="G45" i="6"/>
  <c r="AA43" i="6"/>
  <c r="T43" i="6"/>
  <c r="S43" i="6"/>
  <c r="Q43" i="6"/>
  <c r="L43" i="6"/>
  <c r="H43" i="6"/>
  <c r="T42" i="6"/>
  <c r="O42" i="6"/>
  <c r="J42" i="6"/>
  <c r="D42" i="6"/>
  <c r="Z41" i="6"/>
  <c r="S41" i="6"/>
  <c r="P41" i="6"/>
  <c r="M41" i="6"/>
  <c r="K41" i="6"/>
  <c r="AA40" i="6"/>
  <c r="Y40" i="6"/>
  <c r="S40" i="6"/>
  <c r="M40" i="6"/>
  <c r="J40" i="6"/>
  <c r="H40" i="6"/>
  <c r="D40" i="6"/>
  <c r="W39" i="6"/>
  <c r="T39" i="6"/>
  <c r="N39" i="6"/>
  <c r="K39" i="6"/>
  <c r="G39" i="6"/>
  <c r="Z38" i="6"/>
  <c r="W38" i="6"/>
  <c r="T38" i="6"/>
  <c r="Q38" i="6"/>
  <c r="G38" i="6"/>
  <c r="T37" i="6"/>
  <c r="O37" i="6"/>
  <c r="L37" i="6"/>
  <c r="I37" i="6"/>
  <c r="D37" i="6"/>
  <c r="AA36" i="6"/>
  <c r="Y36" i="6"/>
  <c r="W36" i="6"/>
  <c r="R36" i="6"/>
  <c r="O36" i="6"/>
  <c r="M36" i="6"/>
  <c r="D36" i="6"/>
  <c r="Y35" i="6"/>
  <c r="S35" i="6"/>
  <c r="O35" i="6"/>
  <c r="G35" i="6"/>
  <c r="N34" i="6"/>
  <c r="K34" i="6"/>
  <c r="G34" i="6"/>
  <c r="W33" i="6"/>
  <c r="P33" i="6"/>
  <c r="N33" i="6"/>
  <c r="G33" i="6"/>
  <c r="Z32" i="6"/>
  <c r="Y32" i="6"/>
  <c r="R32" i="6"/>
  <c r="N32" i="6"/>
  <c r="K32" i="6"/>
  <c r="I32" i="6"/>
  <c r="D32" i="6"/>
  <c r="AA31" i="6"/>
  <c r="U31" i="6"/>
  <c r="S31" i="6"/>
  <c r="Q31" i="6"/>
  <c r="L31" i="6"/>
  <c r="J31" i="6"/>
  <c r="G31" i="6"/>
  <c r="U30" i="6"/>
  <c r="P30" i="6"/>
  <c r="M30" i="6"/>
  <c r="J30" i="6"/>
  <c r="D30" i="6"/>
  <c r="AA29" i="6"/>
  <c r="X29" i="6"/>
  <c r="R29" i="6"/>
  <c r="M29" i="6"/>
  <c r="H29" i="6"/>
  <c r="D29" i="6"/>
  <c r="AA28" i="6"/>
  <c r="X28" i="6"/>
  <c r="U28" i="6"/>
  <c r="S28" i="6"/>
  <c r="P28" i="6"/>
  <c r="M28" i="6"/>
  <c r="J28" i="6"/>
  <c r="G28" i="6"/>
  <c r="AA27" i="6"/>
  <c r="Y27" i="6"/>
  <c r="W27" i="6"/>
  <c r="U27" i="6"/>
  <c r="P27" i="6"/>
  <c r="N27" i="6"/>
  <c r="L27" i="6"/>
  <c r="G27" i="6"/>
  <c r="Z24" i="6"/>
  <c r="T24" i="6"/>
  <c r="R24" i="6"/>
  <c r="N24" i="6"/>
  <c r="K24" i="6"/>
  <c r="D24" i="6"/>
  <c r="AA23" i="6"/>
  <c r="Y23" i="6"/>
  <c r="W23" i="6"/>
  <c r="U23" i="6"/>
  <c r="S23" i="6"/>
  <c r="Q23" i="6"/>
  <c r="O23" i="6"/>
  <c r="M23" i="6"/>
  <c r="K23" i="6"/>
  <c r="G23" i="6"/>
  <c r="AA22" i="6"/>
  <c r="Y22" i="6"/>
  <c r="W22" i="6"/>
  <c r="V22" i="6"/>
  <c r="S22" i="6"/>
  <c r="P22" i="6"/>
  <c r="N22" i="6"/>
  <c r="I22" i="6"/>
  <c r="G22" i="6"/>
  <c r="X21" i="6"/>
  <c r="W21" i="6"/>
  <c r="U21" i="6"/>
  <c r="Q21" i="6"/>
  <c r="N21" i="6"/>
  <c r="L21" i="6"/>
  <c r="I21" i="6"/>
  <c r="G21" i="6"/>
  <c r="AA20" i="6"/>
  <c r="Y20" i="6"/>
  <c r="V20" i="6"/>
  <c r="T20" i="6"/>
  <c r="R20" i="6"/>
  <c r="N20" i="6"/>
  <c r="J20" i="6"/>
  <c r="D20" i="6"/>
  <c r="AA19" i="6"/>
  <c r="Z19" i="6"/>
  <c r="Y19" i="6"/>
  <c r="X19" i="6"/>
  <c r="W19" i="6"/>
  <c r="U19" i="6"/>
  <c r="S19" i="6"/>
  <c r="Q19" i="6"/>
  <c r="O19" i="6"/>
  <c r="M19" i="6"/>
  <c r="K19" i="6"/>
  <c r="I19" i="6"/>
  <c r="D19" i="6"/>
  <c r="AB18" i="6"/>
  <c r="AA18" i="6"/>
  <c r="Z18" i="6"/>
  <c r="Y18" i="6"/>
  <c r="V18" i="6"/>
  <c r="R18" i="6"/>
  <c r="O18" i="6"/>
  <c r="L18" i="6"/>
  <c r="I18" i="6"/>
  <c r="G18" i="6"/>
  <c r="AB17" i="6"/>
  <c r="Z17" i="6"/>
  <c r="X17" i="6"/>
  <c r="V17" i="6"/>
  <c r="U17" i="6"/>
  <c r="R17" i="6"/>
  <c r="O17" i="6"/>
  <c r="M17" i="6"/>
  <c r="I17" i="6"/>
  <c r="AB16" i="6"/>
  <c r="Z16" i="6"/>
  <c r="V16" i="6"/>
  <c r="T16" i="6"/>
  <c r="R16" i="6"/>
  <c r="Q16" i="6"/>
  <c r="N16" i="6"/>
  <c r="J16" i="6"/>
  <c r="H16" i="6"/>
  <c r="V15" i="6"/>
  <c r="S15" i="6"/>
  <c r="P15" i="6"/>
  <c r="H15" i="6"/>
  <c r="AB14" i="6"/>
  <c r="AA14" i="6"/>
  <c r="Y14" i="6"/>
  <c r="X14" i="6"/>
  <c r="U14" i="6"/>
  <c r="S14" i="6"/>
  <c r="Q14" i="6"/>
  <c r="O14" i="6"/>
  <c r="M14" i="6"/>
  <c r="L14" i="6"/>
  <c r="H14" i="6"/>
  <c r="X13" i="6"/>
  <c r="T13" i="6"/>
  <c r="Q13" i="6"/>
  <c r="P13" i="6"/>
  <c r="M13" i="6"/>
  <c r="J13" i="6"/>
  <c r="G13" i="6"/>
  <c r="X12" i="6"/>
  <c r="V12" i="6"/>
  <c r="R12" i="6"/>
  <c r="N12" i="6"/>
  <c r="K12" i="6"/>
  <c r="H12" i="6"/>
  <c r="D12" i="6"/>
  <c r="AA11" i="6"/>
  <c r="Y11" i="6"/>
  <c r="V11" i="6"/>
  <c r="T11" i="6"/>
  <c r="Q11" i="6"/>
  <c r="M11" i="6"/>
  <c r="J11" i="6"/>
  <c r="G11" i="6"/>
  <c r="AA10" i="6"/>
  <c r="X10" i="6"/>
  <c r="U10" i="6"/>
  <c r="R10" i="6"/>
  <c r="T9" i="6"/>
  <c r="R9" i="6"/>
  <c r="M9" i="6"/>
  <c r="J9" i="6"/>
  <c r="AB8" i="6"/>
  <c r="Z8" i="6"/>
  <c r="Y8" i="6"/>
  <c r="W8" i="6"/>
  <c r="T8" i="6"/>
  <c r="R8" i="6"/>
  <c r="L8" i="6"/>
  <c r="I8" i="6"/>
  <c r="H8" i="6"/>
  <c r="AA62" i="5"/>
  <c r="T62" i="5"/>
  <c r="R62" i="5"/>
  <c r="P62" i="5"/>
  <c r="N62" i="5"/>
  <c r="K62" i="5"/>
  <c r="I62" i="5"/>
  <c r="G62" i="5"/>
  <c r="D62" i="5"/>
  <c r="AA61" i="5"/>
  <c r="W61" i="5"/>
  <c r="U61" i="5"/>
  <c r="S61" i="5"/>
  <c r="Q61" i="5"/>
  <c r="P61" i="5"/>
  <c r="M61" i="5"/>
  <c r="G61" i="5"/>
  <c r="V60" i="5"/>
  <c r="S60" i="5"/>
  <c r="O60" i="5"/>
  <c r="N60" i="5"/>
  <c r="K60" i="5"/>
  <c r="I60" i="5"/>
  <c r="D60" i="5"/>
  <c r="AA59" i="5"/>
  <c r="Z59" i="5"/>
  <c r="Y59" i="5"/>
  <c r="W59" i="5"/>
  <c r="U59" i="5"/>
  <c r="R59" i="5"/>
  <c r="P59" i="5"/>
  <c r="N59" i="5"/>
  <c r="M59" i="5"/>
  <c r="J59" i="5"/>
  <c r="G59" i="5"/>
  <c r="AA58" i="5"/>
  <c r="X58" i="5"/>
  <c r="T58" i="5"/>
  <c r="R58" i="5"/>
  <c r="P58" i="5"/>
  <c r="M58" i="5"/>
  <c r="K58" i="5"/>
  <c r="G58" i="5"/>
  <c r="AB57" i="5"/>
  <c r="Z57" i="5"/>
  <c r="Y57" i="5"/>
  <c r="V57" i="5"/>
  <c r="T57" i="5"/>
  <c r="O57" i="5"/>
  <c r="L57" i="5"/>
  <c r="H57" i="5"/>
  <c r="W56" i="5"/>
  <c r="T56" i="5"/>
  <c r="P56" i="5"/>
  <c r="M56" i="5"/>
  <c r="K56" i="5"/>
  <c r="H56" i="5"/>
  <c r="D56" i="5"/>
  <c r="AB55" i="5"/>
  <c r="Y55" i="5"/>
  <c r="V55" i="5"/>
  <c r="P55" i="5"/>
  <c r="J55" i="5"/>
  <c r="G55" i="5"/>
  <c r="AA54" i="5"/>
  <c r="X54" i="5"/>
  <c r="T54" i="5"/>
  <c r="R54" i="5"/>
  <c r="N54" i="5"/>
  <c r="L54" i="5"/>
  <c r="G54" i="5"/>
  <c r="W53" i="5"/>
  <c r="S53" i="5"/>
  <c r="Q53" i="5"/>
  <c r="O53" i="5"/>
  <c r="L53" i="5"/>
  <c r="I53" i="5"/>
  <c r="AB52" i="5"/>
  <c r="Y52" i="5"/>
  <c r="W52" i="5"/>
  <c r="R52" i="5"/>
  <c r="M52" i="5"/>
  <c r="H52" i="5"/>
  <c r="D52" i="5"/>
  <c r="AA51" i="5"/>
  <c r="Y51" i="5"/>
  <c r="S51" i="5"/>
  <c r="N51" i="5"/>
  <c r="H51" i="5"/>
  <c r="T50" i="5"/>
  <c r="R50" i="5"/>
  <c r="Q50" i="5"/>
  <c r="O50" i="5"/>
  <c r="I50" i="5"/>
  <c r="D50" i="5"/>
  <c r="AA49" i="5"/>
  <c r="Y49" i="5"/>
  <c r="V49" i="5"/>
  <c r="U49" i="5"/>
  <c r="K49" i="5"/>
  <c r="G49" i="5"/>
  <c r="Z48" i="5"/>
  <c r="W48" i="5"/>
  <c r="U48" i="5"/>
  <c r="Q48" i="5"/>
  <c r="L48" i="5"/>
  <c r="H48" i="5"/>
  <c r="T47" i="5"/>
  <c r="Q47" i="5"/>
  <c r="M47" i="5"/>
  <c r="K47" i="5"/>
  <c r="G47" i="5"/>
  <c r="T46" i="5"/>
  <c r="R46" i="5"/>
  <c r="N46" i="5"/>
  <c r="K46" i="5"/>
  <c r="G46" i="5"/>
  <c r="AB45" i="5"/>
  <c r="Z45" i="5"/>
  <c r="W45" i="5"/>
  <c r="T45" i="5"/>
  <c r="Q45" i="5"/>
  <c r="O45" i="5"/>
  <c r="M45" i="5"/>
  <c r="K45" i="5"/>
  <c r="Z43" i="5"/>
  <c r="T43" i="5"/>
  <c r="Q43" i="5"/>
  <c r="O43" i="5"/>
  <c r="K43" i="5"/>
  <c r="H43" i="5"/>
  <c r="W42" i="5"/>
  <c r="V42" i="5"/>
  <c r="S42" i="5"/>
  <c r="R42" i="5"/>
  <c r="M42" i="5"/>
  <c r="U41" i="5"/>
  <c r="Q41" i="5"/>
  <c r="M41" i="5"/>
  <c r="H41" i="5"/>
  <c r="D41" i="5"/>
  <c r="AA40" i="5"/>
  <c r="Y40" i="5"/>
  <c r="R40" i="5"/>
  <c r="O40" i="5"/>
  <c r="L40" i="5"/>
  <c r="H40" i="5"/>
  <c r="Z39" i="5"/>
  <c r="W39" i="5"/>
  <c r="T39" i="5"/>
  <c r="K39" i="5"/>
  <c r="AB38" i="5"/>
  <c r="AA38" i="5"/>
  <c r="X38" i="5"/>
  <c r="T38" i="5"/>
  <c r="P38" i="5"/>
  <c r="M38" i="5"/>
  <c r="K38" i="5"/>
  <c r="S37" i="5"/>
  <c r="J37" i="5"/>
  <c r="V36" i="5"/>
  <c r="O36" i="5"/>
  <c r="M36" i="5"/>
  <c r="I36" i="5"/>
  <c r="G36" i="5"/>
  <c r="AA35" i="5"/>
  <c r="X35" i="5"/>
  <c r="O35" i="5"/>
  <c r="L35" i="5"/>
  <c r="J35" i="5"/>
  <c r="G35" i="5"/>
  <c r="AA34" i="5"/>
  <c r="Y34" i="5"/>
  <c r="T34" i="5"/>
  <c r="N34" i="5"/>
  <c r="J34" i="5"/>
  <c r="AA33" i="5"/>
  <c r="Y33" i="5"/>
  <c r="U33" i="5"/>
  <c r="P33" i="5"/>
  <c r="L33" i="5"/>
  <c r="H33" i="5"/>
  <c r="AB32" i="5"/>
  <c r="Y32" i="5"/>
  <c r="V32" i="5"/>
  <c r="T32" i="5"/>
  <c r="AB31" i="5"/>
  <c r="Y31" i="5"/>
  <c r="W31" i="5"/>
  <c r="S31" i="5"/>
  <c r="Q31" i="5"/>
  <c r="L31" i="5"/>
  <c r="G31" i="5"/>
  <c r="U30" i="5"/>
  <c r="P30" i="5"/>
  <c r="M30" i="5"/>
  <c r="J30" i="5"/>
  <c r="H30" i="5"/>
  <c r="K29" i="5"/>
  <c r="I29" i="5"/>
  <c r="Z28" i="5"/>
  <c r="V28" i="5"/>
  <c r="S28" i="5"/>
  <c r="O28" i="5"/>
  <c r="L28" i="5"/>
  <c r="J28" i="5"/>
  <c r="G28" i="5"/>
  <c r="AB27" i="5"/>
  <c r="Y27" i="5"/>
  <c r="W27" i="5"/>
  <c r="T27" i="5"/>
  <c r="S27" i="5"/>
  <c r="P27" i="5"/>
  <c r="N27" i="5"/>
  <c r="K27" i="5"/>
  <c r="H27" i="5"/>
  <c r="AB24" i="5"/>
  <c r="AA24" i="5"/>
  <c r="Y24" i="5"/>
  <c r="W24" i="5"/>
  <c r="T24" i="5"/>
  <c r="Q24" i="5"/>
  <c r="O24" i="5"/>
  <c r="J24" i="5"/>
  <c r="I24" i="5"/>
  <c r="Z23" i="5"/>
  <c r="W23" i="5"/>
  <c r="U23" i="5"/>
  <c r="R23" i="5"/>
  <c r="N23" i="5"/>
  <c r="H23" i="5"/>
  <c r="Z22" i="5"/>
  <c r="W22" i="5"/>
  <c r="U22" i="5"/>
  <c r="J22" i="5"/>
  <c r="Z21" i="5"/>
  <c r="W21" i="5"/>
  <c r="T21" i="5"/>
  <c r="P21" i="5"/>
  <c r="J21" i="5"/>
  <c r="AA20" i="5"/>
  <c r="W20" i="5"/>
  <c r="S20" i="5"/>
  <c r="Q20" i="5"/>
  <c r="L20" i="5"/>
  <c r="AA19" i="5"/>
  <c r="V19" i="5"/>
  <c r="Z11" i="5"/>
  <c r="T11" i="5"/>
  <c r="Q11" i="5"/>
  <c r="N11" i="5"/>
  <c r="L11" i="5"/>
  <c r="I11" i="5"/>
  <c r="D11" i="5"/>
  <c r="AB10" i="5"/>
  <c r="W10" i="5"/>
  <c r="U10" i="5"/>
  <c r="S10" i="5"/>
  <c r="O10" i="5"/>
  <c r="Z9" i="5"/>
  <c r="X9" i="5"/>
  <c r="T9" i="5"/>
  <c r="L9" i="5"/>
  <c r="I9" i="5"/>
  <c r="D9" i="5"/>
  <c r="Z8" i="5"/>
  <c r="U8" i="5"/>
  <c r="R8" i="5"/>
  <c r="Q8" i="5"/>
  <c r="O8" i="5"/>
  <c r="K8" i="5"/>
  <c r="I8" i="5"/>
  <c r="D8" i="5"/>
  <c r="K12" i="12"/>
  <c r="J12" i="12"/>
  <c r="I12" i="12"/>
  <c r="H12" i="12"/>
  <c r="G12" i="12"/>
  <c r="D12" i="12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D43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D42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D41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D40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D39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D38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D37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D36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D35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D34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D33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D32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D31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D30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D29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D28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D27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D24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D23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D22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D21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D20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D19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D18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D17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D16" i="11"/>
  <c r="AB15" i="11"/>
  <c r="AA15" i="11"/>
  <c r="Y15" i="11"/>
  <c r="X15" i="11"/>
  <c r="W15" i="11"/>
  <c r="V15" i="11"/>
  <c r="U15" i="11"/>
  <c r="S15" i="11"/>
  <c r="R15" i="11"/>
  <c r="P15" i="11"/>
  <c r="N15" i="11"/>
  <c r="L15" i="11"/>
  <c r="J15" i="11"/>
  <c r="H15" i="11"/>
  <c r="G15" i="11"/>
  <c r="AA14" i="11"/>
  <c r="Y14" i="11"/>
  <c r="W14" i="11"/>
  <c r="U14" i="11"/>
  <c r="T14" i="11"/>
  <c r="R14" i="11"/>
  <c r="Q14" i="11"/>
  <c r="O14" i="11"/>
  <c r="M14" i="11"/>
  <c r="L14" i="11"/>
  <c r="J14" i="11"/>
  <c r="H14" i="11"/>
  <c r="AB13" i="11"/>
  <c r="AA13" i="11"/>
  <c r="Z13" i="11"/>
  <c r="Y13" i="11"/>
  <c r="X13" i="11"/>
  <c r="W13" i="11"/>
  <c r="V13" i="11"/>
  <c r="U13" i="11"/>
  <c r="S13" i="11"/>
  <c r="Q13" i="11"/>
  <c r="P13" i="11"/>
  <c r="N13" i="11"/>
  <c r="J13" i="11"/>
  <c r="H13" i="11"/>
  <c r="D13" i="11"/>
  <c r="AB12" i="11"/>
  <c r="AA12" i="11"/>
  <c r="Z12" i="11"/>
  <c r="Y12" i="11"/>
  <c r="X12" i="11"/>
  <c r="W12" i="11"/>
  <c r="U12" i="11"/>
  <c r="T12" i="11"/>
  <c r="R12" i="11"/>
  <c r="P12" i="11"/>
  <c r="N12" i="11"/>
  <c r="L12" i="11"/>
  <c r="K12" i="11"/>
  <c r="I12" i="11"/>
  <c r="G12" i="11"/>
  <c r="V11" i="11"/>
  <c r="T11" i="11"/>
  <c r="R11" i="11"/>
  <c r="P11" i="11"/>
  <c r="N11" i="11"/>
  <c r="L11" i="11"/>
  <c r="J11" i="11"/>
  <c r="H11" i="11"/>
  <c r="G11" i="11"/>
  <c r="X10" i="11"/>
  <c r="U10" i="11"/>
  <c r="S10" i="11"/>
  <c r="Q10" i="11"/>
  <c r="P10" i="11"/>
  <c r="N10" i="11"/>
  <c r="L10" i="11"/>
  <c r="J10" i="11"/>
  <c r="H10" i="11"/>
  <c r="W9" i="11"/>
  <c r="U9" i="11"/>
  <c r="S9" i="11"/>
  <c r="Q9" i="11"/>
  <c r="O9" i="11"/>
  <c r="M9" i="11"/>
  <c r="K9" i="11"/>
  <c r="I9" i="11"/>
  <c r="G9" i="11"/>
  <c r="AB8" i="11"/>
  <c r="AA8" i="11"/>
  <c r="Z8" i="11"/>
  <c r="Y8" i="11"/>
  <c r="AB62" i="10"/>
  <c r="Z62" i="10"/>
  <c r="X62" i="10"/>
  <c r="V62" i="10"/>
  <c r="T62" i="10"/>
  <c r="R62" i="10"/>
  <c r="P62" i="10"/>
  <c r="N62" i="10"/>
  <c r="L62" i="10"/>
  <c r="J62" i="10"/>
  <c r="H62" i="10"/>
  <c r="V61" i="10"/>
  <c r="S61" i="10"/>
  <c r="Q61" i="10"/>
  <c r="P61" i="10"/>
  <c r="N61" i="10"/>
  <c r="L61" i="10"/>
  <c r="J61" i="10"/>
  <c r="H61" i="10"/>
  <c r="G61" i="10"/>
  <c r="AA60" i="10"/>
  <c r="Y60" i="10"/>
  <c r="W60" i="10"/>
  <c r="V60" i="10"/>
  <c r="T60" i="10"/>
  <c r="R60" i="10"/>
  <c r="P60" i="10"/>
  <c r="N60" i="10"/>
  <c r="L60" i="10"/>
  <c r="J60" i="10"/>
  <c r="H60" i="10"/>
  <c r="D60" i="10"/>
  <c r="AB59" i="10"/>
  <c r="AA59" i="10"/>
  <c r="Y59" i="10"/>
  <c r="W59" i="10"/>
  <c r="U59" i="10"/>
  <c r="S59" i="10"/>
  <c r="Q59" i="10"/>
  <c r="O59" i="10"/>
  <c r="M59" i="10"/>
  <c r="K59" i="10"/>
  <c r="I59" i="10"/>
  <c r="H59" i="10"/>
  <c r="G59" i="10"/>
  <c r="D59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D58" i="10"/>
  <c r="AB57" i="10"/>
  <c r="AA57" i="10"/>
  <c r="Z57" i="10"/>
  <c r="Y57" i="10"/>
  <c r="W57" i="10"/>
  <c r="V57" i="10"/>
  <c r="T57" i="10"/>
  <c r="R57" i="10"/>
  <c r="P57" i="10"/>
  <c r="N57" i="10"/>
  <c r="J57" i="10"/>
  <c r="H57" i="10"/>
  <c r="D57" i="10"/>
  <c r="AB56" i="10"/>
  <c r="AA56" i="10"/>
  <c r="Z56" i="10"/>
  <c r="Y56" i="10"/>
  <c r="W56" i="10"/>
  <c r="V56" i="10"/>
  <c r="T56" i="10"/>
  <c r="R56" i="10"/>
  <c r="P56" i="10"/>
  <c r="N56" i="10"/>
  <c r="L56" i="10"/>
  <c r="J56" i="10"/>
  <c r="H56" i="10"/>
  <c r="D56" i="10"/>
  <c r="AB55" i="10"/>
  <c r="AA55" i="10"/>
  <c r="Z55" i="10"/>
  <c r="X55" i="10"/>
  <c r="W55" i="10"/>
  <c r="U55" i="10"/>
  <c r="R55" i="10"/>
  <c r="P55" i="10"/>
  <c r="O55" i="10"/>
  <c r="M55" i="10"/>
  <c r="K55" i="10"/>
  <c r="H55" i="10"/>
  <c r="X54" i="10"/>
  <c r="V54" i="10"/>
  <c r="T54" i="10"/>
  <c r="Q54" i="10"/>
  <c r="O54" i="10"/>
  <c r="M54" i="10"/>
  <c r="K54" i="10"/>
  <c r="I54" i="10"/>
  <c r="G54" i="10"/>
  <c r="W53" i="10"/>
  <c r="V53" i="10"/>
  <c r="T53" i="10"/>
  <c r="R53" i="10"/>
  <c r="P53" i="10"/>
  <c r="N53" i="10"/>
  <c r="L53" i="10"/>
  <c r="J53" i="10"/>
  <c r="H53" i="10"/>
  <c r="D53" i="10"/>
  <c r="AB52" i="10"/>
  <c r="AA52" i="10"/>
  <c r="Z52" i="10"/>
  <c r="Y52" i="10"/>
  <c r="W52" i="10"/>
  <c r="U52" i="10"/>
  <c r="R52" i="10"/>
  <c r="P52" i="10"/>
  <c r="N52" i="10"/>
  <c r="L52" i="10"/>
  <c r="J52" i="10"/>
  <c r="H52" i="10"/>
  <c r="D52" i="10"/>
  <c r="Y51" i="10"/>
  <c r="V51" i="10"/>
  <c r="T51" i="10"/>
  <c r="R51" i="10"/>
  <c r="P51" i="10"/>
  <c r="O51" i="10"/>
  <c r="M51" i="10"/>
  <c r="K51" i="10"/>
  <c r="I51" i="10"/>
  <c r="H51" i="10"/>
  <c r="G51" i="10"/>
  <c r="L50" i="10"/>
  <c r="J50" i="10"/>
  <c r="H50" i="10"/>
  <c r="V49" i="10"/>
  <c r="T49" i="10"/>
  <c r="R49" i="10"/>
  <c r="P49" i="10"/>
  <c r="N49" i="10"/>
  <c r="L49" i="10"/>
  <c r="J49" i="10"/>
  <c r="H49" i="10"/>
  <c r="D49" i="10"/>
  <c r="AB48" i="10"/>
  <c r="AA48" i="10"/>
  <c r="Z48" i="10"/>
  <c r="Y48" i="10"/>
  <c r="W48" i="10"/>
  <c r="V48" i="10"/>
  <c r="T48" i="10"/>
  <c r="R48" i="10"/>
  <c r="Q48" i="10"/>
  <c r="N48" i="10"/>
  <c r="K48" i="10"/>
  <c r="I48" i="10"/>
  <c r="G48" i="10"/>
  <c r="D48" i="10"/>
  <c r="AB47" i="10"/>
  <c r="AA47" i="10"/>
  <c r="Y47" i="10"/>
  <c r="X47" i="10"/>
  <c r="V47" i="10"/>
  <c r="T47" i="10"/>
  <c r="R47" i="10"/>
  <c r="P47" i="10"/>
  <c r="N47" i="10"/>
  <c r="L47" i="10"/>
  <c r="J47" i="10"/>
  <c r="G47" i="10"/>
  <c r="W46" i="10"/>
  <c r="U46" i="10"/>
  <c r="S46" i="10"/>
  <c r="R46" i="10"/>
  <c r="P46" i="10"/>
  <c r="N46" i="10"/>
  <c r="M46" i="10"/>
  <c r="K46" i="10"/>
  <c r="I46" i="10"/>
  <c r="H46" i="10"/>
  <c r="G46" i="10"/>
  <c r="AA45" i="10"/>
  <c r="X45" i="10"/>
  <c r="U45" i="10"/>
  <c r="Q45" i="10"/>
  <c r="N45" i="10"/>
  <c r="L45" i="10"/>
  <c r="I45" i="10"/>
  <c r="H45" i="10"/>
  <c r="AB43" i="10"/>
  <c r="X43" i="10"/>
  <c r="V43" i="10"/>
  <c r="T43" i="10"/>
  <c r="R43" i="10"/>
  <c r="P43" i="10"/>
  <c r="N43" i="10"/>
  <c r="L43" i="10"/>
  <c r="J43" i="10"/>
  <c r="H43" i="10"/>
  <c r="G43" i="10"/>
  <c r="X42" i="10"/>
  <c r="V42" i="10"/>
  <c r="T42" i="10"/>
  <c r="R42" i="10"/>
  <c r="P42" i="10"/>
  <c r="N42" i="10"/>
  <c r="L42" i="10"/>
  <c r="K42" i="10"/>
  <c r="J42" i="10"/>
  <c r="I42" i="10"/>
  <c r="H42" i="10"/>
  <c r="G42" i="10"/>
  <c r="D42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D41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D40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D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D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D37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D36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D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D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D33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D32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D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J30" i="10"/>
  <c r="I30" i="10"/>
  <c r="G30" i="10"/>
  <c r="AA29" i="10"/>
  <c r="Y29" i="10"/>
  <c r="W29" i="10"/>
  <c r="U29" i="10"/>
  <c r="T29" i="10"/>
  <c r="S29" i="10"/>
  <c r="Q29" i="10"/>
  <c r="O29" i="10"/>
  <c r="M29" i="10"/>
  <c r="L29" i="10"/>
  <c r="J29" i="10"/>
  <c r="I29" i="10"/>
  <c r="G29" i="10"/>
  <c r="AB28" i="10"/>
  <c r="AA28" i="10"/>
  <c r="Z28" i="10"/>
  <c r="Y28" i="10"/>
  <c r="X28" i="10"/>
  <c r="V28" i="10"/>
  <c r="T28" i="10"/>
  <c r="R28" i="10"/>
  <c r="Q28" i="10"/>
  <c r="O28" i="10"/>
  <c r="M28" i="10"/>
  <c r="K28" i="10"/>
  <c r="I28" i="10"/>
  <c r="H28" i="10"/>
  <c r="D28" i="10"/>
  <c r="AB27" i="10"/>
  <c r="AA27" i="10"/>
  <c r="Z27" i="10"/>
  <c r="Y27" i="10"/>
  <c r="W27" i="10"/>
  <c r="U27" i="10"/>
  <c r="S27" i="10"/>
  <c r="Q27" i="10"/>
  <c r="O27" i="10"/>
  <c r="M27" i="10"/>
  <c r="K27" i="10"/>
  <c r="I27" i="10"/>
  <c r="G27" i="10"/>
  <c r="AB24" i="10"/>
  <c r="AA24" i="10"/>
  <c r="Y24" i="10"/>
  <c r="V24" i="10"/>
  <c r="T24" i="10"/>
  <c r="Q24" i="10"/>
  <c r="O24" i="10"/>
  <c r="M24" i="10"/>
  <c r="J24" i="10"/>
  <c r="H24" i="10"/>
  <c r="AA23" i="10"/>
  <c r="X23" i="10"/>
  <c r="U23" i="10"/>
  <c r="S23" i="10"/>
  <c r="Q23" i="10"/>
  <c r="O23" i="10"/>
  <c r="M23" i="10"/>
  <c r="K23" i="10"/>
  <c r="J23" i="10"/>
  <c r="H23" i="10"/>
  <c r="D23" i="10"/>
  <c r="AB22" i="10"/>
  <c r="AA22" i="10"/>
  <c r="Z22" i="10"/>
  <c r="Y22" i="10"/>
  <c r="X22" i="10"/>
  <c r="V22" i="10"/>
  <c r="T22" i="10"/>
  <c r="R22" i="10"/>
  <c r="P22" i="10"/>
  <c r="M22" i="10"/>
  <c r="K22" i="10"/>
  <c r="I22" i="10"/>
  <c r="D22" i="10"/>
  <c r="Y21" i="10"/>
  <c r="W21" i="10"/>
  <c r="U21" i="10"/>
  <c r="S21" i="10"/>
  <c r="Q21" i="10"/>
  <c r="P21" i="10"/>
  <c r="O21" i="10"/>
  <c r="N21" i="10"/>
  <c r="L21" i="10"/>
  <c r="K21" i="10"/>
  <c r="I21" i="10"/>
  <c r="H21" i="10"/>
  <c r="G21" i="10"/>
  <c r="Y20" i="10"/>
  <c r="W20" i="10"/>
  <c r="U20" i="10"/>
  <c r="T20" i="10"/>
  <c r="R20" i="10"/>
  <c r="Q20" i="10"/>
  <c r="O20" i="10"/>
  <c r="N20" i="10"/>
  <c r="L20" i="10"/>
  <c r="J20" i="10"/>
  <c r="H20" i="10"/>
  <c r="D20" i="10"/>
  <c r="Y19" i="10"/>
  <c r="V19" i="10"/>
  <c r="U19" i="10"/>
  <c r="S19" i="10"/>
  <c r="Q19" i="10"/>
  <c r="O19" i="10"/>
  <c r="N19" i="10"/>
  <c r="L19" i="10"/>
  <c r="K19" i="10"/>
  <c r="I19" i="10"/>
  <c r="G19" i="10"/>
  <c r="Z18" i="10"/>
  <c r="W18" i="10"/>
  <c r="U18" i="10"/>
  <c r="S18" i="10"/>
  <c r="Q18" i="10"/>
  <c r="O18" i="10"/>
  <c r="N18" i="10"/>
  <c r="L18" i="10"/>
  <c r="I18" i="10"/>
  <c r="G18" i="10"/>
  <c r="W17" i="10"/>
  <c r="U17" i="10"/>
  <c r="S17" i="10"/>
  <c r="Q17" i="10"/>
  <c r="O17" i="10"/>
  <c r="L17" i="10"/>
  <c r="J17" i="10"/>
  <c r="H17" i="10"/>
  <c r="D17" i="10"/>
  <c r="AB16" i="10"/>
  <c r="AA16" i="10"/>
  <c r="Z16" i="10"/>
  <c r="Y16" i="10"/>
  <c r="X16" i="10"/>
  <c r="V16" i="10"/>
  <c r="U16" i="10"/>
  <c r="S16" i="10"/>
  <c r="Q16" i="10"/>
  <c r="P16" i="10"/>
  <c r="O16" i="10"/>
  <c r="M16" i="10"/>
  <c r="K16" i="10"/>
  <c r="I16" i="10"/>
  <c r="G16" i="10"/>
  <c r="D16" i="10"/>
  <c r="AB15" i="10"/>
  <c r="AA15" i="10"/>
  <c r="Z15" i="10"/>
  <c r="Y15" i="10"/>
  <c r="X15" i="10"/>
  <c r="V15" i="10"/>
  <c r="T15" i="10"/>
  <c r="Q15" i="10"/>
  <c r="N15" i="10"/>
  <c r="L15" i="10"/>
  <c r="J15" i="10"/>
  <c r="H15" i="10"/>
  <c r="D15" i="10"/>
  <c r="AB14" i="10"/>
  <c r="AA14" i="10"/>
  <c r="Z14" i="10"/>
  <c r="Y14" i="10"/>
  <c r="W14" i="10"/>
  <c r="U14" i="10"/>
  <c r="S14" i="10"/>
  <c r="R14" i="10"/>
  <c r="P14" i="10"/>
  <c r="N14" i="10"/>
  <c r="L14" i="10"/>
  <c r="J14" i="10"/>
  <c r="H14" i="10"/>
  <c r="D14" i="10"/>
  <c r="AB13" i="10"/>
  <c r="AA13" i="10"/>
  <c r="Z13" i="10"/>
  <c r="X13" i="10"/>
  <c r="J60" i="9"/>
  <c r="AB59" i="9"/>
  <c r="Z59" i="9"/>
  <c r="Y59" i="9"/>
  <c r="W59" i="9"/>
  <c r="U59" i="9"/>
  <c r="R59" i="9"/>
  <c r="P59" i="9"/>
  <c r="N59" i="9"/>
  <c r="L59" i="9"/>
  <c r="J59" i="9"/>
  <c r="H59" i="9"/>
  <c r="AB58" i="9"/>
  <c r="AA58" i="9"/>
  <c r="Z58" i="9"/>
  <c r="Y58" i="9"/>
  <c r="X58" i="9"/>
  <c r="W58" i="9"/>
  <c r="U58" i="9"/>
  <c r="S58" i="9"/>
  <c r="Q58" i="9"/>
  <c r="O58" i="9"/>
  <c r="L58" i="9"/>
  <c r="J58" i="9"/>
  <c r="H58" i="9"/>
  <c r="D58" i="9"/>
  <c r="Y57" i="9"/>
  <c r="W57" i="9"/>
  <c r="U57" i="9"/>
  <c r="S57" i="9"/>
  <c r="Q57" i="9"/>
  <c r="O57" i="9"/>
  <c r="M57" i="9"/>
  <c r="K57" i="9"/>
  <c r="I57" i="9"/>
  <c r="G57" i="9"/>
  <c r="Y56" i="9"/>
  <c r="V56" i="9"/>
  <c r="T56" i="9"/>
  <c r="R56" i="9"/>
  <c r="P56" i="9"/>
  <c r="N56" i="9"/>
  <c r="L56" i="9"/>
  <c r="J56" i="9"/>
  <c r="H56" i="9"/>
  <c r="D56" i="9"/>
  <c r="AB55" i="9"/>
  <c r="AA55" i="9"/>
  <c r="Z55" i="9"/>
  <c r="Y55" i="9"/>
  <c r="X55" i="9"/>
  <c r="W55" i="9"/>
  <c r="U55" i="9"/>
  <c r="S55" i="9"/>
  <c r="Q55" i="9"/>
  <c r="N55" i="9"/>
  <c r="L55" i="9"/>
  <c r="J55" i="9"/>
  <c r="I55" i="9"/>
  <c r="G55" i="9"/>
  <c r="D55" i="9"/>
  <c r="AB54" i="9"/>
  <c r="AA54" i="9"/>
  <c r="Z54" i="9"/>
  <c r="X54" i="9"/>
  <c r="W54" i="9"/>
  <c r="U54" i="9"/>
  <c r="T54" i="9"/>
  <c r="R54" i="9"/>
  <c r="Q54" i="9"/>
  <c r="O54" i="9"/>
  <c r="M54" i="9"/>
  <c r="K54" i="9"/>
  <c r="I54" i="9"/>
  <c r="G54" i="9"/>
  <c r="X53" i="9"/>
  <c r="V53" i="9"/>
  <c r="R53" i="9"/>
  <c r="P53" i="9"/>
  <c r="N53" i="9"/>
  <c r="L53" i="9"/>
  <c r="K53" i="9"/>
  <c r="H53" i="9"/>
  <c r="D53" i="9"/>
  <c r="AB52" i="9"/>
  <c r="AA52" i="9"/>
  <c r="Z52" i="9"/>
  <c r="Y52" i="9"/>
  <c r="X52" i="9"/>
  <c r="W52" i="9"/>
  <c r="U52" i="9"/>
  <c r="S52" i="9"/>
  <c r="Q52" i="9"/>
  <c r="O52" i="9"/>
  <c r="M52" i="9"/>
  <c r="K52" i="9"/>
  <c r="I52" i="9"/>
  <c r="H52" i="9"/>
  <c r="H51" i="9"/>
  <c r="D51" i="9"/>
  <c r="AB50" i="9"/>
  <c r="AA50" i="9"/>
  <c r="Z50" i="9"/>
  <c r="Y50" i="9"/>
  <c r="X50" i="9"/>
  <c r="V50" i="9"/>
  <c r="T50" i="9"/>
  <c r="R50" i="9"/>
  <c r="Q50" i="9"/>
  <c r="O50" i="9"/>
  <c r="M50" i="9"/>
  <c r="K50" i="9"/>
  <c r="H50" i="9"/>
  <c r="D50" i="9"/>
  <c r="AB49" i="9"/>
  <c r="AA49" i="9"/>
  <c r="Z49" i="9"/>
  <c r="Y49" i="9"/>
  <c r="W49" i="9"/>
  <c r="V49" i="9"/>
  <c r="T49" i="9"/>
  <c r="S49" i="9"/>
  <c r="P49" i="9"/>
  <c r="N49" i="9"/>
  <c r="L49" i="9"/>
  <c r="J49" i="9"/>
  <c r="H49" i="9"/>
  <c r="D49" i="9"/>
  <c r="AB48" i="9"/>
  <c r="AA48" i="9"/>
  <c r="Y48" i="9"/>
  <c r="X48" i="9"/>
  <c r="W48" i="9"/>
  <c r="V48" i="9"/>
  <c r="S48" i="9"/>
  <c r="Q48" i="9"/>
  <c r="O48" i="9"/>
  <c r="M48" i="9"/>
  <c r="K48" i="9"/>
  <c r="I48" i="9"/>
  <c r="G48" i="9"/>
  <c r="D48" i="9"/>
  <c r="AB47" i="9"/>
  <c r="AA47" i="9"/>
  <c r="Z47" i="9"/>
  <c r="Y47" i="9"/>
  <c r="X47" i="9"/>
  <c r="W47" i="9"/>
  <c r="V47" i="9"/>
  <c r="U47" i="9"/>
  <c r="T47" i="9"/>
  <c r="R47" i="9"/>
  <c r="Q47" i="9"/>
  <c r="O47" i="9"/>
  <c r="M47" i="9"/>
  <c r="AA46" i="9"/>
  <c r="Z46" i="9"/>
  <c r="Y46" i="9"/>
  <c r="X46" i="9"/>
  <c r="W46" i="9"/>
  <c r="V46" i="9"/>
  <c r="U46" i="9"/>
  <c r="T46" i="9"/>
  <c r="S46" i="9"/>
  <c r="R46" i="9"/>
  <c r="Q46" i="9"/>
  <c r="O46" i="9"/>
  <c r="N46" i="9"/>
  <c r="M46" i="9"/>
  <c r="K46" i="9"/>
  <c r="H46" i="9"/>
  <c r="G46" i="9"/>
  <c r="H41" i="9"/>
  <c r="G41" i="9"/>
  <c r="D41" i="9"/>
  <c r="U40" i="9"/>
  <c r="T40" i="9"/>
  <c r="R40" i="9"/>
  <c r="P40" i="9"/>
  <c r="N40" i="9"/>
  <c r="L40" i="9"/>
  <c r="J40" i="9"/>
  <c r="H40" i="9"/>
  <c r="D40" i="9"/>
  <c r="AB39" i="9"/>
  <c r="AA39" i="9"/>
  <c r="Y39" i="9"/>
  <c r="W39" i="9"/>
  <c r="U39" i="9"/>
  <c r="S39" i="9"/>
  <c r="Q39" i="9"/>
  <c r="O39" i="9"/>
  <c r="M39" i="9"/>
  <c r="K39" i="9"/>
  <c r="J39" i="9"/>
  <c r="G39" i="9"/>
  <c r="W38" i="9"/>
  <c r="T38" i="9"/>
  <c r="R38" i="9"/>
  <c r="P38" i="9"/>
  <c r="N38" i="9"/>
  <c r="M38" i="9"/>
  <c r="K38" i="9"/>
  <c r="J38" i="9"/>
  <c r="H38" i="9"/>
  <c r="G38" i="9"/>
  <c r="X37" i="9"/>
  <c r="U37" i="9"/>
  <c r="S37" i="9"/>
  <c r="Q37" i="9"/>
  <c r="O37" i="9"/>
  <c r="M37" i="9"/>
  <c r="K37" i="9"/>
  <c r="I37" i="9"/>
  <c r="H37" i="9"/>
  <c r="G37" i="9"/>
  <c r="Z36" i="9"/>
  <c r="X36" i="9"/>
  <c r="V36" i="9"/>
  <c r="T36" i="9"/>
  <c r="R36" i="9"/>
  <c r="P36" i="9"/>
  <c r="M36" i="9"/>
  <c r="K36" i="9"/>
  <c r="I36" i="9"/>
  <c r="G36" i="9"/>
  <c r="X35" i="9"/>
  <c r="V35" i="9"/>
  <c r="T35" i="9"/>
  <c r="R35" i="9"/>
  <c r="N35" i="9"/>
  <c r="M35" i="9"/>
  <c r="J35" i="9"/>
  <c r="H35" i="9"/>
  <c r="D35" i="9"/>
  <c r="AB34" i="9"/>
  <c r="AA34" i="9"/>
  <c r="Z34" i="9"/>
  <c r="Y34" i="9"/>
  <c r="X34" i="9"/>
  <c r="W34" i="9"/>
  <c r="U34" i="9"/>
  <c r="R34" i="9"/>
  <c r="P34" i="9"/>
  <c r="N34" i="9"/>
  <c r="L34" i="9"/>
  <c r="J34" i="9"/>
  <c r="H34" i="9"/>
  <c r="D34" i="9"/>
  <c r="AB33" i="9"/>
  <c r="AA33" i="9"/>
  <c r="Z33" i="9"/>
  <c r="Y33" i="9"/>
  <c r="X33" i="9"/>
  <c r="W33" i="9"/>
  <c r="V33" i="9"/>
  <c r="T33" i="9"/>
  <c r="S33" i="9"/>
  <c r="Q33" i="9"/>
  <c r="O33" i="9"/>
  <c r="M33" i="9"/>
  <c r="K33" i="9"/>
  <c r="I33" i="9"/>
  <c r="D33" i="9"/>
  <c r="AB32" i="9"/>
  <c r="AA32" i="9"/>
  <c r="Y32" i="9"/>
  <c r="X32" i="9"/>
  <c r="V32" i="9"/>
  <c r="U32" i="9"/>
  <c r="S32" i="9"/>
  <c r="Q32" i="9"/>
  <c r="O32" i="9"/>
  <c r="M32" i="9"/>
  <c r="K32" i="9"/>
  <c r="J32" i="9"/>
  <c r="H32" i="9"/>
  <c r="D32" i="9"/>
  <c r="AB31" i="9"/>
  <c r="AA31" i="9"/>
  <c r="Y31" i="9"/>
  <c r="X31" i="9"/>
  <c r="W31" i="9"/>
  <c r="U31" i="9"/>
  <c r="S31" i="9"/>
  <c r="R31" i="9"/>
  <c r="P31" i="9"/>
  <c r="M31" i="9"/>
  <c r="K31" i="9"/>
  <c r="I31" i="9"/>
  <c r="G31" i="9"/>
  <c r="X30" i="9"/>
  <c r="V30" i="9"/>
  <c r="U30" i="9"/>
  <c r="S30" i="9"/>
  <c r="R30" i="9"/>
  <c r="P30" i="9"/>
  <c r="N30" i="9"/>
  <c r="L30" i="9"/>
  <c r="K30" i="9"/>
  <c r="I30" i="9"/>
  <c r="G30" i="9"/>
  <c r="W29" i="9"/>
  <c r="U29" i="9"/>
  <c r="S29" i="9"/>
  <c r="R29" i="9"/>
  <c r="P29" i="9"/>
  <c r="M29" i="9"/>
  <c r="K29" i="9"/>
  <c r="I29" i="9"/>
  <c r="G29" i="9"/>
  <c r="AA28" i="9"/>
  <c r="Y28" i="9"/>
  <c r="W28" i="9"/>
  <c r="V28" i="9"/>
  <c r="U28" i="9"/>
  <c r="S28" i="9"/>
  <c r="P28" i="9"/>
  <c r="N28" i="9"/>
  <c r="L28" i="9"/>
  <c r="J28" i="9"/>
  <c r="I28" i="9"/>
  <c r="G28" i="9"/>
  <c r="D28" i="9"/>
  <c r="AB27" i="9"/>
  <c r="AA27" i="9"/>
  <c r="J27" i="9"/>
  <c r="H27" i="9"/>
  <c r="D27" i="9"/>
  <c r="AA24" i="9"/>
  <c r="Y24" i="9"/>
  <c r="V24" i="9"/>
  <c r="S24" i="9"/>
  <c r="Q24" i="9"/>
  <c r="O24" i="9"/>
  <c r="M24" i="9"/>
  <c r="K24" i="9"/>
  <c r="I24" i="9"/>
  <c r="G24" i="9"/>
  <c r="X23" i="9"/>
  <c r="V23" i="9"/>
  <c r="T23" i="9"/>
  <c r="R23" i="9"/>
  <c r="P23" i="9"/>
  <c r="N23" i="9"/>
  <c r="L23" i="9"/>
  <c r="J23" i="9"/>
  <c r="H23" i="9"/>
  <c r="D23" i="9"/>
  <c r="AB22" i="9"/>
  <c r="AA22" i="9"/>
  <c r="Y22" i="9"/>
  <c r="V22" i="9"/>
  <c r="T22" i="9"/>
  <c r="S22" i="9"/>
  <c r="R22" i="9"/>
  <c r="P22" i="9"/>
  <c r="N22" i="9"/>
  <c r="M22" i="9"/>
  <c r="K22" i="9"/>
  <c r="J22" i="9"/>
  <c r="I22" i="9"/>
  <c r="D22" i="9"/>
  <c r="Q21" i="9"/>
  <c r="O21" i="9"/>
  <c r="M21" i="9"/>
  <c r="K21" i="9"/>
  <c r="I21" i="9"/>
  <c r="G21" i="9"/>
  <c r="Y20" i="9"/>
  <c r="W20" i="9"/>
  <c r="U20" i="9"/>
  <c r="R20" i="9"/>
  <c r="Q20" i="9"/>
  <c r="O20" i="9"/>
  <c r="M20" i="9"/>
  <c r="K20" i="9"/>
  <c r="I20" i="9"/>
  <c r="H20" i="9"/>
  <c r="D20" i="9"/>
  <c r="AB19" i="9"/>
  <c r="AA19" i="9"/>
  <c r="Z19" i="9"/>
  <c r="Y19" i="9"/>
  <c r="X19" i="9"/>
  <c r="V19" i="9"/>
  <c r="U19" i="9"/>
  <c r="S19" i="9"/>
  <c r="R19" i="9"/>
  <c r="P19" i="9"/>
  <c r="N19" i="9"/>
  <c r="K19" i="9"/>
  <c r="H19" i="9"/>
  <c r="W18" i="9"/>
  <c r="V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D18" i="9"/>
  <c r="AB17" i="9"/>
  <c r="Z17" i="9"/>
  <c r="Y17" i="9"/>
  <c r="W17" i="9"/>
  <c r="U17" i="9"/>
  <c r="S17" i="9"/>
  <c r="Q17" i="9"/>
  <c r="O17" i="9"/>
  <c r="N17" i="9"/>
  <c r="L17" i="9"/>
  <c r="J17" i="9"/>
  <c r="H17" i="9"/>
  <c r="D17" i="9"/>
  <c r="AB16" i="9"/>
  <c r="AA16" i="9"/>
  <c r="Z16" i="9"/>
  <c r="Y16" i="9"/>
  <c r="W16" i="9"/>
  <c r="V16" i="9"/>
  <c r="U16" i="9"/>
  <c r="S16" i="9"/>
  <c r="Q16" i="9"/>
  <c r="O16" i="9"/>
  <c r="L16" i="9"/>
  <c r="J16" i="9"/>
  <c r="I16" i="9"/>
  <c r="G16" i="9"/>
  <c r="D16" i="9"/>
  <c r="AB15" i="9"/>
  <c r="AA15" i="9"/>
  <c r="Z15" i="9"/>
  <c r="Y15" i="9"/>
  <c r="W15" i="9"/>
  <c r="T15" i="9"/>
  <c r="S15" i="9"/>
  <c r="Q15" i="9"/>
  <c r="O15" i="9"/>
  <c r="M15" i="9"/>
  <c r="K15" i="9"/>
  <c r="I15" i="9"/>
  <c r="H15" i="9"/>
  <c r="D15" i="9"/>
  <c r="AB14" i="9"/>
  <c r="AA14" i="9"/>
  <c r="Y14" i="9"/>
  <c r="X14" i="9"/>
  <c r="U14" i="9"/>
  <c r="T14" i="9"/>
  <c r="R14" i="9"/>
  <c r="P14" i="9"/>
  <c r="N14" i="9"/>
  <c r="L14" i="9"/>
  <c r="J14" i="9"/>
  <c r="H14" i="9"/>
  <c r="D14" i="9"/>
  <c r="AB13" i="9"/>
  <c r="AA13" i="9"/>
  <c r="Z13" i="9"/>
  <c r="Y13" i="9"/>
  <c r="V13" i="9"/>
  <c r="T13" i="9"/>
  <c r="P13" i="9"/>
  <c r="O13" i="9"/>
  <c r="N13" i="9"/>
  <c r="L13" i="9"/>
  <c r="J13" i="9"/>
  <c r="G13" i="9"/>
  <c r="Y12" i="9"/>
  <c r="W12" i="9"/>
  <c r="U12" i="9"/>
  <c r="S12" i="9"/>
  <c r="Q12" i="9"/>
  <c r="O12" i="9"/>
  <c r="N12" i="9"/>
  <c r="L12" i="9"/>
  <c r="J12" i="9"/>
  <c r="G12" i="9"/>
  <c r="AB11" i="9"/>
  <c r="AA11" i="9"/>
  <c r="Z11" i="9"/>
  <c r="X11" i="9"/>
  <c r="V11" i="9"/>
  <c r="T11" i="9"/>
  <c r="R11" i="9"/>
  <c r="P11" i="9"/>
  <c r="O11" i="9"/>
  <c r="AA10" i="9"/>
  <c r="X10" i="9"/>
  <c r="V10" i="9"/>
  <c r="T10" i="9"/>
  <c r="R10" i="9"/>
  <c r="Q10" i="9"/>
  <c r="O10" i="9"/>
  <c r="M10" i="9"/>
  <c r="J10" i="9"/>
  <c r="I10" i="9"/>
  <c r="G10" i="9"/>
  <c r="D10" i="9"/>
  <c r="X9" i="9"/>
  <c r="V9" i="9"/>
  <c r="T9" i="9"/>
  <c r="P9" i="9"/>
  <c r="N9" i="9"/>
  <c r="M9" i="9"/>
  <c r="K9" i="9"/>
  <c r="I9" i="9"/>
  <c r="G9" i="9"/>
  <c r="W8" i="9"/>
  <c r="U8" i="9"/>
  <c r="S8" i="9"/>
  <c r="Q8" i="9"/>
  <c r="O8" i="9"/>
  <c r="M8" i="9"/>
  <c r="L8" i="9"/>
  <c r="K8" i="9"/>
  <c r="I8" i="9"/>
  <c r="H8" i="9"/>
  <c r="D8" i="9"/>
  <c r="AA62" i="8"/>
  <c r="Y62" i="8"/>
  <c r="X62" i="8"/>
  <c r="V62" i="8"/>
  <c r="T62" i="8"/>
  <c r="R62" i="8"/>
  <c r="P62" i="8"/>
  <c r="M62" i="8"/>
  <c r="J62" i="8"/>
  <c r="G62" i="8"/>
  <c r="Z61" i="8"/>
  <c r="W61" i="8"/>
  <c r="V61" i="8"/>
  <c r="T61" i="8"/>
  <c r="Q61" i="8"/>
  <c r="P61" i="8"/>
  <c r="N61" i="8"/>
  <c r="L61" i="8"/>
  <c r="I61" i="8"/>
  <c r="D61" i="8"/>
  <c r="AB60" i="8"/>
  <c r="AA60" i="8"/>
  <c r="Y60" i="8"/>
  <c r="X60" i="8"/>
  <c r="W60" i="8"/>
  <c r="U60" i="8"/>
  <c r="T60" i="8"/>
  <c r="R60" i="8"/>
  <c r="P60" i="8"/>
  <c r="N60" i="8"/>
  <c r="L60" i="8"/>
  <c r="J60" i="8"/>
  <c r="H60" i="8"/>
  <c r="D60" i="8"/>
  <c r="AB59" i="8"/>
  <c r="AA59" i="8"/>
  <c r="Z59" i="8"/>
  <c r="Y59" i="8"/>
  <c r="X59" i="8"/>
  <c r="V59" i="8"/>
  <c r="S59" i="8"/>
  <c r="Q59" i="8"/>
  <c r="O59" i="8"/>
  <c r="M59" i="8"/>
  <c r="K59" i="8"/>
  <c r="I59" i="8"/>
  <c r="G59" i="8"/>
  <c r="X58" i="8"/>
  <c r="V58" i="8"/>
  <c r="T58" i="8"/>
  <c r="R58" i="8"/>
  <c r="P58" i="8"/>
  <c r="N58" i="8"/>
  <c r="L58" i="8"/>
  <c r="J58" i="8"/>
  <c r="I58" i="8"/>
  <c r="G58" i="8"/>
  <c r="D58" i="8"/>
  <c r="AB57" i="8"/>
  <c r="AA57" i="8"/>
  <c r="Z57" i="8"/>
  <c r="Y57" i="8"/>
  <c r="X57" i="8"/>
  <c r="V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D57" i="8"/>
  <c r="Z56" i="8"/>
  <c r="X56" i="8"/>
  <c r="V56" i="8"/>
  <c r="T56" i="8"/>
  <c r="R56" i="8"/>
  <c r="P56" i="8"/>
  <c r="N56" i="8"/>
  <c r="L56" i="8"/>
  <c r="I56" i="8"/>
  <c r="G56" i="8"/>
  <c r="V55" i="8"/>
  <c r="S55" i="8"/>
  <c r="Q55" i="8"/>
  <c r="P55" i="8"/>
  <c r="N55" i="8"/>
  <c r="L55" i="8"/>
  <c r="J55" i="8"/>
  <c r="H55" i="8"/>
  <c r="D55" i="8"/>
  <c r="AB54" i="8"/>
  <c r="AA54" i="8"/>
  <c r="Z54" i="8"/>
  <c r="Y54" i="8"/>
  <c r="W54" i="8"/>
  <c r="U54" i="8"/>
  <c r="S54" i="8"/>
  <c r="Q54" i="8"/>
  <c r="O54" i="8"/>
  <c r="M54" i="8"/>
  <c r="K54" i="8"/>
  <c r="I54" i="8"/>
  <c r="G54" i="8"/>
  <c r="Z53" i="8"/>
  <c r="X53" i="8"/>
  <c r="V53" i="8"/>
  <c r="T53" i="8"/>
  <c r="R53" i="8"/>
  <c r="P53" i="8"/>
  <c r="M53" i="8"/>
  <c r="K53" i="8"/>
  <c r="I53" i="8"/>
  <c r="G53" i="8"/>
  <c r="Z52" i="8"/>
  <c r="V52" i="8"/>
  <c r="T52" i="8"/>
  <c r="R52" i="8"/>
  <c r="N52" i="8"/>
  <c r="L52" i="8"/>
  <c r="K52" i="8"/>
  <c r="I52" i="8"/>
  <c r="G52" i="8"/>
  <c r="V51" i="8"/>
  <c r="T51" i="8"/>
  <c r="R51" i="8"/>
  <c r="P51" i="8"/>
  <c r="N51" i="8"/>
  <c r="L51" i="8"/>
  <c r="J51" i="8"/>
  <c r="H51" i="8"/>
  <c r="G51" i="8"/>
  <c r="W50" i="8"/>
  <c r="U50" i="8"/>
  <c r="Q50" i="8"/>
  <c r="O50" i="8"/>
  <c r="L50" i="8"/>
  <c r="J50" i="8"/>
  <c r="H50" i="8"/>
  <c r="G50" i="8"/>
  <c r="X49" i="8"/>
  <c r="V49" i="8"/>
  <c r="T49" i="8"/>
  <c r="R49" i="8"/>
  <c r="P49" i="8"/>
  <c r="N49" i="8"/>
  <c r="L49" i="8"/>
  <c r="J49" i="8"/>
  <c r="G49" i="8"/>
  <c r="Y48" i="8"/>
  <c r="W48" i="8"/>
  <c r="U48" i="8"/>
  <c r="S48" i="8"/>
  <c r="Q48" i="8"/>
  <c r="O48" i="8"/>
  <c r="M48" i="8"/>
  <c r="K48" i="8"/>
  <c r="J48" i="8"/>
  <c r="H48" i="8"/>
  <c r="D48" i="8"/>
  <c r="AB47" i="8"/>
  <c r="AA47" i="8"/>
  <c r="Z47" i="8"/>
  <c r="Y47" i="8"/>
  <c r="X47" i="8"/>
  <c r="W47" i="8"/>
  <c r="U47" i="8"/>
  <c r="S47" i="8"/>
  <c r="Q47" i="8"/>
  <c r="P47" i="8"/>
  <c r="N47" i="8"/>
  <c r="L47" i="8"/>
  <c r="K47" i="8"/>
  <c r="I47" i="8"/>
  <c r="H47" i="8"/>
  <c r="D47" i="8"/>
  <c r="AB46" i="8"/>
  <c r="AA46" i="8"/>
  <c r="Z46" i="8"/>
  <c r="Y46" i="8"/>
  <c r="W46" i="8"/>
  <c r="U46" i="8"/>
  <c r="S46" i="8"/>
  <c r="Q46" i="8"/>
  <c r="P46" i="8"/>
  <c r="N46" i="8"/>
  <c r="L46" i="8"/>
  <c r="J46" i="8"/>
  <c r="H46" i="8"/>
  <c r="D46" i="8"/>
  <c r="AB45" i="8"/>
  <c r="Z45" i="8"/>
  <c r="X45" i="8"/>
  <c r="V45" i="8"/>
  <c r="T45" i="8"/>
  <c r="R45" i="8"/>
  <c r="P45" i="8"/>
  <c r="M45" i="8"/>
  <c r="K45" i="8"/>
  <c r="I45" i="8"/>
  <c r="G45" i="8"/>
  <c r="AA43" i="8"/>
  <c r="Z43" i="8"/>
  <c r="W43" i="8"/>
  <c r="U43" i="8"/>
  <c r="S43" i="8"/>
  <c r="Q43" i="8"/>
  <c r="O43" i="8"/>
  <c r="M43" i="8"/>
  <c r="K43" i="8"/>
  <c r="I43" i="8"/>
  <c r="G43" i="8"/>
  <c r="Q42" i="8"/>
  <c r="O42" i="8"/>
  <c r="M42" i="8"/>
  <c r="L42" i="8"/>
  <c r="K42" i="8"/>
  <c r="J42" i="8"/>
  <c r="I42" i="8"/>
  <c r="H42" i="8"/>
  <c r="G42" i="8"/>
  <c r="D42" i="8"/>
  <c r="AB41" i="8"/>
  <c r="AA41" i="8"/>
  <c r="Z41" i="8"/>
  <c r="X41" i="8"/>
  <c r="V41" i="8"/>
  <c r="S41" i="8"/>
  <c r="Q41" i="8"/>
  <c r="O41" i="8"/>
  <c r="L41" i="8"/>
  <c r="J41" i="8"/>
  <c r="G41" i="8"/>
  <c r="X40" i="8"/>
  <c r="V40" i="8"/>
  <c r="T40" i="8"/>
  <c r="R40" i="8"/>
  <c r="O40" i="8"/>
  <c r="M40" i="8"/>
  <c r="K40" i="8"/>
  <c r="I40" i="8"/>
  <c r="G40" i="8"/>
  <c r="D40" i="8"/>
  <c r="AB39" i="8"/>
  <c r="AA39" i="8"/>
  <c r="Z39" i="8"/>
  <c r="Y39" i="8"/>
  <c r="X39" i="8"/>
  <c r="U39" i="8"/>
  <c r="S39" i="8"/>
  <c r="Q39" i="8"/>
  <c r="O39" i="8"/>
  <c r="M39" i="8"/>
  <c r="L39" i="8"/>
  <c r="J39" i="8"/>
  <c r="G39" i="8"/>
  <c r="D39" i="8"/>
  <c r="AB38" i="8"/>
  <c r="AA38" i="8"/>
  <c r="Z38" i="8"/>
  <c r="Y38" i="8"/>
  <c r="W38" i="8"/>
  <c r="U38" i="8"/>
  <c r="T38" i="8"/>
  <c r="R38" i="8"/>
  <c r="P38" i="8"/>
  <c r="N38" i="8"/>
  <c r="K38" i="8"/>
  <c r="H38" i="8"/>
  <c r="D38" i="8"/>
  <c r="AB37" i="8"/>
  <c r="AA37" i="8"/>
  <c r="Z37" i="8"/>
  <c r="Y37" i="8"/>
  <c r="W37" i="8"/>
  <c r="U37" i="8"/>
  <c r="T37" i="8"/>
  <c r="R37" i="8"/>
  <c r="P37" i="8"/>
  <c r="N37" i="8"/>
  <c r="L37" i="8"/>
  <c r="J37" i="8"/>
  <c r="H37" i="8"/>
  <c r="D37" i="8"/>
  <c r="AB36" i="8"/>
  <c r="AA36" i="8"/>
  <c r="Z36" i="8"/>
  <c r="Y36" i="8"/>
  <c r="W36" i="8"/>
  <c r="U36" i="8"/>
  <c r="S36" i="8"/>
  <c r="Q36" i="8"/>
  <c r="O36" i="8"/>
  <c r="L36" i="8"/>
  <c r="I36" i="8"/>
  <c r="G36" i="8"/>
  <c r="X35" i="8"/>
  <c r="W35" i="8"/>
  <c r="T35" i="8"/>
  <c r="Q35" i="8"/>
  <c r="O35" i="8"/>
  <c r="M35" i="8"/>
  <c r="K35" i="8"/>
  <c r="X34" i="8"/>
  <c r="V34" i="8"/>
  <c r="U34" i="8"/>
  <c r="S34" i="8"/>
  <c r="Q34" i="8"/>
  <c r="O34" i="8"/>
  <c r="M34" i="8"/>
  <c r="J34" i="8"/>
  <c r="H34" i="8"/>
  <c r="D34" i="8"/>
  <c r="W33" i="8"/>
  <c r="U33" i="8"/>
  <c r="S33" i="8"/>
  <c r="P33" i="8"/>
  <c r="M33" i="8"/>
  <c r="K33" i="8"/>
  <c r="I33" i="8"/>
  <c r="H33" i="8"/>
  <c r="D33" i="8"/>
  <c r="AB32" i="8"/>
  <c r="AA32" i="8"/>
  <c r="Z32" i="8"/>
  <c r="Y32" i="8"/>
  <c r="W32" i="8"/>
  <c r="U32" i="8"/>
  <c r="S32" i="8"/>
  <c r="Q32" i="8"/>
  <c r="O32" i="8"/>
  <c r="M32" i="8"/>
  <c r="K32" i="8"/>
  <c r="I32" i="8"/>
  <c r="G32" i="8"/>
  <c r="Y31" i="8"/>
  <c r="V31" i="8"/>
  <c r="T31" i="8"/>
  <c r="R31" i="8"/>
  <c r="P31" i="8"/>
  <c r="N31" i="8"/>
  <c r="K31" i="8"/>
  <c r="J31" i="8"/>
  <c r="H31" i="8"/>
  <c r="D31" i="8"/>
  <c r="AB30" i="8"/>
  <c r="AA30" i="8"/>
  <c r="Z30" i="8"/>
  <c r="Y30" i="8"/>
  <c r="W30" i="8"/>
  <c r="U30" i="8"/>
  <c r="R30" i="8"/>
  <c r="P30" i="8"/>
  <c r="N30" i="8"/>
  <c r="L30" i="8"/>
  <c r="J30" i="8"/>
  <c r="H30" i="8"/>
  <c r="D30" i="8"/>
  <c r="W29" i="8"/>
  <c r="U29" i="8"/>
  <c r="S29" i="8"/>
  <c r="Q29" i="8"/>
  <c r="P29" i="8"/>
  <c r="N29" i="8"/>
  <c r="L29" i="8"/>
  <c r="J29" i="8"/>
  <c r="H29" i="8"/>
  <c r="Z28" i="8"/>
  <c r="X28" i="8"/>
  <c r="V28" i="8"/>
  <c r="T28" i="8"/>
  <c r="S28" i="8"/>
  <c r="Q28" i="8"/>
  <c r="O28" i="8"/>
  <c r="M28" i="8"/>
  <c r="K28" i="8"/>
  <c r="J28" i="8"/>
  <c r="H28" i="8"/>
  <c r="D28" i="8"/>
  <c r="AB27" i="8"/>
  <c r="AA27" i="8"/>
  <c r="Z27" i="8"/>
  <c r="Y27" i="8"/>
  <c r="W27" i="8"/>
  <c r="U27" i="8"/>
  <c r="S27" i="8"/>
  <c r="Q27" i="8"/>
  <c r="O27" i="8"/>
  <c r="M27" i="8"/>
  <c r="K27" i="8"/>
  <c r="I27" i="8"/>
  <c r="G27" i="8"/>
  <c r="AB24" i="8"/>
  <c r="Y24" i="8"/>
  <c r="W24" i="8"/>
  <c r="U24" i="8"/>
  <c r="S24" i="8"/>
  <c r="Q24" i="8"/>
  <c r="O24" i="8"/>
  <c r="L24" i="8"/>
  <c r="K24" i="8"/>
  <c r="J24" i="8"/>
  <c r="I24" i="8"/>
  <c r="H24" i="8"/>
  <c r="G24" i="8"/>
  <c r="D24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D23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D22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D21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D20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D19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D18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D17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D16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D15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D14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D13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D12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D11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Q9" i="8"/>
  <c r="O9" i="8"/>
  <c r="M9" i="8"/>
  <c r="J9" i="8"/>
  <c r="H9" i="8"/>
  <c r="Y8" i="8"/>
  <c r="V8" i="8"/>
  <c r="S8" i="8"/>
  <c r="Q8" i="8"/>
  <c r="O8" i="8"/>
  <c r="M8" i="8"/>
  <c r="K8" i="8"/>
  <c r="J8" i="8"/>
  <c r="H8" i="8"/>
  <c r="AA62" i="7"/>
  <c r="Y62" i="7"/>
  <c r="W62" i="7"/>
  <c r="U62" i="7"/>
  <c r="S62" i="7"/>
  <c r="Q62" i="7"/>
  <c r="P62" i="7"/>
  <c r="M62" i="7"/>
  <c r="K62" i="7"/>
  <c r="I62" i="7"/>
  <c r="H62" i="7"/>
  <c r="D62" i="7"/>
  <c r="AB61" i="7"/>
  <c r="AA61" i="7"/>
  <c r="Z61" i="7"/>
  <c r="X61" i="7"/>
  <c r="V61" i="7"/>
  <c r="T61" i="7"/>
  <c r="S61" i="7"/>
  <c r="Q61" i="7"/>
  <c r="P61" i="7"/>
  <c r="N61" i="7"/>
  <c r="L61" i="7"/>
  <c r="J61" i="7"/>
  <c r="H61" i="7"/>
  <c r="D61" i="7"/>
  <c r="W60" i="7"/>
  <c r="U60" i="7"/>
  <c r="S60" i="7"/>
  <c r="Q60" i="7"/>
  <c r="O60" i="7"/>
  <c r="M60" i="7"/>
  <c r="L60" i="7"/>
  <c r="J60" i="7"/>
  <c r="H60" i="7"/>
  <c r="G60" i="7"/>
  <c r="X59" i="7"/>
  <c r="V59" i="7"/>
  <c r="U59" i="7"/>
  <c r="S59" i="7"/>
  <c r="Q59" i="7"/>
  <c r="P59" i="7"/>
  <c r="N59" i="7"/>
  <c r="M59" i="7"/>
  <c r="K59" i="7"/>
  <c r="I59" i="7"/>
  <c r="H59" i="7"/>
  <c r="D59" i="7"/>
  <c r="AB58" i="7"/>
  <c r="AA58" i="7"/>
  <c r="Z58" i="7"/>
  <c r="X58" i="7"/>
  <c r="V58" i="7"/>
  <c r="T58" i="7"/>
  <c r="S58" i="7"/>
  <c r="Q58" i="7"/>
  <c r="O58" i="7"/>
  <c r="L58" i="7"/>
  <c r="J58" i="7"/>
  <c r="H58" i="7"/>
  <c r="W57" i="7"/>
  <c r="U57" i="7"/>
  <c r="T57" i="7"/>
  <c r="R57" i="7"/>
  <c r="P57" i="7"/>
  <c r="N57" i="7"/>
  <c r="L57" i="7"/>
  <c r="J57" i="7"/>
  <c r="G57" i="7"/>
  <c r="D57" i="7"/>
  <c r="AA56" i="7"/>
  <c r="X56" i="7"/>
  <c r="W56" i="7"/>
  <c r="T56" i="7"/>
  <c r="R56" i="7"/>
  <c r="Q56" i="7"/>
  <c r="N56" i="7"/>
  <c r="M56" i="7"/>
  <c r="K56" i="7"/>
  <c r="I56" i="7"/>
  <c r="H56" i="7"/>
  <c r="D56" i="7"/>
  <c r="X55" i="7"/>
  <c r="U55" i="7"/>
  <c r="S55" i="7"/>
  <c r="Q55" i="7"/>
  <c r="O55" i="7"/>
  <c r="M55" i="7"/>
  <c r="L55" i="7"/>
  <c r="Z43" i="7"/>
  <c r="W43" i="7"/>
  <c r="T43" i="7"/>
  <c r="R43" i="7"/>
  <c r="P43" i="7"/>
  <c r="N43" i="7"/>
  <c r="K43" i="7"/>
  <c r="I43" i="7"/>
  <c r="G43" i="7"/>
  <c r="Y42" i="7"/>
  <c r="W42" i="7"/>
  <c r="U42" i="7"/>
  <c r="S42" i="7"/>
  <c r="R42" i="7"/>
  <c r="P42" i="7"/>
  <c r="M42" i="7"/>
  <c r="K42" i="7"/>
  <c r="I42" i="7"/>
  <c r="G42" i="7"/>
  <c r="Y41" i="7"/>
  <c r="X41" i="7"/>
  <c r="V41" i="7"/>
  <c r="T41" i="7"/>
  <c r="R41" i="7"/>
  <c r="P41" i="7"/>
  <c r="M41" i="7"/>
  <c r="K41" i="7"/>
  <c r="I41" i="7"/>
  <c r="D41" i="7"/>
  <c r="AB40" i="7"/>
  <c r="AA40" i="7"/>
  <c r="Z40" i="7"/>
  <c r="Y40" i="7"/>
  <c r="W40" i="7"/>
  <c r="V40" i="7"/>
  <c r="T40" i="7"/>
  <c r="Q40" i="7"/>
  <c r="O40" i="7"/>
  <c r="N40" i="7"/>
  <c r="L40" i="7"/>
  <c r="J40" i="7"/>
  <c r="H40" i="7"/>
  <c r="D40" i="7"/>
  <c r="AB39" i="7"/>
  <c r="AA39" i="7"/>
  <c r="Y39" i="7"/>
  <c r="X39" i="7"/>
  <c r="V39" i="7"/>
  <c r="U39" i="7"/>
  <c r="S39" i="7"/>
  <c r="R39" i="7"/>
  <c r="P39" i="7"/>
  <c r="N39" i="7"/>
  <c r="L39" i="7"/>
  <c r="J39" i="7"/>
  <c r="H39" i="7"/>
  <c r="W38" i="7"/>
  <c r="T38" i="7"/>
  <c r="S38" i="7"/>
  <c r="P38" i="7"/>
  <c r="N38" i="7"/>
  <c r="L38" i="7"/>
  <c r="J38" i="7"/>
  <c r="H38" i="7"/>
  <c r="Y37" i="7"/>
  <c r="W37" i="7"/>
  <c r="T37" i="7"/>
  <c r="R37" i="7"/>
  <c r="P37" i="7"/>
  <c r="N37" i="7"/>
  <c r="L37" i="7"/>
  <c r="I37" i="7"/>
  <c r="D37" i="7"/>
  <c r="AB36" i="7"/>
  <c r="AA36" i="7"/>
  <c r="Z36" i="7"/>
  <c r="Y36" i="7"/>
  <c r="X36" i="7"/>
  <c r="V36" i="7"/>
  <c r="U36" i="7"/>
  <c r="S36" i="7"/>
  <c r="Q36" i="7"/>
  <c r="O36" i="7"/>
  <c r="N36" i="7"/>
  <c r="L36" i="7"/>
  <c r="J36" i="7"/>
  <c r="H36" i="7"/>
  <c r="D36" i="7"/>
  <c r="AB35" i="7"/>
  <c r="AA35" i="7"/>
  <c r="Y35" i="7"/>
  <c r="W35" i="7"/>
  <c r="T35" i="7"/>
  <c r="Q35" i="7"/>
  <c r="N35" i="7"/>
  <c r="L35" i="7"/>
  <c r="J35" i="7"/>
  <c r="H35" i="7"/>
  <c r="D35" i="7"/>
  <c r="AB34" i="7"/>
  <c r="AA34" i="7"/>
  <c r="Z34" i="7"/>
  <c r="Y34" i="7"/>
  <c r="X34" i="7"/>
  <c r="W34" i="7"/>
  <c r="V34" i="7"/>
  <c r="U34" i="7"/>
  <c r="S34" i="7"/>
  <c r="R34" i="7"/>
  <c r="P34" i="7"/>
  <c r="O34" i="7"/>
  <c r="M34" i="7"/>
  <c r="J34" i="7"/>
  <c r="I34" i="7"/>
  <c r="G34" i="7"/>
  <c r="V33" i="7"/>
  <c r="U33" i="7"/>
  <c r="R33" i="7"/>
  <c r="P33" i="7"/>
  <c r="N33" i="7"/>
  <c r="L33" i="7"/>
  <c r="J33" i="7"/>
  <c r="H33" i="7"/>
  <c r="Y32" i="7"/>
  <c r="V32" i="7"/>
  <c r="T32" i="7"/>
  <c r="S32" i="7"/>
  <c r="Q32" i="7"/>
  <c r="O32" i="7"/>
  <c r="N32" i="7"/>
  <c r="M32" i="7"/>
  <c r="L32" i="7"/>
  <c r="K32" i="7"/>
  <c r="J32" i="7"/>
  <c r="I32" i="7"/>
  <c r="H32" i="7"/>
  <c r="G32" i="7"/>
  <c r="D32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D31" i="7"/>
  <c r="Y30" i="7"/>
  <c r="W30" i="7"/>
  <c r="U30" i="7"/>
  <c r="S30" i="7"/>
  <c r="Q30" i="7"/>
  <c r="O30" i="7"/>
  <c r="N30" i="7"/>
  <c r="L30" i="7"/>
  <c r="K30" i="7"/>
  <c r="I30" i="7"/>
  <c r="G30" i="7"/>
  <c r="AB29" i="7"/>
  <c r="AA29" i="7"/>
  <c r="Z29" i="7"/>
  <c r="X29" i="7"/>
  <c r="V29" i="7"/>
  <c r="S29" i="7"/>
  <c r="Q29" i="7"/>
  <c r="O29" i="7"/>
  <c r="N29" i="7"/>
  <c r="L29" i="7"/>
  <c r="J29" i="7"/>
  <c r="H29" i="7"/>
  <c r="D29" i="7"/>
  <c r="Y28" i="7"/>
  <c r="W28" i="7"/>
  <c r="U28" i="7"/>
  <c r="R28" i="7"/>
  <c r="Q28" i="7"/>
  <c r="O28" i="7"/>
  <c r="M28" i="7"/>
  <c r="K28" i="7"/>
  <c r="J28" i="7"/>
  <c r="H28" i="7"/>
  <c r="D28" i="7"/>
  <c r="AB27" i="7"/>
  <c r="AA27" i="7"/>
  <c r="Z27" i="7"/>
  <c r="Y27" i="7"/>
  <c r="X27" i="7"/>
  <c r="W27" i="7"/>
  <c r="U27" i="7"/>
  <c r="S27" i="7"/>
  <c r="R27" i="7"/>
  <c r="P27" i="7"/>
  <c r="N27" i="7"/>
  <c r="L27" i="7"/>
  <c r="J27" i="7"/>
  <c r="I27" i="7"/>
  <c r="D27" i="7"/>
  <c r="AA24" i="7"/>
  <c r="Y24" i="7"/>
  <c r="W24" i="7"/>
  <c r="R24" i="7"/>
  <c r="P24" i="7"/>
  <c r="J24" i="7"/>
  <c r="H24" i="7"/>
  <c r="AB23" i="7"/>
  <c r="L23" i="7"/>
  <c r="J23" i="7"/>
  <c r="G23" i="7"/>
  <c r="Z22" i="7"/>
  <c r="X22" i="7"/>
  <c r="V22" i="7"/>
  <c r="T22" i="7"/>
  <c r="R22" i="7"/>
  <c r="P22" i="7"/>
  <c r="N22" i="7"/>
  <c r="D22" i="7"/>
  <c r="S21" i="7"/>
  <c r="K21" i="7"/>
  <c r="G21" i="7"/>
  <c r="W20" i="7"/>
  <c r="U20" i="7"/>
  <c r="R20" i="7"/>
  <c r="Q20" i="7"/>
  <c r="L20" i="7"/>
  <c r="G20" i="7"/>
  <c r="AB19" i="7"/>
  <c r="W19" i="7"/>
  <c r="T19" i="7"/>
  <c r="P19" i="7"/>
  <c r="M19" i="7"/>
  <c r="K19" i="7"/>
  <c r="H19" i="7"/>
  <c r="D19" i="7"/>
  <c r="AA18" i="7"/>
  <c r="Y18" i="7"/>
  <c r="X18" i="7"/>
  <c r="U18" i="7"/>
  <c r="R18" i="7"/>
  <c r="Q18" i="7"/>
  <c r="P18" i="7"/>
  <c r="N18" i="7"/>
  <c r="L18" i="7"/>
  <c r="G18" i="7"/>
  <c r="Y17" i="7"/>
  <c r="S17" i="7"/>
  <c r="M17" i="7"/>
  <c r="K17" i="7"/>
  <c r="G17" i="7"/>
  <c r="AA16" i="7"/>
  <c r="Y16" i="7"/>
  <c r="W16" i="7"/>
  <c r="T16" i="7"/>
  <c r="R16" i="7"/>
  <c r="P16" i="7"/>
  <c r="N16" i="7"/>
  <c r="J16" i="7"/>
  <c r="D16" i="7"/>
  <c r="AA15" i="7"/>
  <c r="Y15" i="7"/>
  <c r="W15" i="7"/>
  <c r="U15" i="7"/>
  <c r="Q15" i="7"/>
  <c r="L15" i="7"/>
  <c r="H15" i="7"/>
  <c r="Z14" i="7"/>
  <c r="X14" i="7"/>
  <c r="U14" i="7"/>
  <c r="R14" i="7"/>
  <c r="O14" i="7"/>
  <c r="K14" i="7"/>
  <c r="H14" i="7"/>
  <c r="D14" i="7"/>
  <c r="AB13" i="7"/>
  <c r="X13" i="7"/>
  <c r="U13" i="7"/>
  <c r="N13" i="7"/>
  <c r="K13" i="7"/>
  <c r="H13" i="7"/>
  <c r="AA12" i="7"/>
  <c r="Y12" i="7"/>
  <c r="V12" i="7"/>
  <c r="N12" i="7"/>
  <c r="L12" i="7"/>
  <c r="H12" i="7"/>
  <c r="V11" i="7"/>
  <c r="N11" i="7"/>
  <c r="K11" i="7"/>
  <c r="I11" i="7"/>
  <c r="G11" i="7"/>
  <c r="W10" i="7"/>
  <c r="S10" i="7"/>
  <c r="P10" i="7"/>
  <c r="L10" i="7"/>
  <c r="AA9" i="7"/>
  <c r="X9" i="7"/>
  <c r="S9" i="7"/>
  <c r="M9" i="7"/>
  <c r="K9" i="7"/>
  <c r="D9" i="7"/>
  <c r="AA8" i="7"/>
  <c r="Y8" i="7"/>
  <c r="V8" i="7"/>
  <c r="S8" i="7"/>
  <c r="J8" i="7"/>
  <c r="G8" i="7"/>
  <c r="S48" i="6"/>
  <c r="L48" i="6"/>
  <c r="I48" i="6"/>
  <c r="N47" i="6"/>
  <c r="H47" i="6"/>
  <c r="T46" i="6"/>
  <c r="Q46" i="6"/>
  <c r="M46" i="6"/>
  <c r="J46" i="6"/>
  <c r="G46" i="6"/>
  <c r="AB45" i="6"/>
  <c r="Z45" i="6"/>
  <c r="X45" i="6"/>
  <c r="U45" i="6"/>
  <c r="S45" i="6"/>
  <c r="P45" i="6"/>
  <c r="L45" i="6"/>
  <c r="AB43" i="6"/>
  <c r="Y43" i="6"/>
  <c r="W43" i="6"/>
  <c r="U43" i="6"/>
  <c r="P43" i="6"/>
  <c r="N43" i="6"/>
  <c r="K43" i="6"/>
  <c r="D43" i="6"/>
  <c r="Z42" i="6"/>
  <c r="W42" i="6"/>
  <c r="P42" i="6"/>
  <c r="N42" i="6"/>
  <c r="H42" i="6"/>
  <c r="AA41" i="6"/>
  <c r="Y41" i="6"/>
  <c r="T41" i="6"/>
  <c r="O41" i="6"/>
  <c r="H41" i="6"/>
  <c r="T40" i="6"/>
  <c r="Q40" i="6"/>
  <c r="N40" i="6"/>
  <c r="K40" i="6"/>
  <c r="AA39" i="6"/>
  <c r="Y39" i="6"/>
  <c r="U39" i="6"/>
  <c r="P39" i="6"/>
  <c r="M39" i="6"/>
  <c r="J39" i="6"/>
  <c r="I39" i="6"/>
  <c r="D39" i="6"/>
  <c r="AB38" i="6"/>
  <c r="X38" i="6"/>
  <c r="N38" i="6"/>
  <c r="K38" i="6"/>
  <c r="D38" i="6"/>
  <c r="Z37" i="6"/>
  <c r="X37" i="6"/>
  <c r="U37" i="6"/>
  <c r="P37" i="6"/>
  <c r="J37" i="6"/>
  <c r="H37" i="6"/>
  <c r="Z36" i="6"/>
  <c r="V36" i="6"/>
  <c r="T36" i="6"/>
  <c r="P36" i="6"/>
  <c r="K36" i="6"/>
  <c r="AB35" i="6"/>
  <c r="Z35" i="6"/>
  <c r="V35" i="6"/>
  <c r="T35" i="6"/>
  <c r="Q35" i="6"/>
  <c r="N35" i="6"/>
  <c r="L35" i="6"/>
  <c r="I35" i="6"/>
  <c r="D35" i="6"/>
  <c r="AA34" i="6"/>
  <c r="Y34" i="6"/>
  <c r="W34" i="6"/>
  <c r="U34" i="6"/>
  <c r="S34" i="6"/>
  <c r="R34" i="6"/>
  <c r="Q34" i="6"/>
  <c r="I34" i="6"/>
  <c r="AB33" i="6"/>
  <c r="Y33" i="6"/>
  <c r="X33" i="6"/>
  <c r="V33" i="6"/>
  <c r="U33" i="6"/>
  <c r="S33" i="6"/>
  <c r="L33" i="6"/>
  <c r="H33" i="6"/>
  <c r="W32" i="6"/>
  <c r="T32" i="6"/>
  <c r="Q32" i="6"/>
  <c r="J32" i="6"/>
  <c r="AB31" i="6"/>
  <c r="Z31" i="6"/>
  <c r="X31" i="6"/>
  <c r="T31" i="6"/>
  <c r="K31" i="6"/>
  <c r="AB30" i="6"/>
  <c r="Y30" i="6"/>
  <c r="V30" i="6"/>
  <c r="R30" i="6"/>
  <c r="O30" i="6"/>
  <c r="L30" i="6"/>
  <c r="H30" i="6"/>
  <c r="AB29" i="6"/>
  <c r="Z29" i="6"/>
  <c r="Y29" i="6"/>
  <c r="V29" i="6"/>
  <c r="T29" i="6"/>
  <c r="Q29" i="6"/>
  <c r="O29" i="6"/>
  <c r="L29" i="6"/>
  <c r="J29" i="6"/>
  <c r="AB28" i="6"/>
  <c r="Z28" i="6"/>
  <c r="Y28" i="6"/>
  <c r="W28" i="6"/>
  <c r="T28" i="6"/>
  <c r="Q28" i="6"/>
  <c r="O28" i="6"/>
  <c r="L28" i="6"/>
  <c r="H28" i="6"/>
  <c r="S27" i="6"/>
  <c r="K27" i="6"/>
  <c r="I27" i="6"/>
  <c r="D27" i="6"/>
  <c r="AB24" i="6"/>
  <c r="AA24" i="6"/>
  <c r="Y24" i="6"/>
  <c r="W24" i="6"/>
  <c r="U24" i="6"/>
  <c r="S24" i="6"/>
  <c r="P24" i="6"/>
  <c r="L24" i="6"/>
  <c r="I24" i="6"/>
  <c r="H24" i="6"/>
  <c r="H23" i="6"/>
  <c r="D23" i="6"/>
  <c r="AB22" i="6"/>
  <c r="Z22" i="6"/>
  <c r="X22" i="6"/>
  <c r="T22" i="6"/>
  <c r="Q22" i="6"/>
  <c r="O22" i="6"/>
  <c r="L22" i="6"/>
  <c r="K22" i="6"/>
  <c r="H22" i="6"/>
  <c r="AB21" i="6"/>
  <c r="Z21" i="6"/>
  <c r="T21" i="6"/>
  <c r="R21" i="6"/>
  <c r="O21" i="6"/>
  <c r="K21" i="6"/>
  <c r="H21" i="6"/>
  <c r="D21" i="6"/>
  <c r="AB20" i="6"/>
  <c r="Z20" i="6"/>
  <c r="W20" i="6"/>
  <c r="U20" i="6"/>
  <c r="Q20" i="6"/>
  <c r="O20" i="6"/>
  <c r="M20" i="6"/>
  <c r="K20" i="6"/>
  <c r="H20" i="6"/>
  <c r="V19" i="6"/>
  <c r="T19" i="6"/>
  <c r="R19" i="6"/>
  <c r="P19" i="6"/>
  <c r="N19" i="6"/>
  <c r="L19" i="6"/>
  <c r="J19" i="6"/>
  <c r="H19" i="6"/>
  <c r="G19" i="6"/>
  <c r="X18" i="6"/>
  <c r="T18" i="6"/>
  <c r="P18" i="6"/>
  <c r="M18" i="6"/>
  <c r="K18" i="6"/>
  <c r="H18" i="6"/>
  <c r="S17" i="6"/>
  <c r="P17" i="6"/>
  <c r="L17" i="6"/>
  <c r="H17" i="6"/>
  <c r="D17" i="6"/>
  <c r="AA16" i="6"/>
  <c r="Y16" i="6"/>
  <c r="X16" i="6"/>
  <c r="U16" i="6"/>
  <c r="S16" i="6"/>
  <c r="P16" i="6"/>
  <c r="L16" i="6"/>
  <c r="D16" i="6"/>
  <c r="AB15" i="6"/>
  <c r="Z15" i="6"/>
  <c r="Y15" i="6"/>
  <c r="W15" i="6"/>
  <c r="U15" i="6"/>
  <c r="Q15" i="6"/>
  <c r="N15" i="6"/>
  <c r="J15" i="6"/>
  <c r="G15" i="6"/>
  <c r="V14" i="6"/>
  <c r="R14" i="6"/>
  <c r="P14" i="6"/>
  <c r="J14" i="6"/>
  <c r="G14" i="6"/>
  <c r="AB13" i="6"/>
  <c r="Z13" i="6"/>
  <c r="V13" i="6"/>
  <c r="S13" i="6"/>
  <c r="O13" i="6"/>
  <c r="L13" i="6"/>
  <c r="I13" i="6"/>
  <c r="AB12" i="6"/>
  <c r="Z12" i="6"/>
  <c r="U12" i="6"/>
  <c r="S12" i="6"/>
  <c r="P12" i="6"/>
  <c r="O12" i="6"/>
  <c r="L12" i="6"/>
  <c r="J12" i="6"/>
  <c r="G12" i="6"/>
  <c r="AB11" i="6"/>
  <c r="Z11" i="6"/>
  <c r="X11" i="6"/>
  <c r="W11" i="6"/>
  <c r="S11" i="6"/>
  <c r="O11" i="6"/>
  <c r="L11" i="6"/>
  <c r="I11" i="6"/>
  <c r="V10" i="6"/>
  <c r="S10" i="6"/>
  <c r="Q10" i="6"/>
  <c r="O10" i="6"/>
  <c r="N10" i="6"/>
  <c r="L10" i="6"/>
  <c r="J10" i="6"/>
  <c r="H10" i="6"/>
  <c r="D10" i="6"/>
  <c r="AB9" i="6"/>
  <c r="AA9" i="6"/>
  <c r="Z9" i="6"/>
  <c r="Y9" i="6"/>
  <c r="W9" i="6"/>
  <c r="U9" i="6"/>
  <c r="S9" i="6"/>
  <c r="P9" i="6"/>
  <c r="O9" i="6"/>
  <c r="L9" i="6"/>
  <c r="I9" i="6"/>
  <c r="G9" i="6"/>
  <c r="V8" i="6"/>
  <c r="S8" i="6"/>
  <c r="Q8" i="6"/>
  <c r="N8" i="6"/>
  <c r="J8" i="6"/>
  <c r="D8" i="6"/>
  <c r="Z62" i="5"/>
  <c r="X62" i="5"/>
  <c r="V62" i="5"/>
  <c r="S62" i="5"/>
  <c r="Q62" i="5"/>
  <c r="O62" i="5"/>
  <c r="L62" i="5"/>
  <c r="H62" i="5"/>
  <c r="AB61" i="5"/>
  <c r="Z61" i="5"/>
  <c r="Y61" i="5"/>
  <c r="R61" i="5"/>
  <c r="N61" i="5"/>
  <c r="K61" i="5"/>
  <c r="I61" i="5"/>
  <c r="AA60" i="5"/>
  <c r="Z60" i="5"/>
  <c r="X60" i="5"/>
  <c r="U60" i="5"/>
  <c r="R60" i="5"/>
  <c r="Q60" i="5"/>
  <c r="L60" i="5"/>
  <c r="H60" i="5"/>
  <c r="V59" i="5"/>
  <c r="S59" i="5"/>
  <c r="Q59" i="5"/>
  <c r="K59" i="5"/>
  <c r="H59" i="5"/>
  <c r="W58" i="5"/>
  <c r="U58" i="5"/>
  <c r="L58" i="5"/>
  <c r="I58" i="5"/>
  <c r="D58" i="5"/>
  <c r="AA57" i="5"/>
  <c r="X57" i="5"/>
  <c r="U57" i="5"/>
  <c r="P57" i="5"/>
  <c r="N57" i="5"/>
  <c r="K57" i="5"/>
  <c r="I57" i="5"/>
  <c r="D57" i="5"/>
  <c r="AB56" i="5"/>
  <c r="Z56" i="5"/>
  <c r="X56" i="5"/>
  <c r="V56" i="5"/>
  <c r="R56" i="5"/>
  <c r="N56" i="5"/>
  <c r="J56" i="5"/>
  <c r="G56" i="5"/>
  <c r="AA55" i="5"/>
  <c r="X55" i="5"/>
  <c r="S55" i="5"/>
  <c r="O55" i="5"/>
  <c r="M55" i="5"/>
  <c r="D55" i="5"/>
  <c r="Z54" i="5"/>
  <c r="W54" i="5"/>
  <c r="S54" i="5"/>
  <c r="P54" i="5"/>
  <c r="O54" i="5"/>
  <c r="K54" i="5"/>
  <c r="H54" i="5"/>
  <c r="AA53" i="5"/>
  <c r="X53" i="5"/>
  <c r="R53" i="5"/>
  <c r="K53" i="5"/>
  <c r="D53" i="5"/>
  <c r="AA52" i="5"/>
  <c r="X52" i="5"/>
  <c r="V52" i="5"/>
  <c r="U52" i="5"/>
  <c r="Q52" i="5"/>
  <c r="N52" i="5"/>
  <c r="J52" i="5"/>
  <c r="Z51" i="5"/>
  <c r="X51" i="5"/>
  <c r="V51" i="5"/>
  <c r="T51" i="5"/>
  <c r="P51" i="5"/>
  <c r="L51" i="5"/>
  <c r="J51" i="5"/>
  <c r="G51" i="5"/>
  <c r="AA50" i="5"/>
  <c r="Y50" i="5"/>
  <c r="W50" i="5"/>
  <c r="P50" i="5"/>
  <c r="L50" i="5"/>
  <c r="H50" i="5"/>
  <c r="AB49" i="5"/>
  <c r="Z49" i="5"/>
  <c r="W49" i="5"/>
  <c r="T49" i="5"/>
  <c r="Q49" i="5"/>
  <c r="N49" i="5"/>
  <c r="H49" i="5"/>
  <c r="S48" i="5"/>
  <c r="N48" i="5"/>
  <c r="K48" i="5"/>
  <c r="D48" i="5"/>
  <c r="AA47" i="5"/>
  <c r="W47" i="5"/>
  <c r="S47" i="5"/>
  <c r="N47" i="5"/>
  <c r="I47" i="5"/>
  <c r="AB46" i="5"/>
  <c r="Z46" i="5"/>
  <c r="Y46" i="5"/>
  <c r="W46" i="5"/>
  <c r="U46" i="5"/>
  <c r="P46" i="5"/>
  <c r="M46" i="5"/>
  <c r="J46" i="5"/>
  <c r="I46" i="5"/>
  <c r="D46" i="5"/>
  <c r="AA45" i="5"/>
  <c r="Y45" i="5"/>
  <c r="V45" i="5"/>
  <c r="S45" i="5"/>
  <c r="N45" i="5"/>
  <c r="J45" i="5"/>
  <c r="H45" i="5"/>
  <c r="G45" i="5"/>
  <c r="AA43" i="5"/>
  <c r="Y43" i="5"/>
  <c r="W43" i="5"/>
  <c r="U43" i="5"/>
  <c r="S43" i="5"/>
  <c r="N43" i="5"/>
  <c r="L43" i="5"/>
  <c r="J43" i="5"/>
  <c r="G43" i="5"/>
  <c r="AB42" i="5"/>
  <c r="Z42" i="5"/>
  <c r="Y42" i="5"/>
  <c r="U42" i="5"/>
  <c r="P42" i="5"/>
  <c r="N42" i="5"/>
  <c r="L42" i="5"/>
  <c r="J42" i="5"/>
  <c r="H42" i="5"/>
  <c r="D42" i="5"/>
  <c r="AB41" i="5"/>
  <c r="Z41" i="5"/>
  <c r="X41" i="5"/>
  <c r="V41" i="5"/>
  <c r="T41" i="5"/>
  <c r="R41" i="5"/>
  <c r="O41" i="5"/>
  <c r="N41" i="5"/>
  <c r="L41" i="5"/>
  <c r="J41" i="5"/>
  <c r="G41" i="5"/>
  <c r="AB40" i="5"/>
  <c r="Z40" i="5"/>
  <c r="X40" i="5"/>
  <c r="V40" i="5"/>
  <c r="U40" i="5"/>
  <c r="S40" i="5"/>
  <c r="N40" i="5"/>
  <c r="K40" i="5"/>
  <c r="I40" i="5"/>
  <c r="P39" i="5"/>
  <c r="L39" i="5"/>
  <c r="G39" i="5"/>
  <c r="Z38" i="5"/>
  <c r="W38" i="5"/>
  <c r="S38" i="5"/>
  <c r="Q38" i="5"/>
  <c r="J38" i="5"/>
  <c r="H38" i="5"/>
  <c r="U37" i="5"/>
  <c r="Q37" i="5"/>
  <c r="N37" i="5"/>
  <c r="G37" i="5"/>
  <c r="AB36" i="5"/>
  <c r="X36" i="5"/>
  <c r="U36" i="5"/>
  <c r="P36" i="5"/>
  <c r="J36" i="5"/>
  <c r="W35" i="5"/>
  <c r="T35" i="5"/>
  <c r="Q35" i="5"/>
  <c r="N35" i="5"/>
  <c r="K35" i="5"/>
  <c r="I35" i="5"/>
  <c r="D35" i="5"/>
  <c r="Z34" i="5"/>
  <c r="W34" i="5"/>
  <c r="Q34" i="5"/>
  <c r="O34" i="5"/>
  <c r="K34" i="5"/>
  <c r="H34" i="5"/>
  <c r="W33" i="5"/>
  <c r="S33" i="5"/>
  <c r="O33" i="5"/>
  <c r="J33" i="5"/>
  <c r="AA31" i="5"/>
  <c r="V31" i="5"/>
  <c r="T31" i="5"/>
  <c r="P31" i="5"/>
  <c r="H31" i="5"/>
  <c r="D31" i="5"/>
  <c r="Z30" i="5"/>
  <c r="X30" i="5"/>
  <c r="W30" i="5"/>
  <c r="Q30" i="5"/>
  <c r="L30" i="5"/>
  <c r="D30" i="5"/>
  <c r="Y29" i="5"/>
  <c r="W29" i="5"/>
  <c r="T29" i="5"/>
  <c r="R29" i="5"/>
  <c r="N29" i="5"/>
  <c r="J29" i="5"/>
  <c r="G29" i="5"/>
  <c r="AB28" i="5"/>
  <c r="AA28" i="5"/>
  <c r="Y28" i="5"/>
  <c r="W28" i="5"/>
  <c r="T28" i="5"/>
  <c r="Q28" i="5"/>
  <c r="M28" i="5"/>
  <c r="I28" i="5"/>
  <c r="I27" i="5"/>
  <c r="D27" i="5"/>
  <c r="V24" i="5"/>
  <c r="N24" i="5"/>
  <c r="L24" i="5"/>
  <c r="D24" i="5"/>
  <c r="AA23" i="5"/>
  <c r="X23" i="5"/>
  <c r="S23" i="5"/>
  <c r="P23" i="5"/>
  <c r="M23" i="5"/>
  <c r="K23" i="5"/>
  <c r="G23" i="5"/>
  <c r="AA22" i="5"/>
  <c r="X22" i="5"/>
  <c r="V22" i="5"/>
  <c r="T22" i="5"/>
  <c r="P22" i="5"/>
  <c r="K22" i="5"/>
  <c r="D22" i="5"/>
  <c r="AA21" i="5"/>
  <c r="Y21" i="5"/>
  <c r="U21" i="5"/>
  <c r="N21" i="5"/>
  <c r="K21" i="5"/>
  <c r="G21" i="5"/>
  <c r="U20" i="5"/>
  <c r="R20" i="5"/>
  <c r="P20" i="5"/>
  <c r="N20" i="5"/>
  <c r="K20" i="5"/>
  <c r="G20" i="5"/>
  <c r="AB19" i="5"/>
  <c r="Z19" i="5"/>
  <c r="Y19" i="5"/>
  <c r="W19" i="5"/>
  <c r="U19" i="5"/>
  <c r="T19" i="5"/>
  <c r="R19" i="5"/>
  <c r="Q19" i="5"/>
  <c r="N19" i="5"/>
  <c r="L19" i="5"/>
  <c r="I19" i="5"/>
  <c r="G19" i="5"/>
  <c r="AB18" i="5"/>
  <c r="Z18" i="5"/>
  <c r="X18" i="5"/>
  <c r="V18" i="5"/>
  <c r="R18" i="5"/>
  <c r="Q18" i="5"/>
  <c r="M18" i="5"/>
  <c r="K18" i="5"/>
  <c r="H18" i="5"/>
  <c r="D18" i="5"/>
  <c r="AB17" i="5"/>
  <c r="AA17" i="5"/>
  <c r="X17" i="5"/>
  <c r="V17" i="5"/>
  <c r="T17" i="5"/>
  <c r="O17" i="5"/>
  <c r="M17" i="5"/>
  <c r="K17" i="5"/>
  <c r="H17" i="5"/>
  <c r="D17" i="5"/>
  <c r="AB16" i="5"/>
  <c r="Z16" i="5"/>
  <c r="X16" i="5"/>
  <c r="T16" i="5"/>
  <c r="Q16" i="5"/>
  <c r="N16" i="5"/>
  <c r="J16" i="5"/>
  <c r="H16" i="5"/>
  <c r="V15" i="5"/>
  <c r="T15" i="5"/>
  <c r="R15" i="5"/>
  <c r="L15" i="5"/>
  <c r="H15" i="5"/>
  <c r="D15" i="5"/>
  <c r="AB14" i="5"/>
  <c r="AA14" i="5"/>
  <c r="Z14" i="5"/>
  <c r="Y14" i="5"/>
  <c r="X14" i="5"/>
  <c r="V14" i="5"/>
  <c r="P14" i="5"/>
  <c r="M14" i="5"/>
  <c r="K14" i="5"/>
  <c r="I14" i="5"/>
  <c r="G14" i="5"/>
  <c r="AA13" i="5"/>
  <c r="Z13" i="5"/>
  <c r="V13" i="5"/>
  <c r="T13" i="5"/>
  <c r="Q13" i="5"/>
  <c r="O13" i="5"/>
  <c r="M13" i="5"/>
  <c r="H13" i="5"/>
  <c r="T12" i="5"/>
  <c r="Q12" i="5"/>
  <c r="P12" i="5"/>
  <c r="L12" i="5"/>
  <c r="I12" i="5"/>
  <c r="D12" i="5"/>
  <c r="AA11" i="5"/>
  <c r="W11" i="5"/>
  <c r="U11" i="5"/>
  <c r="R11" i="5"/>
  <c r="J11" i="5"/>
  <c r="G11" i="5"/>
  <c r="X10" i="5"/>
  <c r="N10" i="5"/>
  <c r="V9" i="5"/>
  <c r="S9" i="5"/>
  <c r="Q9" i="5"/>
  <c r="N9" i="5"/>
  <c r="K9" i="5"/>
  <c r="AB8" i="5"/>
  <c r="X8" i="5"/>
  <c r="V8" i="5"/>
  <c r="L8" i="5"/>
  <c r="H8" i="5"/>
  <c r="R32" i="5"/>
  <c r="Q32" i="5"/>
  <c r="P32" i="5"/>
  <c r="O32" i="5"/>
  <c r="N32" i="5"/>
  <c r="M32" i="5"/>
  <c r="L32" i="5"/>
  <c r="K32" i="5"/>
  <c r="J32" i="5"/>
  <c r="I32" i="5"/>
  <c r="H32" i="5"/>
  <c r="G32" i="5"/>
  <c r="D3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D62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D61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D60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D59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D58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D57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D56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D55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D54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D53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D52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D51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D50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D49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D48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D47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D46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D43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D42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D41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D40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D39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D38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D37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D36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D35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D34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D33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D32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D31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D30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D29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D28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D27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D24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D23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D22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D21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D20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D19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D18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D17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D16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D15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D14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D13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D12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D11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D10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D9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D8" i="4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D62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D61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D60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D59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D58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D57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D56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D55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D54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D53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D52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D51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D50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D49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D48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D47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D46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D43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D42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D41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D40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D39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D38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D37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D36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D35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D34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D33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D32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D31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D30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D29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D28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D27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D24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D23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D22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D21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D20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D19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D18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D17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D16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D15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D14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D13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D12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D11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D10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D9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D8" i="3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62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61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60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59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58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57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56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55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54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53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52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51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50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49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48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47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46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43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42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41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40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D39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D38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D37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D36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35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D34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D33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D32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D31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D30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D29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D28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D27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D24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D23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D22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D21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D20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D19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D18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D17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D16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D15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D14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D13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D12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D11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D10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D9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D8" i="2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D62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D61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D60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D59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D58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D57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D56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D55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D54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D53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D52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D51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D50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D49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D48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D47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D46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D43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D42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D41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D40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D39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D38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D37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D36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D35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D34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D33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D32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D31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D30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D29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D28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D27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D24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D23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D22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D21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D20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D19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D18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D17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D16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D15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D14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D13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D12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D11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D10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D9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D8" i="1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D61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G60" i="12"/>
  <c r="D60" i="12"/>
  <c r="AB59" i="12"/>
  <c r="AA59" i="12"/>
  <c r="Z59" i="12"/>
  <c r="Y59" i="12"/>
  <c r="X59" i="12"/>
  <c r="W59" i="12"/>
  <c r="V59" i="12"/>
  <c r="U59" i="12"/>
  <c r="T59" i="12"/>
  <c r="S59" i="12"/>
  <c r="R59" i="12"/>
  <c r="Q59" i="12"/>
  <c r="P59" i="12"/>
  <c r="O59" i="12"/>
  <c r="N59" i="12"/>
  <c r="M59" i="12"/>
  <c r="L59" i="12"/>
  <c r="K59" i="12"/>
  <c r="J59" i="12"/>
  <c r="I59" i="12"/>
  <c r="H59" i="12"/>
  <c r="G59" i="12"/>
  <c r="D59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D58" i="12"/>
  <c r="AB57" i="12"/>
  <c r="AA57" i="12"/>
  <c r="Z57" i="12"/>
  <c r="Y57" i="12"/>
  <c r="X57" i="12"/>
  <c r="W57" i="12"/>
  <c r="V57" i="12"/>
  <c r="U57" i="12"/>
  <c r="T57" i="12"/>
  <c r="S57" i="12"/>
  <c r="R57" i="12"/>
  <c r="Q57" i="12"/>
  <c r="P57" i="12"/>
  <c r="O57" i="12"/>
  <c r="N57" i="12"/>
  <c r="M57" i="12"/>
  <c r="L57" i="12"/>
  <c r="K57" i="12"/>
  <c r="J57" i="12"/>
  <c r="I57" i="12"/>
  <c r="H57" i="12"/>
  <c r="G57" i="12"/>
  <c r="D57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D56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D55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D54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G53" i="12"/>
  <c r="D53" i="12"/>
  <c r="AA52" i="12"/>
  <c r="Y52" i="12"/>
  <c r="T52" i="12"/>
  <c r="R52" i="12"/>
  <c r="O52" i="12"/>
  <c r="M52" i="12"/>
  <c r="K52" i="12"/>
  <c r="I52" i="12"/>
  <c r="G52" i="12"/>
  <c r="D52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N51" i="12"/>
  <c r="L51" i="12"/>
  <c r="J51" i="12"/>
  <c r="G51" i="12"/>
  <c r="Y50" i="12"/>
  <c r="W50" i="12"/>
  <c r="U50" i="12"/>
  <c r="S50" i="12"/>
  <c r="P50" i="12"/>
  <c r="M50" i="12"/>
  <c r="K50" i="12"/>
  <c r="H50" i="12"/>
  <c r="D50" i="12"/>
  <c r="AB49" i="12"/>
  <c r="AA49" i="12"/>
  <c r="Z49" i="12"/>
  <c r="Y49" i="12"/>
  <c r="W49" i="12"/>
  <c r="U49" i="12"/>
  <c r="S49" i="12"/>
  <c r="Q49" i="12"/>
  <c r="O49" i="12"/>
  <c r="M49" i="12"/>
  <c r="K49" i="12"/>
  <c r="I49" i="12"/>
  <c r="G49" i="12"/>
  <c r="AB48" i="12"/>
  <c r="AA48" i="12"/>
  <c r="Y48" i="12"/>
  <c r="X48" i="12"/>
  <c r="V48" i="12"/>
  <c r="T48" i="12"/>
  <c r="R48" i="12"/>
  <c r="P48" i="12"/>
  <c r="M48" i="12"/>
  <c r="K48" i="12"/>
  <c r="H48" i="12"/>
  <c r="D48" i="12"/>
  <c r="AB47" i="12"/>
  <c r="AA47" i="12"/>
  <c r="Z47" i="12"/>
  <c r="X47" i="12"/>
  <c r="V47" i="12"/>
  <c r="T47" i="12"/>
  <c r="R47" i="12"/>
  <c r="O47" i="12"/>
  <c r="M47" i="12"/>
  <c r="K47" i="12"/>
  <c r="J47" i="12"/>
  <c r="I47" i="12"/>
  <c r="G47" i="12"/>
  <c r="X46" i="12"/>
  <c r="V46" i="12"/>
  <c r="T46" i="12"/>
  <c r="S46" i="12"/>
  <c r="Q46" i="12"/>
  <c r="N46" i="12"/>
  <c r="L46" i="12"/>
  <c r="J46" i="12"/>
  <c r="D46" i="12"/>
  <c r="AA43" i="12"/>
  <c r="Y43" i="12"/>
  <c r="V43" i="12"/>
  <c r="T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AB42" i="12"/>
  <c r="Z42" i="12"/>
  <c r="X42" i="12"/>
  <c r="V42" i="12"/>
  <c r="T42" i="12"/>
  <c r="R42" i="12"/>
  <c r="P42" i="12"/>
  <c r="N42" i="12"/>
  <c r="L42" i="12"/>
  <c r="J42" i="12"/>
  <c r="I42" i="12"/>
  <c r="G42" i="12"/>
  <c r="D42" i="12"/>
  <c r="AB41" i="12"/>
  <c r="AA41" i="12"/>
  <c r="Y41" i="12"/>
  <c r="X41" i="12"/>
  <c r="V41" i="12"/>
  <c r="T41" i="12"/>
  <c r="R41" i="12"/>
  <c r="P41" i="12"/>
  <c r="N41" i="12"/>
  <c r="M41" i="12"/>
  <c r="L41" i="12"/>
  <c r="K41" i="12"/>
  <c r="J41" i="12"/>
  <c r="I41" i="12"/>
  <c r="H41" i="12"/>
  <c r="G41" i="12"/>
  <c r="D41" i="12"/>
  <c r="AA40" i="12"/>
  <c r="Z40" i="12"/>
  <c r="X40" i="12"/>
  <c r="V40" i="12"/>
  <c r="T40" i="12"/>
  <c r="R40" i="12"/>
  <c r="P40" i="12"/>
  <c r="O40" i="12"/>
  <c r="M40" i="12"/>
  <c r="K40" i="12"/>
  <c r="I40" i="12"/>
  <c r="G40" i="12"/>
  <c r="Y39" i="12"/>
  <c r="W39" i="12"/>
  <c r="U39" i="12"/>
  <c r="S39" i="12"/>
  <c r="Q39" i="12"/>
  <c r="O39" i="12"/>
  <c r="N39" i="12"/>
  <c r="L39" i="12"/>
  <c r="K39" i="12"/>
  <c r="I39" i="12"/>
  <c r="D39" i="12"/>
  <c r="Z38" i="12"/>
  <c r="W38" i="12"/>
  <c r="T38" i="12"/>
  <c r="P38" i="12"/>
  <c r="O38" i="12"/>
  <c r="M38" i="12"/>
  <c r="K38" i="12"/>
  <c r="H38" i="12"/>
  <c r="D38" i="12"/>
  <c r="T24" i="7"/>
  <c r="M24" i="7"/>
  <c r="I24" i="7"/>
  <c r="D24" i="7"/>
  <c r="Z23" i="7"/>
  <c r="X23" i="7"/>
  <c r="U23" i="7"/>
  <c r="R23" i="7"/>
  <c r="P23" i="7"/>
  <c r="K23" i="7"/>
  <c r="AB22" i="7"/>
  <c r="W22" i="7"/>
  <c r="U22" i="7"/>
  <c r="L22" i="7"/>
  <c r="H22" i="7"/>
  <c r="AA21" i="7"/>
  <c r="Y21" i="7"/>
  <c r="W21" i="7"/>
  <c r="U21" i="7"/>
  <c r="Q21" i="7"/>
  <c r="H21" i="7"/>
  <c r="AA20" i="7"/>
  <c r="Y20" i="7"/>
  <c r="T20" i="7"/>
  <c r="S20" i="7"/>
  <c r="O20" i="7"/>
  <c r="K20" i="7"/>
  <c r="H20" i="7"/>
  <c r="Q19" i="7"/>
  <c r="N19" i="7"/>
  <c r="J19" i="7"/>
  <c r="I19" i="7"/>
  <c r="W18" i="7"/>
  <c r="S18" i="7"/>
  <c r="O18" i="7"/>
  <c r="K18" i="7"/>
  <c r="I18" i="7"/>
  <c r="U17" i="7"/>
  <c r="R17" i="7"/>
  <c r="N17" i="7"/>
  <c r="I17" i="7"/>
  <c r="AB16" i="7"/>
  <c r="X16" i="7"/>
  <c r="V16" i="7"/>
  <c r="O16" i="7"/>
  <c r="L16" i="7"/>
  <c r="G16" i="7"/>
  <c r="AB15" i="7"/>
  <c r="X15" i="7"/>
  <c r="V15" i="7"/>
  <c r="O15" i="7"/>
  <c r="M15" i="7"/>
  <c r="I15" i="7"/>
  <c r="G15" i="7"/>
  <c r="AA14" i="7"/>
  <c r="T14" i="7"/>
  <c r="P14" i="7"/>
  <c r="M14" i="7"/>
  <c r="I14" i="7"/>
  <c r="Z13" i="7"/>
  <c r="W13" i="7"/>
  <c r="S13" i="7"/>
  <c r="Q13" i="7"/>
  <c r="M13" i="7"/>
  <c r="J13" i="7"/>
  <c r="W12" i="7"/>
  <c r="T12" i="7"/>
  <c r="R12" i="7"/>
  <c r="M12" i="7"/>
  <c r="I12" i="7"/>
  <c r="AB11" i="7"/>
  <c r="X11" i="7"/>
  <c r="U11" i="7"/>
  <c r="O11" i="7"/>
  <c r="L11" i="7"/>
  <c r="AA10" i="7"/>
  <c r="X10" i="7"/>
  <c r="U10" i="7"/>
  <c r="Q10" i="7"/>
  <c r="N10" i="7"/>
  <c r="K10" i="7"/>
  <c r="I10" i="7"/>
  <c r="D10" i="7"/>
  <c r="Z9" i="7"/>
  <c r="W9" i="7"/>
  <c r="U9" i="7"/>
  <c r="T9" i="7"/>
  <c r="R9" i="7"/>
  <c r="P9" i="7"/>
  <c r="L9" i="7"/>
  <c r="I9" i="7"/>
  <c r="AB8" i="7"/>
  <c r="W8" i="7"/>
  <c r="P8" i="7"/>
  <c r="L8" i="7"/>
  <c r="I8" i="7"/>
  <c r="Z62" i="6"/>
  <c r="W62" i="6"/>
  <c r="U62" i="6"/>
  <c r="R62" i="6"/>
  <c r="N62" i="6"/>
  <c r="K62" i="6"/>
  <c r="AB61" i="6"/>
  <c r="Z61" i="6"/>
  <c r="X61" i="6"/>
  <c r="U61" i="6"/>
  <c r="R61" i="6"/>
  <c r="O61" i="6"/>
  <c r="X60" i="6"/>
  <c r="V60" i="6"/>
  <c r="S60" i="6"/>
  <c r="Q60" i="6"/>
  <c r="O60" i="6"/>
  <c r="L60" i="6"/>
  <c r="I60" i="6"/>
  <c r="G60" i="6"/>
  <c r="W59" i="6"/>
  <c r="U59" i="6"/>
  <c r="S59" i="6"/>
  <c r="P59" i="6"/>
  <c r="L59" i="6"/>
  <c r="I59" i="6"/>
  <c r="Y58" i="6"/>
  <c r="U58" i="6"/>
  <c r="P58" i="6"/>
  <c r="M58" i="6"/>
  <c r="K58" i="6"/>
  <c r="H58" i="6"/>
  <c r="D58" i="6"/>
  <c r="AA57" i="6"/>
  <c r="Y57" i="6"/>
  <c r="W57" i="6"/>
  <c r="T57" i="6"/>
  <c r="P57" i="6"/>
  <c r="N57" i="6"/>
  <c r="K57" i="6"/>
  <c r="H57" i="6"/>
  <c r="AA56" i="6"/>
  <c r="Y56" i="6"/>
  <c r="V56" i="6"/>
  <c r="R56" i="6"/>
  <c r="O56" i="6"/>
  <c r="L56" i="6"/>
  <c r="J56" i="6"/>
  <c r="H56" i="6"/>
  <c r="D56" i="6"/>
  <c r="Z55" i="6"/>
  <c r="X55" i="6"/>
  <c r="V55" i="6"/>
  <c r="Q55" i="6"/>
  <c r="O55" i="6"/>
  <c r="L55" i="6"/>
  <c r="J55" i="6"/>
  <c r="H55" i="6"/>
  <c r="AA53" i="6"/>
  <c r="V53" i="6"/>
  <c r="T53" i="6"/>
  <c r="P53" i="6"/>
  <c r="N53" i="6"/>
  <c r="K53" i="6"/>
  <c r="J53" i="6"/>
  <c r="H53" i="6"/>
  <c r="AB52" i="6"/>
  <c r="Z52" i="6"/>
  <c r="X52" i="6"/>
  <c r="W52" i="6"/>
  <c r="U52" i="6"/>
  <c r="S52" i="6"/>
  <c r="R52" i="6"/>
  <c r="P52" i="6"/>
  <c r="M52" i="6"/>
  <c r="J52" i="6"/>
  <c r="D52" i="6"/>
  <c r="AB51" i="6"/>
  <c r="AA51" i="6"/>
  <c r="Y51" i="6"/>
  <c r="V51" i="6"/>
  <c r="S51" i="6"/>
  <c r="Q51" i="6"/>
  <c r="O51" i="6"/>
  <c r="M51" i="6"/>
  <c r="I51" i="6"/>
  <c r="G51" i="6"/>
  <c r="R50" i="6"/>
  <c r="O50" i="6"/>
  <c r="L50" i="6"/>
  <c r="J50" i="6"/>
  <c r="H50" i="6"/>
  <c r="T49" i="6"/>
  <c r="P49" i="6"/>
  <c r="N49" i="6"/>
  <c r="L49" i="6"/>
  <c r="D49" i="6"/>
  <c r="AA48" i="6"/>
  <c r="Y48" i="6"/>
  <c r="X48" i="6"/>
  <c r="U48" i="6"/>
  <c r="R48" i="6"/>
  <c r="O48" i="6"/>
  <c r="M48" i="6"/>
  <c r="J48" i="6"/>
  <c r="G48" i="6"/>
  <c r="X47" i="6"/>
  <c r="U47" i="6"/>
  <c r="R47" i="6"/>
  <c r="P47" i="6"/>
  <c r="L47" i="6"/>
  <c r="J47" i="6"/>
  <c r="I47" i="6"/>
  <c r="D47" i="6"/>
  <c r="Z46" i="6"/>
  <c r="X46" i="6"/>
  <c r="V46" i="6"/>
  <c r="R46" i="6"/>
  <c r="O46" i="6"/>
  <c r="L46" i="6"/>
  <c r="H46" i="6"/>
  <c r="W45" i="6"/>
  <c r="T45" i="6"/>
  <c r="Q45" i="6"/>
  <c r="O45" i="6"/>
  <c r="M45" i="6"/>
  <c r="K45" i="6"/>
  <c r="I45" i="6"/>
  <c r="Z43" i="6"/>
  <c r="X43" i="6"/>
  <c r="V43" i="6"/>
  <c r="R43" i="6"/>
  <c r="O43" i="6"/>
  <c r="M43" i="6"/>
  <c r="I43" i="6"/>
  <c r="AA42" i="6"/>
  <c r="Y42" i="6"/>
  <c r="U42" i="6"/>
  <c r="R42" i="6"/>
  <c r="M42" i="6"/>
  <c r="K42" i="6"/>
  <c r="G42" i="6"/>
  <c r="W41" i="6"/>
  <c r="V41" i="6"/>
  <c r="R41" i="6"/>
  <c r="N41" i="6"/>
  <c r="J41" i="6"/>
  <c r="G41" i="6"/>
  <c r="Z40" i="6"/>
  <c r="W40" i="6"/>
  <c r="U40" i="6"/>
  <c r="O40" i="6"/>
  <c r="V39" i="6"/>
  <c r="S39" i="6"/>
  <c r="L39" i="6"/>
  <c r="AA38" i="6"/>
  <c r="Y38" i="6"/>
  <c r="V38" i="6"/>
  <c r="S38" i="6"/>
  <c r="P38" i="6"/>
  <c r="M38" i="6"/>
  <c r="J38" i="6"/>
  <c r="H38" i="6"/>
  <c r="AA37" i="6"/>
  <c r="Y37" i="6"/>
  <c r="W37" i="6"/>
  <c r="R37" i="6"/>
  <c r="M37" i="6"/>
  <c r="G37" i="6"/>
  <c r="AB36" i="6"/>
  <c r="X36" i="6"/>
  <c r="N36" i="6"/>
  <c r="I36" i="6"/>
  <c r="W35" i="6"/>
  <c r="P35" i="6"/>
  <c r="K35" i="6"/>
  <c r="AB34" i="6"/>
  <c r="Z34" i="6"/>
  <c r="X34" i="6"/>
  <c r="V34" i="6"/>
  <c r="P34" i="6"/>
  <c r="L34" i="6"/>
  <c r="D34" i="6"/>
  <c r="R33" i="6"/>
  <c r="J33" i="6"/>
  <c r="AA32" i="6"/>
  <c r="X32" i="6"/>
  <c r="V32" i="6"/>
  <c r="U32" i="6"/>
  <c r="S32" i="6"/>
  <c r="P32" i="6"/>
  <c r="L32" i="6"/>
  <c r="G32" i="6"/>
  <c r="Y31" i="6"/>
  <c r="V31" i="6"/>
  <c r="P31" i="6"/>
  <c r="I31" i="6"/>
  <c r="D31" i="6"/>
  <c r="Z30" i="6"/>
  <c r="X30" i="6"/>
  <c r="R55" i="5"/>
  <c r="K55" i="5"/>
  <c r="I55" i="5"/>
  <c r="AB54" i="5"/>
  <c r="Y54" i="5"/>
  <c r="V54" i="5"/>
  <c r="Q54" i="5"/>
  <c r="D54" i="5"/>
  <c r="Z53" i="5"/>
  <c r="T53" i="5"/>
  <c r="M53" i="5"/>
  <c r="J53" i="5"/>
  <c r="G53" i="5"/>
  <c r="T52" i="5"/>
  <c r="O52" i="5"/>
  <c r="K52" i="5"/>
  <c r="I52" i="5"/>
  <c r="AB51" i="5"/>
  <c r="W51" i="5"/>
  <c r="R51" i="5"/>
  <c r="O51" i="5"/>
  <c r="M51" i="5"/>
  <c r="I51" i="5"/>
  <c r="D51" i="5"/>
  <c r="V50" i="5"/>
  <c r="U50" i="5"/>
  <c r="M50" i="5"/>
  <c r="J50" i="5"/>
  <c r="G50" i="5"/>
  <c r="X49" i="5"/>
  <c r="R49" i="5"/>
  <c r="P49" i="5"/>
  <c r="M49" i="5"/>
  <c r="J49" i="5"/>
  <c r="I49" i="5"/>
  <c r="AA48" i="5"/>
  <c r="X48" i="5"/>
  <c r="P48" i="5"/>
  <c r="M48" i="5"/>
  <c r="J48" i="5"/>
  <c r="G48" i="5"/>
  <c r="Z47" i="5"/>
  <c r="X47" i="5"/>
  <c r="R47" i="5"/>
  <c r="O47" i="5"/>
  <c r="J47" i="5"/>
  <c r="D47" i="5"/>
  <c r="AA46" i="5"/>
  <c r="X46" i="5"/>
  <c r="V46" i="5"/>
  <c r="S46" i="5"/>
  <c r="Q46" i="5"/>
  <c r="O46" i="5"/>
  <c r="L46" i="5"/>
  <c r="H46" i="5"/>
  <c r="X45" i="5"/>
  <c r="U45" i="5"/>
  <c r="R45" i="5"/>
  <c r="P45" i="5"/>
  <c r="L45" i="5"/>
  <c r="I45" i="5"/>
  <c r="AB43" i="5"/>
  <c r="X43" i="5"/>
  <c r="V43" i="5"/>
  <c r="R43" i="5"/>
  <c r="P43" i="5"/>
  <c r="M43" i="5"/>
  <c r="I43" i="5"/>
  <c r="D43" i="5"/>
  <c r="AA42" i="5"/>
  <c r="X42" i="5"/>
  <c r="T42" i="5"/>
  <c r="Q42" i="5"/>
  <c r="O42" i="5"/>
  <c r="K42" i="5"/>
  <c r="I42" i="5"/>
  <c r="G42" i="5"/>
  <c r="AA41" i="5"/>
  <c r="Y41" i="5"/>
  <c r="W41" i="5"/>
  <c r="S41" i="5"/>
  <c r="P41" i="5"/>
  <c r="K41" i="5"/>
  <c r="I41" i="5"/>
  <c r="T40" i="5"/>
  <c r="P40" i="5"/>
  <c r="J40" i="5"/>
  <c r="G40" i="5"/>
  <c r="AB39" i="5"/>
  <c r="X39" i="5"/>
  <c r="U39" i="5"/>
  <c r="S39" i="5"/>
  <c r="Q39" i="5"/>
  <c r="O39" i="5"/>
  <c r="M39" i="5"/>
  <c r="I39" i="5"/>
  <c r="D39" i="5"/>
  <c r="Y38" i="5"/>
  <c r="V38" i="5"/>
  <c r="R38" i="5"/>
  <c r="O38" i="5"/>
  <c r="L38" i="5"/>
  <c r="D38" i="5"/>
  <c r="AA37" i="5"/>
  <c r="Y37" i="5"/>
  <c r="W37" i="5"/>
  <c r="T37" i="5"/>
  <c r="P37" i="5"/>
  <c r="M37" i="5"/>
  <c r="K37" i="5"/>
  <c r="I37" i="5"/>
  <c r="D37" i="5"/>
  <c r="AA36" i="5"/>
  <c r="Z36" i="5"/>
  <c r="W36" i="5"/>
  <c r="T36" i="5"/>
  <c r="S36" i="5"/>
  <c r="Q36" i="5"/>
  <c r="AB35" i="5"/>
  <c r="Y35" i="5"/>
  <c r="V35" i="5"/>
  <c r="S35" i="5"/>
  <c r="P35" i="5"/>
  <c r="H35" i="5"/>
  <c r="U34" i="5"/>
  <c r="P34" i="5"/>
  <c r="L34" i="5"/>
  <c r="I34" i="5"/>
  <c r="D34" i="5"/>
  <c r="Z33" i="5"/>
  <c r="X33" i="5"/>
  <c r="V33" i="5"/>
  <c r="Q33" i="5"/>
  <c r="M33" i="5"/>
  <c r="K33" i="5"/>
  <c r="D33" i="5"/>
  <c r="Z32" i="5"/>
  <c r="X32" i="5"/>
  <c r="W32" i="5"/>
  <c r="U32" i="5"/>
  <c r="Z31" i="5"/>
  <c r="X31" i="5"/>
  <c r="U31" i="5"/>
  <c r="N31" i="5"/>
  <c r="J31" i="5"/>
  <c r="AA30" i="5"/>
  <c r="V30" i="5"/>
  <c r="S30" i="5"/>
  <c r="G30" i="5"/>
  <c r="AA29" i="5"/>
  <c r="X29" i="5"/>
  <c r="V29" i="5"/>
  <c r="P29" i="5"/>
  <c r="M29" i="5"/>
  <c r="D29" i="5"/>
  <c r="X28" i="5"/>
  <c r="U28" i="5"/>
  <c r="R28" i="5"/>
  <c r="P28" i="5"/>
  <c r="N28" i="5"/>
  <c r="K28" i="5"/>
  <c r="H28" i="5"/>
  <c r="D28" i="5"/>
  <c r="Z27" i="5"/>
  <c r="V27" i="5"/>
  <c r="Q27" i="5"/>
  <c r="O27" i="5"/>
  <c r="M27" i="5"/>
  <c r="G27" i="5"/>
  <c r="X24" i="5"/>
  <c r="S24" i="5"/>
  <c r="M24" i="5"/>
  <c r="K24" i="5"/>
  <c r="G24" i="5"/>
  <c r="J23" i="5"/>
  <c r="D23" i="5"/>
  <c r="AB22" i="5"/>
  <c r="Y22" i="5"/>
  <c r="R22" i="5"/>
  <c r="O22" i="5"/>
  <c r="M22" i="5"/>
  <c r="I22" i="5"/>
  <c r="G22" i="5"/>
  <c r="X21" i="5"/>
  <c r="S21" i="5"/>
  <c r="Q21" i="5"/>
  <c r="L21" i="5"/>
  <c r="I21" i="5"/>
  <c r="Z20" i="5"/>
  <c r="X20" i="5"/>
  <c r="O20" i="5"/>
  <c r="J20" i="5"/>
  <c r="H20" i="5"/>
  <c r="D20" i="5"/>
  <c r="P19" i="5"/>
  <c r="K19" i="5"/>
  <c r="H19" i="5"/>
  <c r="D19" i="5"/>
  <c r="AA18" i="5"/>
  <c r="Y18" i="5"/>
  <c r="U18" i="5"/>
  <c r="S18" i="5"/>
  <c r="O18" i="5"/>
  <c r="J18" i="5"/>
  <c r="G18" i="5"/>
  <c r="W17" i="5"/>
  <c r="S17" i="5"/>
  <c r="P17" i="5"/>
  <c r="J17" i="5"/>
  <c r="G17" i="5"/>
  <c r="W16" i="5"/>
  <c r="S16" i="5"/>
  <c r="P16" i="5"/>
  <c r="L16" i="5"/>
  <c r="G16" i="5"/>
  <c r="AB15" i="5"/>
  <c r="Z15" i="5"/>
  <c r="X15" i="5"/>
  <c r="P15" i="5"/>
  <c r="N15" i="5"/>
  <c r="K15" i="5"/>
  <c r="G15" i="5"/>
  <c r="W14" i="5"/>
  <c r="U14" i="5"/>
  <c r="S14" i="5"/>
  <c r="Q14" i="5"/>
  <c r="N14" i="5"/>
  <c r="J14" i="5"/>
  <c r="H14" i="5"/>
  <c r="Y13" i="5"/>
  <c r="W13" i="5"/>
  <c r="U13" i="5"/>
  <c r="R13" i="5"/>
  <c r="P13" i="5"/>
  <c r="N13" i="5"/>
  <c r="L13" i="5"/>
  <c r="J13" i="5"/>
  <c r="I13" i="5"/>
  <c r="D13" i="5"/>
  <c r="AA12" i="5"/>
  <c r="Y12" i="5"/>
  <c r="V12" i="5"/>
  <c r="R12" i="5"/>
  <c r="N12" i="5"/>
  <c r="J12" i="5"/>
  <c r="H12" i="5"/>
  <c r="X11" i="5"/>
  <c r="P11" i="5"/>
  <c r="K11" i="5"/>
  <c r="Z10" i="5"/>
  <c r="R10" i="5"/>
  <c r="Q10" i="5"/>
  <c r="K10" i="5"/>
  <c r="I10" i="5"/>
  <c r="G10" i="5"/>
  <c r="AA9" i="5"/>
  <c r="Y9" i="5"/>
  <c r="W9" i="5"/>
  <c r="P9" i="5"/>
  <c r="M9" i="5"/>
  <c r="J9" i="5"/>
  <c r="G9" i="5"/>
  <c r="T8" i="5"/>
  <c r="J8" i="5"/>
  <c r="AB60" i="12"/>
  <c r="H53" i="12"/>
  <c r="AB52" i="12"/>
  <c r="Z52" i="12"/>
  <c r="X52" i="12"/>
  <c r="W52" i="12"/>
  <c r="V52" i="12"/>
  <c r="U52" i="12"/>
  <c r="S52" i="12"/>
  <c r="Q52" i="12"/>
  <c r="P52" i="12"/>
  <c r="N52" i="12"/>
  <c r="L52" i="12"/>
  <c r="J52" i="12"/>
  <c r="H52" i="12"/>
  <c r="O51" i="12"/>
  <c r="M51" i="12"/>
  <c r="K51" i="12"/>
  <c r="I51" i="12"/>
  <c r="H51" i="12"/>
  <c r="D51" i="12"/>
  <c r="AB50" i="12"/>
  <c r="AA50" i="12"/>
  <c r="Z50" i="12"/>
  <c r="X50" i="12"/>
  <c r="V50" i="12"/>
  <c r="T50" i="12"/>
  <c r="R50" i="12"/>
  <c r="Q50" i="12"/>
  <c r="O50" i="12"/>
  <c r="N50" i="12"/>
  <c r="L50" i="12"/>
  <c r="J50" i="12"/>
  <c r="I50" i="12"/>
  <c r="G50" i="12"/>
  <c r="X49" i="12"/>
  <c r="V49" i="12"/>
  <c r="T49" i="12"/>
  <c r="R49" i="12"/>
  <c r="P49" i="12"/>
  <c r="N49" i="12"/>
  <c r="L49" i="12"/>
  <c r="J49" i="12"/>
  <c r="H49" i="12"/>
  <c r="D49" i="12"/>
  <c r="Z48" i="12"/>
  <c r="W48" i="12"/>
  <c r="U48" i="12"/>
  <c r="S48" i="12"/>
  <c r="Q48" i="12"/>
  <c r="O48" i="12"/>
  <c r="N48" i="12"/>
  <c r="L48" i="12"/>
  <c r="J48" i="12"/>
  <c r="I48" i="12"/>
  <c r="G48" i="12"/>
  <c r="Y47" i="12"/>
  <c r="W47" i="12"/>
  <c r="U47" i="12"/>
  <c r="S47" i="12"/>
  <c r="Q47" i="12"/>
  <c r="P47" i="12"/>
  <c r="N47" i="12"/>
  <c r="L47" i="12"/>
  <c r="H47" i="12"/>
  <c r="D47" i="12"/>
  <c r="AB46" i="12"/>
  <c r="AA46" i="12"/>
  <c r="Z46" i="12"/>
  <c r="Y46" i="12"/>
  <c r="W46" i="12"/>
  <c r="U46" i="12"/>
  <c r="R46" i="12"/>
  <c r="P46" i="12"/>
  <c r="O46" i="12"/>
  <c r="M46" i="12"/>
  <c r="K46" i="12"/>
  <c r="I46" i="12"/>
  <c r="H46" i="12"/>
  <c r="G46" i="12"/>
  <c r="AB43" i="12"/>
  <c r="Z43" i="12"/>
  <c r="X43" i="12"/>
  <c r="W43" i="12"/>
  <c r="U43" i="12"/>
  <c r="S43" i="12"/>
  <c r="D43" i="12"/>
  <c r="AA42" i="12"/>
  <c r="Y42" i="12"/>
  <c r="W42" i="12"/>
  <c r="U42" i="12"/>
  <c r="S42" i="12"/>
  <c r="Q42" i="12"/>
  <c r="O42" i="12"/>
  <c r="M42" i="12"/>
  <c r="K42" i="12"/>
  <c r="H42" i="12"/>
  <c r="Z41" i="12"/>
  <c r="W41" i="12"/>
  <c r="U41" i="12"/>
  <c r="S41" i="12"/>
  <c r="Q41" i="12"/>
  <c r="O41" i="12"/>
  <c r="AB40" i="12"/>
  <c r="Y40" i="12"/>
  <c r="W40" i="12"/>
  <c r="U40" i="12"/>
  <c r="S40" i="12"/>
  <c r="Q40" i="12"/>
  <c r="N40" i="12"/>
  <c r="L40" i="12"/>
  <c r="J40" i="12"/>
  <c r="H40" i="12"/>
  <c r="D40" i="12"/>
  <c r="AB39" i="12"/>
  <c r="AA39" i="12"/>
  <c r="Z39" i="12"/>
  <c r="X39" i="12"/>
  <c r="V39" i="12"/>
  <c r="T39" i="12"/>
  <c r="R39" i="12"/>
  <c r="P39" i="12"/>
  <c r="M39" i="12"/>
  <c r="J39" i="12"/>
  <c r="H39" i="12"/>
  <c r="G39" i="12"/>
  <c r="AB38" i="12"/>
  <c r="AA38" i="12"/>
  <c r="Y38" i="12"/>
  <c r="X38" i="12"/>
  <c r="V38" i="12"/>
  <c r="U38" i="12"/>
  <c r="S38" i="12"/>
  <c r="R38" i="12"/>
  <c r="Q38" i="12"/>
  <c r="N38" i="12"/>
  <c r="L38" i="12"/>
  <c r="J38" i="12"/>
  <c r="I38" i="12"/>
  <c r="G38" i="12"/>
  <c r="U24" i="7"/>
  <c r="N24" i="7"/>
  <c r="L24" i="7"/>
  <c r="AA23" i="7"/>
  <c r="Y23" i="7"/>
  <c r="W23" i="7"/>
  <c r="T23" i="7"/>
  <c r="O23" i="7"/>
  <c r="N23" i="7"/>
  <c r="H23" i="7"/>
  <c r="S22" i="7"/>
  <c r="O22" i="7"/>
  <c r="K22" i="7"/>
  <c r="J22" i="7"/>
  <c r="G22" i="7"/>
  <c r="AB21" i="7"/>
  <c r="T21" i="7"/>
  <c r="P21" i="7"/>
  <c r="N21" i="7"/>
  <c r="M21" i="7"/>
  <c r="J21" i="7"/>
  <c r="AB20" i="7"/>
  <c r="X20" i="7"/>
  <c r="V20" i="7"/>
  <c r="N20" i="7"/>
  <c r="I20" i="7"/>
  <c r="D20" i="7"/>
  <c r="Z19" i="7"/>
  <c r="X19" i="7"/>
  <c r="U19" i="7"/>
  <c r="AA17" i="7"/>
  <c r="V17" i="7"/>
  <c r="Q17" i="7"/>
  <c r="O17" i="7"/>
  <c r="L17" i="7"/>
  <c r="H17" i="7"/>
  <c r="D17" i="7"/>
  <c r="S16" i="7"/>
  <c r="K16" i="7"/>
  <c r="H16" i="7"/>
  <c r="Z15" i="7"/>
  <c r="T15" i="7"/>
  <c r="R15" i="7"/>
  <c r="P15" i="7"/>
  <c r="K15" i="7"/>
  <c r="V14" i="7"/>
  <c r="S14" i="7"/>
  <c r="N14" i="7"/>
  <c r="L14" i="7"/>
  <c r="J14" i="7"/>
  <c r="G14" i="7"/>
  <c r="O13" i="7"/>
  <c r="L13" i="7"/>
  <c r="I13" i="7"/>
  <c r="D13" i="7"/>
  <c r="Z12" i="7"/>
  <c r="S12" i="7"/>
  <c r="Q12" i="7"/>
  <c r="O12" i="7"/>
  <c r="K12" i="7"/>
  <c r="G12" i="7"/>
  <c r="AA11" i="7"/>
  <c r="Y11" i="7"/>
  <c r="S11" i="7"/>
  <c r="P11" i="7"/>
  <c r="M11" i="7"/>
  <c r="H11" i="7"/>
  <c r="D11" i="7"/>
  <c r="Z10" i="7"/>
  <c r="T10" i="7"/>
  <c r="M10" i="7"/>
  <c r="J10" i="7"/>
  <c r="H10" i="7"/>
  <c r="AB9" i="7"/>
  <c r="Y9" i="7"/>
  <c r="V9" i="7"/>
  <c r="Q9" i="7"/>
  <c r="N9" i="7"/>
  <c r="J9" i="7"/>
  <c r="H9" i="7"/>
  <c r="T8" i="7"/>
  <c r="N8" i="7"/>
  <c r="H8" i="7"/>
  <c r="AB62" i="6"/>
  <c r="T62" i="6"/>
  <c r="P62" i="6"/>
  <c r="M62" i="6"/>
  <c r="J62" i="6"/>
  <c r="H62" i="6"/>
  <c r="D62" i="6"/>
  <c r="AA61" i="6"/>
  <c r="Y61" i="6"/>
  <c r="V61" i="6"/>
  <c r="S61" i="6"/>
  <c r="P61" i="6"/>
  <c r="L61" i="6"/>
  <c r="I61" i="6"/>
  <c r="G61" i="6"/>
  <c r="AA60" i="6"/>
  <c r="W60" i="6"/>
  <c r="T60" i="6"/>
  <c r="N60" i="6"/>
  <c r="K60" i="6"/>
  <c r="H60" i="6"/>
  <c r="D60" i="6"/>
  <c r="AB59" i="6"/>
  <c r="AA59" i="6"/>
  <c r="Z59" i="6"/>
  <c r="Y59" i="6"/>
  <c r="X59" i="6"/>
  <c r="V59" i="6"/>
  <c r="T59" i="6"/>
  <c r="Q59" i="6"/>
  <c r="N59" i="6"/>
  <c r="K59" i="6"/>
  <c r="H59" i="6"/>
  <c r="G59" i="6"/>
  <c r="AB58" i="6"/>
  <c r="Z58" i="6"/>
  <c r="X58" i="6"/>
  <c r="V58" i="6"/>
  <c r="T58" i="6"/>
  <c r="S58" i="6"/>
  <c r="Q58" i="6"/>
  <c r="N58" i="6"/>
  <c r="I58" i="6"/>
  <c r="R57" i="6"/>
  <c r="M57" i="6"/>
  <c r="J57" i="6"/>
  <c r="G57" i="6"/>
  <c r="T56" i="6"/>
  <c r="Q56" i="6"/>
  <c r="N56" i="6"/>
  <c r="K56" i="6"/>
  <c r="I56" i="6"/>
  <c r="AB55" i="6"/>
  <c r="AA55" i="6"/>
  <c r="Y55" i="6"/>
  <c r="W55" i="6"/>
  <c r="U55" i="6"/>
  <c r="S55" i="6"/>
  <c r="M55" i="6"/>
  <c r="K55" i="6"/>
  <c r="G55" i="6"/>
  <c r="AB54" i="6"/>
  <c r="Z54" i="6"/>
  <c r="X54" i="6"/>
  <c r="V54" i="6"/>
  <c r="T54" i="6"/>
  <c r="Q54" i="6"/>
  <c r="N54" i="6"/>
  <c r="M54" i="6"/>
  <c r="K54" i="6"/>
  <c r="I54" i="6"/>
  <c r="G54" i="6"/>
  <c r="D53" i="6"/>
  <c r="AA52" i="6"/>
  <c r="Y52" i="6"/>
  <c r="V52" i="6"/>
  <c r="T52" i="6"/>
  <c r="Q52" i="6"/>
  <c r="O52" i="6"/>
  <c r="N52" i="6"/>
  <c r="L52" i="6"/>
  <c r="K52" i="6"/>
  <c r="I52" i="6"/>
  <c r="H52" i="6"/>
  <c r="G52" i="6"/>
  <c r="W51" i="6"/>
  <c r="T51" i="6"/>
  <c r="R51" i="6"/>
  <c r="L51" i="6"/>
  <c r="J51" i="6"/>
  <c r="D51" i="6"/>
  <c r="AA50" i="6"/>
  <c r="Y50" i="6"/>
  <c r="V50" i="6"/>
  <c r="T50" i="6"/>
  <c r="S50" i="6"/>
  <c r="P50" i="6"/>
  <c r="N50" i="6"/>
  <c r="K50" i="6"/>
  <c r="G50" i="6"/>
  <c r="AB49" i="6"/>
  <c r="AA49" i="6"/>
  <c r="Y49" i="6"/>
  <c r="W49" i="6"/>
  <c r="V49" i="6"/>
  <c r="R49" i="6"/>
  <c r="O49" i="6"/>
  <c r="M49" i="6"/>
  <c r="J49" i="6"/>
  <c r="G49" i="6"/>
  <c r="W48" i="6"/>
  <c r="T48" i="6"/>
  <c r="Q48" i="6"/>
  <c r="N48" i="6"/>
  <c r="D48" i="6"/>
  <c r="AA47" i="6"/>
  <c r="Y47" i="6"/>
  <c r="W47" i="6"/>
  <c r="J43" i="6"/>
  <c r="G43" i="6"/>
  <c r="AB42" i="6"/>
  <c r="X42" i="6"/>
  <c r="V42" i="6"/>
  <c r="S42" i="6"/>
  <c r="Q42" i="6"/>
  <c r="L42" i="6"/>
  <c r="I42" i="6"/>
  <c r="AB41" i="6"/>
  <c r="X41" i="6"/>
  <c r="U41" i="6"/>
  <c r="Q41" i="6"/>
  <c r="L41" i="6"/>
  <c r="I41" i="6"/>
  <c r="D41" i="6"/>
  <c r="AB40" i="6"/>
  <c r="X40" i="6"/>
  <c r="V40" i="6"/>
  <c r="R40" i="6"/>
  <c r="P40" i="6"/>
  <c r="L40" i="6"/>
  <c r="I40" i="6"/>
  <c r="G40" i="6"/>
  <c r="AB39" i="6"/>
  <c r="Z39" i="6"/>
  <c r="X39" i="6"/>
  <c r="R39" i="6"/>
  <c r="Q39" i="6"/>
  <c r="O39" i="6"/>
  <c r="H39" i="6"/>
  <c r="U38" i="6"/>
  <c r="R38" i="6"/>
  <c r="O38" i="6"/>
  <c r="L38" i="6"/>
  <c r="I38" i="6"/>
  <c r="AB37" i="6"/>
  <c r="V37" i="6"/>
  <c r="S37" i="6"/>
  <c r="Q37" i="6"/>
  <c r="N37" i="6"/>
  <c r="K37" i="6"/>
  <c r="U36" i="6"/>
  <c r="S36" i="6"/>
  <c r="Q36" i="6"/>
  <c r="L36" i="6"/>
  <c r="J36" i="6"/>
  <c r="H36" i="6"/>
  <c r="G36" i="6"/>
  <c r="AA35" i="6"/>
  <c r="X35" i="6"/>
  <c r="U35" i="6"/>
  <c r="R35" i="6"/>
  <c r="M35" i="6"/>
  <c r="J35" i="6"/>
  <c r="H35" i="6"/>
  <c r="T34" i="6"/>
  <c r="O34" i="6"/>
  <c r="M34" i="6"/>
  <c r="J34" i="6"/>
  <c r="H34" i="6"/>
  <c r="AA33" i="6"/>
  <c r="Z33" i="6"/>
  <c r="T33" i="6"/>
  <c r="Q33" i="6"/>
  <c r="O33" i="6"/>
  <c r="M33" i="6"/>
  <c r="K33" i="6"/>
  <c r="I33" i="6"/>
  <c r="D33" i="6"/>
  <c r="AB32" i="6"/>
  <c r="O32" i="6"/>
  <c r="M32" i="6"/>
  <c r="H32" i="6"/>
  <c r="W31" i="6"/>
  <c r="R31" i="6"/>
  <c r="O31" i="6"/>
  <c r="N31" i="6"/>
  <c r="M31" i="6"/>
  <c r="H31" i="6"/>
  <c r="AA30" i="6"/>
  <c r="W30" i="6"/>
  <c r="T30" i="6"/>
  <c r="Q30" i="6"/>
  <c r="N30" i="6"/>
  <c r="K30" i="6"/>
  <c r="I30" i="6"/>
  <c r="G30" i="6"/>
  <c r="W29" i="6"/>
  <c r="U29" i="6"/>
  <c r="S29" i="6"/>
  <c r="P29" i="6"/>
  <c r="N29" i="6"/>
  <c r="K29" i="6"/>
  <c r="I29" i="6"/>
  <c r="G29" i="6"/>
  <c r="V28" i="6"/>
  <c r="R28" i="6"/>
  <c r="N28" i="6"/>
  <c r="K28" i="6"/>
  <c r="I28" i="6"/>
  <c r="D28" i="6"/>
  <c r="AB27" i="6"/>
  <c r="Z27" i="6"/>
  <c r="X27" i="6"/>
  <c r="V27" i="6"/>
  <c r="T27" i="6"/>
  <c r="R27" i="6"/>
  <c r="Q27" i="6"/>
  <c r="O27" i="6"/>
  <c r="M27" i="6"/>
  <c r="J27" i="6"/>
  <c r="H27" i="6"/>
  <c r="X24" i="6"/>
  <c r="V24" i="6"/>
  <c r="Q24" i="6"/>
  <c r="O24" i="6"/>
  <c r="M24" i="6"/>
  <c r="J24" i="6"/>
  <c r="G24" i="6"/>
  <c r="AB23" i="6"/>
  <c r="Z23" i="6"/>
  <c r="X23" i="6"/>
  <c r="V23" i="6"/>
  <c r="T23" i="6"/>
  <c r="R23" i="6"/>
  <c r="P23" i="6"/>
  <c r="N23" i="6"/>
  <c r="L23" i="6"/>
  <c r="J23" i="6"/>
  <c r="I23" i="6"/>
  <c r="U22" i="6"/>
  <c r="R22" i="6"/>
  <c r="M22" i="6"/>
  <c r="J22" i="6"/>
  <c r="D22" i="6"/>
  <c r="AA21" i="6"/>
  <c r="Y21" i="6"/>
  <c r="V21" i="6"/>
  <c r="S21" i="6"/>
  <c r="P21" i="6"/>
  <c r="M21" i="6"/>
  <c r="J21" i="6"/>
  <c r="X20" i="6"/>
  <c r="S20" i="6"/>
  <c r="P20" i="6"/>
  <c r="L20" i="6"/>
  <c r="I20" i="6"/>
  <c r="G20" i="6"/>
  <c r="AB19" i="6"/>
  <c r="W18" i="6"/>
  <c r="U18" i="6"/>
  <c r="S18" i="6"/>
  <c r="Q18" i="6"/>
  <c r="N18" i="6"/>
  <c r="J18" i="6"/>
  <c r="D18" i="6"/>
  <c r="AA17" i="6"/>
  <c r="Y17" i="6"/>
  <c r="W17" i="6"/>
  <c r="T17" i="6"/>
  <c r="Q17" i="6"/>
  <c r="N17" i="6"/>
  <c r="K17" i="6"/>
  <c r="J17" i="6"/>
  <c r="G17" i="6"/>
  <c r="W16" i="6"/>
  <c r="O16" i="6"/>
  <c r="M16" i="6"/>
  <c r="K16" i="6"/>
  <c r="I16" i="6"/>
  <c r="G16" i="6"/>
  <c r="AA15" i="6"/>
  <c r="X15" i="6"/>
  <c r="T15" i="6"/>
  <c r="R15" i="6"/>
  <c r="O15" i="6"/>
  <c r="M15" i="6"/>
  <c r="L15" i="6"/>
  <c r="K15" i="6"/>
  <c r="I15" i="6"/>
  <c r="D15" i="6"/>
  <c r="Z14" i="6"/>
  <c r="W14" i="6"/>
  <c r="T14" i="6"/>
  <c r="N14" i="6"/>
  <c r="K14" i="6"/>
  <c r="I14" i="6"/>
  <c r="D14" i="6"/>
  <c r="AA13" i="6"/>
  <c r="Y13" i="6"/>
  <c r="W13" i="6"/>
  <c r="U13" i="6"/>
  <c r="R13" i="6"/>
  <c r="N13" i="6"/>
  <c r="K13" i="6"/>
  <c r="H13" i="6"/>
  <c r="D13" i="6"/>
  <c r="AA12" i="6"/>
  <c r="Y12" i="6"/>
  <c r="W12" i="6"/>
  <c r="T12" i="6"/>
  <c r="Q12" i="6"/>
  <c r="M12" i="6"/>
  <c r="I12" i="6"/>
  <c r="U11" i="6"/>
  <c r="R11" i="6"/>
  <c r="P11" i="6"/>
  <c r="N11" i="6"/>
  <c r="K11" i="6"/>
  <c r="H11" i="6"/>
  <c r="D11" i="6"/>
  <c r="AB10" i="6"/>
  <c r="Z10" i="6"/>
  <c r="Y10" i="6"/>
  <c r="W10" i="6"/>
  <c r="T10" i="6"/>
  <c r="P10" i="6"/>
  <c r="M10" i="6"/>
  <c r="K10" i="6"/>
  <c r="I10" i="6"/>
  <c r="G10" i="6"/>
  <c r="X9" i="6"/>
  <c r="V9" i="6"/>
  <c r="Q9" i="6"/>
  <c r="N9" i="6"/>
  <c r="K9" i="6"/>
  <c r="H9" i="6"/>
  <c r="D9" i="6"/>
  <c r="AA8" i="6"/>
  <c r="X8" i="6"/>
  <c r="U8" i="6"/>
  <c r="P8" i="6"/>
  <c r="O8" i="6"/>
  <c r="M8" i="6"/>
  <c r="K8" i="6"/>
  <c r="G8" i="6"/>
  <c r="AB62" i="5"/>
  <c r="Y62" i="5"/>
  <c r="W62" i="5"/>
  <c r="U62" i="5"/>
  <c r="M62" i="5"/>
  <c r="J62" i="5"/>
  <c r="X61" i="5"/>
  <c r="V61" i="5"/>
  <c r="T61" i="5"/>
  <c r="O61" i="5"/>
  <c r="L61" i="5"/>
  <c r="J61" i="5"/>
  <c r="H61" i="5"/>
  <c r="D61" i="5"/>
  <c r="AB60" i="5"/>
  <c r="Y60" i="5"/>
  <c r="W60" i="5"/>
  <c r="T60" i="5"/>
  <c r="P60" i="5"/>
  <c r="M60" i="5"/>
  <c r="J60" i="5"/>
  <c r="G60" i="5"/>
  <c r="AB59" i="5"/>
  <c r="X59" i="5"/>
  <c r="T59" i="5"/>
  <c r="O59" i="5"/>
  <c r="L59" i="5"/>
  <c r="I59" i="5"/>
  <c r="D59" i="5"/>
  <c r="AB58" i="5"/>
  <c r="Z58" i="5"/>
  <c r="Y58" i="5"/>
  <c r="V58" i="5"/>
  <c r="S58" i="5"/>
  <c r="Q58" i="5"/>
  <c r="O58" i="5"/>
  <c r="N58" i="5"/>
  <c r="J58" i="5"/>
  <c r="H58" i="5"/>
  <c r="W57" i="5"/>
  <c r="S57" i="5"/>
  <c r="R57" i="5"/>
  <c r="Q57" i="5"/>
  <c r="M57" i="5"/>
  <c r="J57" i="5"/>
  <c r="G57" i="5"/>
  <c r="AA56" i="5"/>
  <c r="Y56" i="5"/>
  <c r="U56" i="5"/>
  <c r="S56" i="5"/>
  <c r="Q56" i="5"/>
  <c r="O56" i="5"/>
  <c r="L56" i="5"/>
  <c r="I56" i="5"/>
  <c r="Z55" i="5"/>
  <c r="W55" i="5"/>
  <c r="U55" i="5"/>
  <c r="T55" i="5"/>
  <c r="Q55" i="5"/>
  <c r="N55" i="5"/>
  <c r="L55" i="5"/>
  <c r="H55" i="5"/>
  <c r="U54" i="5"/>
  <c r="M54" i="5"/>
  <c r="J54" i="5"/>
  <c r="I54" i="5"/>
  <c r="AB53" i="5"/>
  <c r="Y53" i="5"/>
  <c r="V53" i="5"/>
  <c r="U53" i="5"/>
  <c r="P53" i="5"/>
  <c r="N53" i="5"/>
  <c r="H53" i="5"/>
  <c r="Z52" i="5"/>
  <c r="S52" i="5"/>
  <c r="P52" i="5"/>
  <c r="L52" i="5"/>
  <c r="G52" i="5"/>
  <c r="U51" i="5"/>
  <c r="Q51" i="5"/>
  <c r="K51" i="5"/>
  <c r="AB50" i="5"/>
  <c r="Z50" i="5"/>
  <c r="X50" i="5"/>
  <c r="S50" i="5"/>
  <c r="N50" i="5"/>
  <c r="K50" i="5"/>
  <c r="S49" i="5"/>
  <c r="O49" i="5"/>
  <c r="L49" i="5"/>
  <c r="D49" i="5"/>
  <c r="AB48" i="5"/>
  <c r="Y48" i="5"/>
  <c r="V48" i="5"/>
  <c r="T48" i="5"/>
  <c r="R48" i="5"/>
  <c r="O48" i="5"/>
  <c r="I48" i="5"/>
  <c r="AB47" i="5"/>
  <c r="Y47" i="5"/>
  <c r="V47" i="5"/>
  <c r="U47" i="5"/>
  <c r="P47" i="5"/>
  <c r="L47" i="5"/>
  <c r="W40" i="5"/>
  <c r="Q40" i="5"/>
  <c r="M40" i="5"/>
  <c r="D40" i="5"/>
  <c r="AA39" i="5"/>
  <c r="Y39" i="5"/>
  <c r="V39" i="5"/>
  <c r="R39" i="5"/>
  <c r="N39" i="5"/>
  <c r="J39" i="5"/>
  <c r="H39" i="5"/>
  <c r="U38" i="5"/>
  <c r="N38" i="5"/>
  <c r="I38" i="5"/>
  <c r="G38" i="5"/>
  <c r="AB37" i="5"/>
  <c r="Z37" i="5"/>
  <c r="X37" i="5"/>
  <c r="V37" i="5"/>
  <c r="R37" i="5"/>
  <c r="O37" i="5"/>
  <c r="L37" i="5"/>
  <c r="H37" i="5"/>
  <c r="Y36" i="5"/>
  <c r="R36" i="5"/>
  <c r="N36" i="5"/>
  <c r="L36" i="5"/>
  <c r="K36" i="5"/>
  <c r="H36" i="5"/>
  <c r="D36" i="5"/>
  <c r="Z35" i="5"/>
  <c r="U35" i="5"/>
  <c r="R35" i="5"/>
  <c r="M35" i="5"/>
  <c r="AB34" i="5"/>
  <c r="X34" i="5"/>
  <c r="V34" i="5"/>
  <c r="S34" i="5"/>
  <c r="R34" i="5"/>
  <c r="M34" i="5"/>
  <c r="G34" i="5"/>
  <c r="AB33" i="5"/>
  <c r="T33" i="5"/>
  <c r="R33" i="5"/>
  <c r="N33" i="5"/>
  <c r="I33" i="5"/>
  <c r="G33" i="5"/>
  <c r="AA32" i="5"/>
  <c r="S32" i="5"/>
  <c r="R31" i="5"/>
  <c r="O31" i="5"/>
  <c r="M31" i="5"/>
  <c r="K31" i="5"/>
  <c r="I31" i="5"/>
  <c r="AB30" i="5"/>
  <c r="Y30" i="5"/>
  <c r="T30" i="5"/>
  <c r="R30" i="5"/>
  <c r="O30" i="5"/>
  <c r="N30" i="5"/>
  <c r="K30" i="5"/>
  <c r="I30" i="5"/>
  <c r="AB29" i="5"/>
  <c r="Z29" i="5"/>
  <c r="U29" i="5"/>
  <c r="S29" i="5"/>
  <c r="Q29" i="5"/>
  <c r="O29" i="5"/>
  <c r="L29" i="5"/>
  <c r="H29" i="5"/>
  <c r="AA27" i="5"/>
  <c r="X27" i="5"/>
  <c r="U27" i="5"/>
  <c r="R27" i="5"/>
  <c r="L27" i="5"/>
  <c r="J27" i="5"/>
  <c r="Z24" i="5"/>
  <c r="U24" i="5"/>
  <c r="R24" i="5"/>
  <c r="P24" i="5"/>
  <c r="H24" i="5"/>
  <c r="AB23" i="5"/>
  <c r="Y23" i="5"/>
  <c r="V23" i="5"/>
  <c r="T23" i="5"/>
  <c r="Q23" i="5"/>
  <c r="O23" i="5"/>
  <c r="L23" i="5"/>
  <c r="I23" i="5"/>
  <c r="S22" i="5"/>
  <c r="Q22" i="5"/>
  <c r="N22" i="5"/>
  <c r="L22" i="5"/>
  <c r="H22" i="5"/>
  <c r="AB21" i="5"/>
  <c r="V21" i="5"/>
  <c r="R21" i="5"/>
  <c r="O21" i="5"/>
  <c r="M21" i="5"/>
  <c r="H21" i="5"/>
  <c r="D21" i="5"/>
  <c r="AB20" i="5"/>
  <c r="Y20" i="5"/>
  <c r="V20" i="5"/>
  <c r="T20" i="5"/>
  <c r="M20" i="5"/>
  <c r="I20" i="5"/>
  <c r="X19" i="5"/>
  <c r="S19" i="5"/>
  <c r="O19" i="5"/>
  <c r="M19" i="5"/>
  <c r="J19" i="5"/>
  <c r="W18" i="5"/>
  <c r="T18" i="5"/>
  <c r="P18" i="5"/>
  <c r="N18" i="5"/>
  <c r="L18" i="5"/>
  <c r="I18" i="5"/>
  <c r="Z17" i="5"/>
  <c r="Y17" i="5"/>
  <c r="U17" i="5"/>
  <c r="R17" i="5"/>
  <c r="Q17" i="5"/>
  <c r="N17" i="5"/>
  <c r="L17" i="5"/>
  <c r="I17" i="5"/>
  <c r="AA16" i="5"/>
  <c r="Y16" i="5"/>
  <c r="V16" i="5"/>
  <c r="U16" i="5"/>
  <c r="R16" i="5"/>
  <c r="O16" i="5"/>
  <c r="M16" i="5"/>
  <c r="K16" i="5"/>
  <c r="I16" i="5"/>
  <c r="D16" i="5"/>
  <c r="AA15" i="5"/>
  <c r="Y15" i="5"/>
  <c r="W15" i="5"/>
  <c r="U15" i="5"/>
  <c r="S15" i="5"/>
  <c r="Q15" i="5"/>
  <c r="O15" i="5"/>
  <c r="M15" i="5"/>
  <c r="J15" i="5"/>
  <c r="I15" i="5"/>
  <c r="T14" i="5"/>
  <c r="R14" i="5"/>
  <c r="O14" i="5"/>
  <c r="L14" i="5"/>
  <c r="D14" i="5"/>
  <c r="AB13" i="5"/>
  <c r="X13" i="5"/>
  <c r="S13" i="5"/>
  <c r="K13" i="5"/>
  <c r="G13" i="5"/>
  <c r="AB12" i="5"/>
  <c r="Z12" i="5"/>
  <c r="X12" i="5"/>
  <c r="W12" i="5"/>
  <c r="U12" i="5"/>
  <c r="S12" i="5"/>
  <c r="O12" i="5"/>
  <c r="M12" i="5"/>
  <c r="K12" i="5"/>
  <c r="G12" i="5"/>
  <c r="AB11" i="5"/>
  <c r="Y11" i="5"/>
  <c r="V11" i="5"/>
  <c r="S11" i="5"/>
  <c r="O11" i="5"/>
  <c r="M11" i="5"/>
  <c r="H11" i="5"/>
  <c r="AA10" i="5"/>
  <c r="Y10" i="5"/>
  <c r="V10" i="5"/>
  <c r="T10" i="5"/>
  <c r="P10" i="5"/>
  <c r="M10" i="5"/>
  <c r="L10" i="5"/>
  <c r="J10" i="5"/>
  <c r="H10" i="5"/>
  <c r="D10" i="5"/>
  <c r="AB9" i="5"/>
  <c r="U9" i="5"/>
  <c r="R9" i="5"/>
  <c r="O9" i="5"/>
  <c r="H9" i="5"/>
  <c r="AA8" i="5"/>
  <c r="Y8" i="5"/>
  <c r="W8" i="5"/>
  <c r="S8" i="5"/>
  <c r="P8" i="5"/>
  <c r="N8" i="5"/>
  <c r="M8" i="5"/>
  <c r="G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ID#AAAB8KWpFW4
    (2024-10-06 16:02:05)
Due to Waking Heart Stone
	-Deovandski Skibinski junior</t>
        </r>
      </text>
    </comment>
    <comment ref="G5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ID#AAAB8KWpFW0
    (2024-10-06 16:02:05)
See Darfaries Interface - Soul Create
	-Deovandski Skibinski junior</t>
        </r>
      </text>
    </comment>
    <comment ref="G8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ID#AAAB8KWpFW8
    (2024-10-06 16:02:05)
Start Book 1
	-Deovandski Skibinski junior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TGSpyNgdUi8ag740NSjQ6DQh+j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5" authorId="0" shapeId="0" xr:uid="{00000000-0006-0000-0300-000001000000}">
      <text>
        <r>
          <rPr>
            <sz val="10"/>
            <color rgb="FF000000"/>
            <rFont val="Arial"/>
            <scheme val="minor"/>
          </rPr>
          <t>======
ID#AAAB8KWpFWw
    (2024-10-06 16:02:05)
Due to Walking Heart
	-Deovandski Skibinski junior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gRQYXPJSmWKxdmHFiOMl+eWUYfQ=="/>
    </ext>
  </extLst>
</comments>
</file>

<file path=xl/sharedStrings.xml><?xml version="1.0" encoding="utf-8"?>
<sst xmlns="http://schemas.openxmlformats.org/spreadsheetml/2006/main" count="1602" uniqueCount="96">
  <si>
    <t>CHAR CALC</t>
  </si>
  <si>
    <t>FAUNA (HERBIVORES) AVERAGE</t>
  </si>
  <si>
    <t>Below Child years is equals to shares of parents soul being infused</t>
  </si>
  <si>
    <t>Child</t>
  </si>
  <si>
    <t>Adulthood</t>
  </si>
  <si>
    <t>Lifespan</t>
  </si>
  <si>
    <t>Soul Recharge/Day</t>
  </si>
  <si>
    <t>Average Total Years to Reach Tier</t>
  </si>
  <si>
    <t>Accumulative Total Cost</t>
  </si>
  <si>
    <t>Soul Energy Tier</t>
  </si>
  <si>
    <t>Char</t>
  </si>
  <si>
    <t>Harry</t>
  </si>
  <si>
    <t>Magi</t>
  </si>
  <si>
    <t>Fernan</t>
  </si>
  <si>
    <t>Hiromi</t>
  </si>
  <si>
    <t>Morika</t>
  </si>
  <si>
    <t>Takeo</t>
  </si>
  <si>
    <t>July</t>
  </si>
  <si>
    <t>Kaiana</t>
  </si>
  <si>
    <t>Tier I</t>
  </si>
  <si>
    <t>Tier II</t>
  </si>
  <si>
    <t>Tier III</t>
  </si>
  <si>
    <t>Tier IV</t>
  </si>
  <si>
    <t>Tier V</t>
  </si>
  <si>
    <t>Tier VI</t>
  </si>
  <si>
    <t>Tier VII</t>
  </si>
  <si>
    <t>Tier VIII</t>
  </si>
  <si>
    <t>Tier IX</t>
  </si>
  <si>
    <t>Tier X</t>
  </si>
  <si>
    <t>Tier XI</t>
  </si>
  <si>
    <t>Tier XII</t>
  </si>
  <si>
    <t>Tier XIII</t>
  </si>
  <si>
    <t>Tier XIV</t>
  </si>
  <si>
    <t>Tier XV</t>
  </si>
  <si>
    <t>Tier XVI</t>
  </si>
  <si>
    <t>Tier XVII</t>
  </si>
  <si>
    <t>How Many days does it take to recharge a spell</t>
  </si>
  <si>
    <t>Spell Soul Cost</t>
  </si>
  <si>
    <t>How Many YEARS does it take to recharge a spell</t>
  </si>
  <si>
    <t>Akemi</t>
  </si>
  <si>
    <t>Jonem</t>
  </si>
  <si>
    <t>Katsuki</t>
  </si>
  <si>
    <t>Katsumi</t>
  </si>
  <si>
    <t>Ryo</t>
  </si>
  <si>
    <t>Hanako</t>
  </si>
  <si>
    <t>Mimi</t>
  </si>
  <si>
    <t>Kozaku</t>
  </si>
  <si>
    <t>Laura</t>
  </si>
  <si>
    <t>Yosuke</t>
  </si>
  <si>
    <t>Rimir</t>
  </si>
  <si>
    <t>Francisco</t>
  </si>
  <si>
    <t>Biny</t>
  </si>
  <si>
    <t>Arukia</t>
  </si>
  <si>
    <t>Emelia</t>
  </si>
  <si>
    <t>Nailah</t>
  </si>
  <si>
    <t>Severino</t>
  </si>
  <si>
    <t>Vitor</t>
  </si>
  <si>
    <t>Clodoveu</t>
  </si>
  <si>
    <t>Marcus</t>
  </si>
  <si>
    <t>Wilson</t>
  </si>
  <si>
    <t>Maicon</t>
  </si>
  <si>
    <t>Nooru</t>
  </si>
  <si>
    <t>Satomi</t>
  </si>
  <si>
    <t>Tarou</t>
  </si>
  <si>
    <t>Itagiba</t>
  </si>
  <si>
    <t>Neferteri</t>
  </si>
  <si>
    <t>Yacamim</t>
  </si>
  <si>
    <t>Maiara</t>
  </si>
  <si>
    <t>Eori</t>
  </si>
  <si>
    <t>Nina</t>
  </si>
  <si>
    <t>Gabiro</t>
  </si>
  <si>
    <t>Kibe</t>
  </si>
  <si>
    <t>Eiri</t>
  </si>
  <si>
    <t>Coema</t>
  </si>
  <si>
    <t>Sora</t>
  </si>
  <si>
    <t>Kiko</t>
  </si>
  <si>
    <t>Zico</t>
  </si>
  <si>
    <t>Huneo</t>
  </si>
  <si>
    <t>Itanema</t>
  </si>
  <si>
    <t>Sinoi</t>
  </si>
  <si>
    <t>Gamal</t>
  </si>
  <si>
    <t>Naunet</t>
  </si>
  <si>
    <t>Jimmie</t>
  </si>
  <si>
    <t>Kianna</t>
  </si>
  <si>
    <t>Isabel</t>
  </si>
  <si>
    <t>Brandi</t>
  </si>
  <si>
    <t>Ariana</t>
  </si>
  <si>
    <t>Amelia</t>
  </si>
  <si>
    <t>Alford</t>
  </si>
  <si>
    <t>Luny</t>
  </si>
  <si>
    <t>Aurora</t>
  </si>
  <si>
    <t>Dalila</t>
  </si>
  <si>
    <t>Melada</t>
  </si>
  <si>
    <t>Honati</t>
  </si>
  <si>
    <t>Laramy</t>
  </si>
  <si>
    <t>From Formulas: Soul Energy K3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</si>
</sst>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rgb="FF000000"/>
      <name val="Arial"/>
      <scheme val="minor"/>
    </font>
    <font>
      <b/>
      <sz val="8"/>
      <color rgb="FFFF9900"/>
      <name val="Arial"/>
    </font>
    <font>
      <sz val="10"/>
      <color theme="1"/>
      <name val="Arial"/>
    </font>
    <font>
      <b/>
      <sz val="10"/>
      <color rgb="FFFFFF00"/>
      <name val="Arial"/>
    </font>
    <font>
      <sz val="8"/>
      <color rgb="FFFFFFFF"/>
      <name val="Arial"/>
    </font>
    <font>
      <sz val="8"/>
      <color theme="1"/>
      <name val="Arial"/>
    </font>
    <font>
      <b/>
      <sz val="10"/>
      <color theme="1"/>
      <name val="Arial"/>
    </font>
    <font>
      <b/>
      <sz val="8"/>
      <color theme="1"/>
      <name val="Arial"/>
    </font>
    <font>
      <b/>
      <sz val="9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C343D"/>
        <bgColor rgb="FF0C343D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5" fillId="4" borderId="1" xfId="0" applyFont="1" applyFill="1" applyBorder="1"/>
    <xf numFmtId="2" fontId="2" fillId="4" borderId="2" xfId="0" applyNumberFormat="1" applyFont="1" applyFill="1" applyBorder="1"/>
    <xf numFmtId="1" fontId="2" fillId="5" borderId="2" xfId="0" applyNumberFormat="1" applyFont="1" applyFill="1" applyBorder="1"/>
    <xf numFmtId="0" fontId="5" fillId="4" borderId="1" xfId="0" applyFont="1" applyFill="1" applyBorder="1" applyAlignment="1">
      <alignment wrapText="1"/>
    </xf>
    <xf numFmtId="164" fontId="6" fillId="5" borderId="3" xfId="0" applyNumberFormat="1" applyFont="1" applyFill="1" applyBorder="1"/>
    <xf numFmtId="0" fontId="7" fillId="4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2" fillId="4" borderId="5" xfId="0" applyFont="1" applyFill="1" applyBorder="1"/>
    <xf numFmtId="0" fontId="9" fillId="0" borderId="5" xfId="0" applyFont="1" applyBorder="1" applyAlignment="1">
      <alignment horizontal="center" wrapText="1"/>
    </xf>
    <xf numFmtId="2" fontId="9" fillId="0" borderId="5" xfId="0" applyNumberFormat="1" applyFont="1" applyBorder="1" applyAlignment="1">
      <alignment horizontal="center" wrapText="1"/>
    </xf>
    <xf numFmtId="2" fontId="9" fillId="0" borderId="6" xfId="0" applyNumberFormat="1" applyFont="1" applyBorder="1" applyAlignment="1">
      <alignment horizontal="center" wrapText="1"/>
    </xf>
    <xf numFmtId="2" fontId="9" fillId="0" borderId="2" xfId="0" applyNumberFormat="1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2" fontId="10" fillId="0" borderId="5" xfId="0" applyNumberFormat="1" applyFont="1" applyBorder="1" applyAlignment="1">
      <alignment horizontal="center" wrapText="1"/>
    </xf>
    <xf numFmtId="0" fontId="7" fillId="4" borderId="7" xfId="0" applyFont="1" applyFill="1" applyBorder="1" applyAlignment="1">
      <alignment wrapText="1"/>
    </xf>
    <xf numFmtId="0" fontId="8" fillId="0" borderId="7" xfId="0" applyFont="1" applyBorder="1" applyAlignment="1">
      <alignment wrapText="1"/>
    </xf>
    <xf numFmtId="0" fontId="9" fillId="0" borderId="6" xfId="0" applyFont="1" applyBorder="1" applyAlignment="1">
      <alignment horizontal="center" wrapText="1"/>
    </xf>
    <xf numFmtId="164" fontId="2" fillId="0" borderId="5" xfId="0" applyNumberFormat="1" applyFont="1" applyBorder="1"/>
    <xf numFmtId="164" fontId="2" fillId="0" borderId="2" xfId="0" applyNumberFormat="1" applyFont="1" applyBorder="1"/>
    <xf numFmtId="0" fontId="9" fillId="0" borderId="8" xfId="0" applyFont="1" applyBorder="1" applyAlignment="1">
      <alignment horizontal="center" wrapText="1"/>
    </xf>
    <xf numFmtId="1" fontId="2" fillId="5" borderId="2" xfId="0" applyNumberFormat="1" applyFont="1" applyFill="1" applyBorder="1" applyAlignment="1">
      <alignment horizontal="right"/>
    </xf>
    <xf numFmtId="1" fontId="2" fillId="5" borderId="3" xfId="0" applyNumberFormat="1" applyFont="1" applyFill="1" applyBorder="1" applyAlignment="1">
      <alignment horizontal="right"/>
    </xf>
    <xf numFmtId="1" fontId="2" fillId="5" borderId="5" xfId="0" applyNumberFormat="1" applyFont="1" applyFill="1" applyBorder="1" applyAlignment="1">
      <alignment horizontal="right"/>
    </xf>
    <xf numFmtId="1" fontId="2" fillId="5" borderId="9" xfId="0" applyNumberFormat="1" applyFont="1" applyFill="1" applyBorder="1" applyAlignment="1">
      <alignment horizontal="right"/>
    </xf>
    <xf numFmtId="0" fontId="2" fillId="2" borderId="0" xfId="0" applyFont="1" applyFill="1"/>
    <xf numFmtId="0" fontId="0" fillId="0" borderId="0" xfId="0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4" fillId="3" borderId="0" xfId="0" applyFont="1" applyFill="1" applyAlignment="1">
      <alignment wrapText="1"/>
    </xf>
    <xf numFmtId="0" fontId="6" fillId="0" borderId="1" xfId="0" applyFont="1" applyBorder="1" applyAlignment="1">
      <alignment wrapText="1"/>
    </xf>
    <xf numFmtId="0" fontId="2" fillId="0" borderId="5" xfId="0" applyFont="1" applyBorder="1"/>
    <xf numFmtId="0" fontId="2" fillId="0" borderId="2" xfId="0" applyFont="1" applyBorder="1"/>
  </cellXfs>
  <cellStyles count="1">
    <cellStyle name="Normal" xfId="0" builtinId="0"/>
  </cellStyles>
  <dxfs count="852"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5B0F00"/>
          <bgColor rgb="FF5B0F00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5B0F00"/>
          <bgColor rgb="FF5B0F00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5B0F00"/>
          <bgColor rgb="FF5B0F00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5B0F00"/>
          <bgColor rgb="FF5B0F00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5B0F00"/>
          <bgColor rgb="FF5B0F00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5B0F00"/>
          <bgColor rgb="FF5B0F00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5B0F00"/>
          <bgColor rgb="FF5B0F00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5B0F00"/>
          <bgColor rgb="FF5B0F00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5B0F00"/>
          <bgColor rgb="FF5B0F00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5B0F00"/>
          <bgColor rgb="FF5B0F00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5B0F00"/>
          <bgColor rgb="FF5B0F00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ont>
        <color rgb="FF660000"/>
      </font>
      <fill>
        <patternFill patternType="solid">
          <fgColor rgb="FF660000"/>
          <bgColor rgb="FF66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C343D"/>
      </font>
      <fill>
        <patternFill patternType="solid">
          <fgColor rgb="FF0C343D"/>
          <bgColor rgb="FF0C343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660000"/>
      </font>
      <fill>
        <patternFill patternType="solid">
          <fgColor rgb="FF5B0F00"/>
          <bgColor rgb="FF5B0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96DA4-6D41-44B0-A6E6-15EC330B72EC}">
  <dimension ref="A4:A22"/>
  <sheetViews>
    <sheetView workbookViewId="0">
      <selection activeCell="D30" sqref="D30"/>
    </sheetView>
  </sheetViews>
  <sheetFormatPr defaultRowHeight="12.45" x14ac:dyDescent="0.3"/>
  <cols>
    <col min="1" max="1" width="33.23046875" customWidth="1"/>
  </cols>
  <sheetData>
    <row r="4" spans="1:1" ht="12.9" thickBot="1" x14ac:dyDescent="0.35">
      <c r="A4" t="s">
        <v>95</v>
      </c>
    </row>
    <row r="5" spans="1:1" ht="50.15" thickBot="1" x14ac:dyDescent="0.35">
      <c r="A5" s="34" t="s">
        <v>8</v>
      </c>
    </row>
    <row r="6" spans="1:1" x14ac:dyDescent="0.3">
      <c r="A6" s="35">
        <v>400</v>
      </c>
    </row>
    <row r="7" spans="1:1" x14ac:dyDescent="0.3">
      <c r="A7" s="36">
        <v>1200</v>
      </c>
    </row>
    <row r="8" spans="1:1" x14ac:dyDescent="0.3">
      <c r="A8" s="36">
        <v>2800</v>
      </c>
    </row>
    <row r="9" spans="1:1" x14ac:dyDescent="0.3">
      <c r="A9" s="36">
        <v>6000</v>
      </c>
    </row>
    <row r="10" spans="1:1" x14ac:dyDescent="0.3">
      <c r="A10" s="36">
        <v>12400</v>
      </c>
    </row>
    <row r="11" spans="1:1" x14ac:dyDescent="0.3">
      <c r="A11" s="36">
        <v>25200</v>
      </c>
    </row>
    <row r="12" spans="1:1" x14ac:dyDescent="0.3">
      <c r="A12" s="36">
        <v>50800</v>
      </c>
    </row>
    <row r="13" spans="1:1" x14ac:dyDescent="0.3">
      <c r="A13" s="36">
        <v>102000</v>
      </c>
    </row>
    <row r="14" spans="1:1" x14ac:dyDescent="0.3">
      <c r="A14" s="36">
        <v>204400</v>
      </c>
    </row>
    <row r="15" spans="1:1" x14ac:dyDescent="0.3">
      <c r="A15" s="36">
        <v>409200</v>
      </c>
    </row>
    <row r="16" spans="1:1" x14ac:dyDescent="0.3">
      <c r="A16" s="36">
        <v>818800</v>
      </c>
    </row>
    <row r="17" spans="1:1" x14ac:dyDescent="0.3">
      <c r="A17" s="36">
        <v>1638000</v>
      </c>
    </row>
    <row r="18" spans="1:1" x14ac:dyDescent="0.3">
      <c r="A18" s="36">
        <v>3276400</v>
      </c>
    </row>
    <row r="19" spans="1:1" x14ac:dyDescent="0.3">
      <c r="A19" s="36">
        <v>6553200</v>
      </c>
    </row>
    <row r="20" spans="1:1" x14ac:dyDescent="0.3">
      <c r="A20" s="36">
        <v>13106800</v>
      </c>
    </row>
    <row r="21" spans="1:1" x14ac:dyDescent="0.3">
      <c r="A21" s="36">
        <v>26214000</v>
      </c>
    </row>
    <row r="22" spans="1:1" x14ac:dyDescent="0.3">
      <c r="A22" s="36">
        <v>52428400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workbookViewId="0">
      <selection activeCell="A46" sqref="A46:A62"/>
    </sheetView>
  </sheetViews>
  <sheetFormatPr defaultColWidth="12.61328125" defaultRowHeight="15" customHeight="1" x14ac:dyDescent="0.3"/>
  <cols>
    <col min="1" max="1" width="10.4609375" customWidth="1"/>
    <col min="2" max="2" width="2.3828125" customWidth="1"/>
    <col min="3" max="3" width="10.4609375" customWidth="1"/>
    <col min="4" max="4" width="12.61328125" customWidth="1"/>
    <col min="5" max="5" width="2.3828125" customWidth="1"/>
    <col min="6" max="6" width="10.4609375" customWidth="1"/>
    <col min="9" max="10" width="14.61328125" customWidth="1"/>
  </cols>
  <sheetData>
    <row r="1" spans="1:28" ht="15.75" customHeight="1" x14ac:dyDescent="0.3">
      <c r="A1" s="1"/>
      <c r="B1" s="2"/>
      <c r="C1" s="32" t="s">
        <v>0</v>
      </c>
      <c r="D1" s="30"/>
      <c r="E1" s="2"/>
      <c r="F1" s="3"/>
      <c r="G1" s="32" t="s">
        <v>1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ht="15.75" customHeight="1" x14ac:dyDescent="0.3">
      <c r="A2" s="33" t="s">
        <v>2</v>
      </c>
      <c r="B2" s="2"/>
      <c r="C2" s="4" t="s">
        <v>3</v>
      </c>
      <c r="D2" s="5">
        <f>D3/12</f>
        <v>1.893939393939394E-2</v>
      </c>
      <c r="E2" s="2"/>
      <c r="F2" s="4" t="s">
        <v>3</v>
      </c>
      <c r="G2" s="5">
        <f t="shared" ref="G2:AB2" si="0">G3/12</f>
        <v>1.9886363636363635</v>
      </c>
      <c r="H2" s="5">
        <f t="shared" si="0"/>
        <v>1.7992424242424241</v>
      </c>
      <c r="I2" s="5">
        <f t="shared" si="0"/>
        <v>1.6098484848484846</v>
      </c>
      <c r="J2" s="5">
        <f t="shared" si="0"/>
        <v>4.1666666666666661</v>
      </c>
      <c r="K2" s="5">
        <f t="shared" si="0"/>
        <v>1.3257575757575757</v>
      </c>
      <c r="L2" s="5">
        <f t="shared" si="0"/>
        <v>2.4621212121212119</v>
      </c>
      <c r="M2" s="5">
        <f t="shared" si="0"/>
        <v>1.5909090909090908</v>
      </c>
      <c r="N2" s="5">
        <f t="shared" si="0"/>
        <v>1.4015151515151514</v>
      </c>
      <c r="O2" s="5">
        <f t="shared" si="0"/>
        <v>1.893939393939394E-2</v>
      </c>
      <c r="P2" s="5">
        <f t="shared" si="0"/>
        <v>1.893939393939394E-2</v>
      </c>
      <c r="Q2" s="5">
        <f t="shared" si="0"/>
        <v>1.893939393939394E-2</v>
      </c>
      <c r="R2" s="5">
        <f t="shared" si="0"/>
        <v>1.893939393939394E-2</v>
      </c>
      <c r="S2" s="5">
        <f t="shared" si="0"/>
        <v>1.893939393939394E-2</v>
      </c>
      <c r="T2" s="5">
        <f t="shared" si="0"/>
        <v>1.893939393939394E-2</v>
      </c>
      <c r="U2" s="5">
        <f t="shared" si="0"/>
        <v>1.893939393939394E-2</v>
      </c>
      <c r="V2" s="5">
        <f t="shared" si="0"/>
        <v>1.893939393939394E-2</v>
      </c>
      <c r="W2" s="5">
        <f t="shared" si="0"/>
        <v>1.893939393939394E-2</v>
      </c>
      <c r="X2" s="5">
        <f t="shared" si="0"/>
        <v>1.893939393939394E-2</v>
      </c>
      <c r="Y2" s="5">
        <f t="shared" si="0"/>
        <v>1.893939393939394E-2</v>
      </c>
      <c r="Z2" s="5">
        <f t="shared" si="0"/>
        <v>1.893939393939394E-2</v>
      </c>
      <c r="AA2" s="5">
        <f t="shared" si="0"/>
        <v>1.893939393939394E-2</v>
      </c>
      <c r="AB2" s="5">
        <f t="shared" si="0"/>
        <v>1.893939393939394E-2</v>
      </c>
    </row>
    <row r="3" spans="1:28" ht="15.75" customHeight="1" x14ac:dyDescent="0.3">
      <c r="A3" s="30"/>
      <c r="B3" s="2"/>
      <c r="C3" s="4" t="s">
        <v>4</v>
      </c>
      <c r="D3" s="5">
        <f>D4/4.4</f>
        <v>0.22727272727272727</v>
      </c>
      <c r="E3" s="2"/>
      <c r="F3" s="4" t="s">
        <v>4</v>
      </c>
      <c r="G3" s="5">
        <f t="shared" ref="G3:AB3" si="1">G4/4.4</f>
        <v>23.863636363636363</v>
      </c>
      <c r="H3" s="5">
        <f t="shared" si="1"/>
        <v>21.59090909090909</v>
      </c>
      <c r="I3" s="5">
        <f t="shared" si="1"/>
        <v>19.318181818181817</v>
      </c>
      <c r="J3" s="5">
        <f t="shared" si="1"/>
        <v>49.999999999999993</v>
      </c>
      <c r="K3" s="5">
        <f t="shared" si="1"/>
        <v>15.909090909090908</v>
      </c>
      <c r="L3" s="5">
        <f t="shared" si="1"/>
        <v>29.545454545454543</v>
      </c>
      <c r="M3" s="5">
        <f t="shared" si="1"/>
        <v>19.09090909090909</v>
      </c>
      <c r="N3" s="5">
        <f t="shared" si="1"/>
        <v>16.818181818181817</v>
      </c>
      <c r="O3" s="5">
        <f t="shared" si="1"/>
        <v>0.22727272727272727</v>
      </c>
      <c r="P3" s="5">
        <f t="shared" si="1"/>
        <v>0.22727272727272727</v>
      </c>
      <c r="Q3" s="5">
        <f t="shared" si="1"/>
        <v>0.22727272727272727</v>
      </c>
      <c r="R3" s="5">
        <f t="shared" si="1"/>
        <v>0.22727272727272727</v>
      </c>
      <c r="S3" s="5">
        <f t="shared" si="1"/>
        <v>0.22727272727272727</v>
      </c>
      <c r="T3" s="5">
        <f t="shared" si="1"/>
        <v>0.22727272727272727</v>
      </c>
      <c r="U3" s="5">
        <f t="shared" si="1"/>
        <v>0.22727272727272727</v>
      </c>
      <c r="V3" s="5">
        <f t="shared" si="1"/>
        <v>0.22727272727272727</v>
      </c>
      <c r="W3" s="5">
        <f t="shared" si="1"/>
        <v>0.22727272727272727</v>
      </c>
      <c r="X3" s="5">
        <f t="shared" si="1"/>
        <v>0.22727272727272727</v>
      </c>
      <c r="Y3" s="5">
        <f t="shared" si="1"/>
        <v>0.22727272727272727</v>
      </c>
      <c r="Z3" s="5">
        <f t="shared" si="1"/>
        <v>0.22727272727272727</v>
      </c>
      <c r="AA3" s="5">
        <f t="shared" si="1"/>
        <v>0.22727272727272727</v>
      </c>
      <c r="AB3" s="5">
        <f t="shared" si="1"/>
        <v>0.22727272727272727</v>
      </c>
    </row>
    <row r="4" spans="1:28" ht="15.75" customHeight="1" x14ac:dyDescent="0.3">
      <c r="A4" s="30"/>
      <c r="B4" s="2"/>
      <c r="C4" s="4" t="s">
        <v>5</v>
      </c>
      <c r="D4" s="6">
        <v>1</v>
      </c>
      <c r="E4" s="2"/>
      <c r="F4" s="4" t="s">
        <v>5</v>
      </c>
      <c r="G4" s="6">
        <v>105</v>
      </c>
      <c r="H4" s="6">
        <v>95</v>
      </c>
      <c r="I4" s="6">
        <v>85</v>
      </c>
      <c r="J4" s="6">
        <v>220</v>
      </c>
      <c r="K4" s="6">
        <v>70</v>
      </c>
      <c r="L4" s="6">
        <v>130</v>
      </c>
      <c r="M4" s="6">
        <v>84</v>
      </c>
      <c r="N4" s="6">
        <v>74</v>
      </c>
      <c r="O4" s="6">
        <v>1</v>
      </c>
      <c r="P4" s="6">
        <v>1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>
        <v>1</v>
      </c>
      <c r="X4" s="6">
        <v>1</v>
      </c>
      <c r="Y4" s="6">
        <v>1</v>
      </c>
      <c r="Z4" s="6">
        <v>1</v>
      </c>
      <c r="AA4" s="6">
        <v>1</v>
      </c>
      <c r="AB4" s="6">
        <v>1</v>
      </c>
    </row>
    <row r="5" spans="1:28" ht="25.5" customHeight="1" x14ac:dyDescent="0.3">
      <c r="A5" s="30"/>
      <c r="B5" s="2"/>
      <c r="C5" s="7" t="s">
        <v>6</v>
      </c>
      <c r="D5" s="8">
        <v>1</v>
      </c>
      <c r="E5" s="2"/>
      <c r="F5" s="7" t="s">
        <v>6</v>
      </c>
      <c r="G5" s="6">
        <v>139</v>
      </c>
      <c r="H5" s="6">
        <v>17</v>
      </c>
      <c r="I5" s="6">
        <v>20</v>
      </c>
      <c r="J5" s="6">
        <v>9</v>
      </c>
      <c r="K5" s="6">
        <v>7</v>
      </c>
      <c r="L5" s="6">
        <v>5</v>
      </c>
      <c r="M5" s="6">
        <v>15</v>
      </c>
      <c r="N5" s="6">
        <v>11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1</v>
      </c>
    </row>
    <row r="6" spans="1:28" ht="15.75" customHeight="1" x14ac:dyDescent="0.3">
      <c r="A6" s="3"/>
      <c r="B6" s="2"/>
      <c r="C6" s="29"/>
      <c r="D6" s="30"/>
      <c r="E6" s="2"/>
      <c r="F6" s="3"/>
      <c r="G6" s="31" t="s">
        <v>7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spans="1:28" ht="15.75" customHeight="1" x14ac:dyDescent="0.3">
      <c r="A7" s="9" t="s">
        <v>8</v>
      </c>
      <c r="B7" s="2"/>
      <c r="C7" s="10" t="s">
        <v>9</v>
      </c>
      <c r="D7" s="10" t="s">
        <v>10</v>
      </c>
      <c r="E7" s="2"/>
      <c r="F7" s="10" t="s">
        <v>9</v>
      </c>
      <c r="G7" s="10" t="s">
        <v>11</v>
      </c>
      <c r="H7" s="10" t="s">
        <v>12</v>
      </c>
      <c r="I7" s="10" t="s">
        <v>13</v>
      </c>
      <c r="J7" s="10" t="s">
        <v>14</v>
      </c>
      <c r="K7" s="10" t="s">
        <v>15</v>
      </c>
      <c r="L7" s="10" t="s">
        <v>16</v>
      </c>
      <c r="M7" s="10" t="s">
        <v>17</v>
      </c>
      <c r="N7" s="10" t="s">
        <v>18</v>
      </c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5.75" customHeight="1" x14ac:dyDescent="0.3">
      <c r="A8" s="12">
        <f>RAW!$A$6</f>
        <v>400</v>
      </c>
      <c r="B8" s="2"/>
      <c r="C8" s="13" t="s">
        <v>19</v>
      </c>
      <c r="D8" s="14">
        <f t="shared" ref="D8:D24" si="2">($A8/D$5)/365</f>
        <v>1.095890410958904</v>
      </c>
      <c r="E8" s="2"/>
      <c r="F8" s="13" t="s">
        <v>19</v>
      </c>
      <c r="G8" s="14">
        <f t="shared" ref="G8:AB8" si="3">($A8/G$5)/365</f>
        <v>7.8841036759633391E-3</v>
      </c>
      <c r="H8" s="14">
        <f t="shared" si="3"/>
        <v>6.4464141821112014E-2</v>
      </c>
      <c r="I8" s="14">
        <f t="shared" si="3"/>
        <v>5.4794520547945202E-2</v>
      </c>
      <c r="J8" s="14">
        <f t="shared" si="3"/>
        <v>0.12176560121765601</v>
      </c>
      <c r="K8" s="14">
        <f t="shared" si="3"/>
        <v>0.15655577299412918</v>
      </c>
      <c r="L8" s="14">
        <f t="shared" si="3"/>
        <v>0.21917808219178081</v>
      </c>
      <c r="M8" s="14">
        <f t="shared" si="3"/>
        <v>7.3059360730593617E-2</v>
      </c>
      <c r="N8" s="14">
        <f t="shared" si="3"/>
        <v>9.962640099626402E-2</v>
      </c>
      <c r="O8" s="15">
        <f t="shared" si="3"/>
        <v>1.095890410958904</v>
      </c>
      <c r="P8" s="16">
        <f t="shared" si="3"/>
        <v>1.095890410958904</v>
      </c>
      <c r="Q8" s="16">
        <f t="shared" si="3"/>
        <v>1.095890410958904</v>
      </c>
      <c r="R8" s="16">
        <f t="shared" si="3"/>
        <v>1.095890410958904</v>
      </c>
      <c r="S8" s="16">
        <f t="shared" si="3"/>
        <v>1.095890410958904</v>
      </c>
      <c r="T8" s="16">
        <f t="shared" si="3"/>
        <v>1.095890410958904</v>
      </c>
      <c r="U8" s="16">
        <f t="shared" si="3"/>
        <v>1.095890410958904</v>
      </c>
      <c r="V8" s="16">
        <f t="shared" si="3"/>
        <v>1.095890410958904</v>
      </c>
      <c r="W8" s="16">
        <f t="shared" si="3"/>
        <v>1.095890410958904</v>
      </c>
      <c r="X8" s="16">
        <f t="shared" si="3"/>
        <v>1.095890410958904</v>
      </c>
      <c r="Y8" s="16">
        <f t="shared" si="3"/>
        <v>1.095890410958904</v>
      </c>
      <c r="Z8" s="16">
        <f t="shared" si="3"/>
        <v>1.095890410958904</v>
      </c>
      <c r="AA8" s="16">
        <f t="shared" si="3"/>
        <v>1.095890410958904</v>
      </c>
      <c r="AB8" s="16">
        <f t="shared" si="3"/>
        <v>1.095890410958904</v>
      </c>
    </row>
    <row r="9" spans="1:28" ht="15.75" customHeight="1" x14ac:dyDescent="0.3">
      <c r="A9" s="12">
        <f>RAW!$A$7</f>
        <v>1200</v>
      </c>
      <c r="B9" s="2"/>
      <c r="C9" s="17" t="s">
        <v>20</v>
      </c>
      <c r="D9" s="14">
        <f t="shared" si="2"/>
        <v>3.2876712328767121</v>
      </c>
      <c r="E9" s="2"/>
      <c r="F9" s="17" t="s">
        <v>20</v>
      </c>
      <c r="G9" s="14">
        <f t="shared" ref="G9:AB9" si="4">($A9/G$5)/365</f>
        <v>2.3652311027890015E-2</v>
      </c>
      <c r="H9" s="14">
        <f t="shared" si="4"/>
        <v>0.19339242546333604</v>
      </c>
      <c r="I9" s="14">
        <f t="shared" si="4"/>
        <v>0.16438356164383561</v>
      </c>
      <c r="J9" s="14">
        <f t="shared" si="4"/>
        <v>0.36529680365296807</v>
      </c>
      <c r="K9" s="14">
        <f t="shared" si="4"/>
        <v>0.46966731898238745</v>
      </c>
      <c r="L9" s="14">
        <f t="shared" si="4"/>
        <v>0.65753424657534243</v>
      </c>
      <c r="M9" s="14">
        <f t="shared" si="4"/>
        <v>0.21917808219178081</v>
      </c>
      <c r="N9" s="14">
        <f t="shared" si="4"/>
        <v>0.29887920298879206</v>
      </c>
      <c r="O9" s="15">
        <f t="shared" si="4"/>
        <v>3.2876712328767121</v>
      </c>
      <c r="P9" s="16">
        <f t="shared" si="4"/>
        <v>3.2876712328767121</v>
      </c>
      <c r="Q9" s="16">
        <f t="shared" si="4"/>
        <v>3.2876712328767121</v>
      </c>
      <c r="R9" s="16">
        <f t="shared" si="4"/>
        <v>3.2876712328767121</v>
      </c>
      <c r="S9" s="16">
        <f t="shared" si="4"/>
        <v>3.2876712328767121</v>
      </c>
      <c r="T9" s="16">
        <f t="shared" si="4"/>
        <v>3.2876712328767121</v>
      </c>
      <c r="U9" s="16">
        <f t="shared" si="4"/>
        <v>3.2876712328767121</v>
      </c>
      <c r="V9" s="16">
        <f t="shared" si="4"/>
        <v>3.2876712328767121</v>
      </c>
      <c r="W9" s="16">
        <f t="shared" si="4"/>
        <v>3.2876712328767121</v>
      </c>
      <c r="X9" s="16">
        <f t="shared" si="4"/>
        <v>3.2876712328767121</v>
      </c>
      <c r="Y9" s="16">
        <f t="shared" si="4"/>
        <v>3.2876712328767121</v>
      </c>
      <c r="Z9" s="16">
        <f t="shared" si="4"/>
        <v>3.2876712328767121</v>
      </c>
      <c r="AA9" s="16">
        <f t="shared" si="4"/>
        <v>3.2876712328767121</v>
      </c>
      <c r="AB9" s="16">
        <f t="shared" si="4"/>
        <v>3.2876712328767121</v>
      </c>
    </row>
    <row r="10" spans="1:28" ht="15.75" customHeight="1" x14ac:dyDescent="0.3">
      <c r="A10" s="12">
        <f>RAW!$A$8</f>
        <v>2800</v>
      </c>
      <c r="B10" s="2"/>
      <c r="C10" s="17" t="s">
        <v>21</v>
      </c>
      <c r="D10" s="14">
        <f t="shared" si="2"/>
        <v>7.6712328767123283</v>
      </c>
      <c r="E10" s="2"/>
      <c r="F10" s="17" t="s">
        <v>21</v>
      </c>
      <c r="G10" s="14">
        <f t="shared" ref="G10:AB10" si="5">($A10/G$5)/365</f>
        <v>5.5188725731743368E-2</v>
      </c>
      <c r="H10" s="14">
        <f t="shared" si="5"/>
        <v>0.45124899274778407</v>
      </c>
      <c r="I10" s="14">
        <f t="shared" si="5"/>
        <v>0.38356164383561642</v>
      </c>
      <c r="J10" s="14">
        <f t="shared" si="5"/>
        <v>0.85235920852359204</v>
      </c>
      <c r="K10" s="14">
        <f t="shared" si="5"/>
        <v>1.095890410958904</v>
      </c>
      <c r="L10" s="14">
        <f t="shared" si="5"/>
        <v>1.5342465753424657</v>
      </c>
      <c r="M10" s="14">
        <f t="shared" si="5"/>
        <v>0.51141552511415522</v>
      </c>
      <c r="N10" s="14">
        <f t="shared" si="5"/>
        <v>0.69738480697384808</v>
      </c>
      <c r="O10" s="15">
        <f t="shared" si="5"/>
        <v>7.6712328767123283</v>
      </c>
      <c r="P10" s="16">
        <f t="shared" si="5"/>
        <v>7.6712328767123283</v>
      </c>
      <c r="Q10" s="16">
        <f t="shared" si="5"/>
        <v>7.6712328767123283</v>
      </c>
      <c r="R10" s="16">
        <f t="shared" si="5"/>
        <v>7.6712328767123283</v>
      </c>
      <c r="S10" s="16">
        <f t="shared" si="5"/>
        <v>7.6712328767123283</v>
      </c>
      <c r="T10" s="16">
        <f t="shared" si="5"/>
        <v>7.6712328767123283</v>
      </c>
      <c r="U10" s="16">
        <f t="shared" si="5"/>
        <v>7.6712328767123283</v>
      </c>
      <c r="V10" s="16">
        <f t="shared" si="5"/>
        <v>7.6712328767123283</v>
      </c>
      <c r="W10" s="16">
        <f t="shared" si="5"/>
        <v>7.6712328767123283</v>
      </c>
      <c r="X10" s="16">
        <f t="shared" si="5"/>
        <v>7.6712328767123283</v>
      </c>
      <c r="Y10" s="16">
        <f t="shared" si="5"/>
        <v>7.6712328767123283</v>
      </c>
      <c r="Z10" s="16">
        <f t="shared" si="5"/>
        <v>7.6712328767123283</v>
      </c>
      <c r="AA10" s="16">
        <f t="shared" si="5"/>
        <v>7.6712328767123283</v>
      </c>
      <c r="AB10" s="16">
        <f t="shared" si="5"/>
        <v>7.6712328767123283</v>
      </c>
    </row>
    <row r="11" spans="1:28" ht="15.75" customHeight="1" x14ac:dyDescent="0.3">
      <c r="A11" s="12">
        <f>RAW!$A$9</f>
        <v>6000</v>
      </c>
      <c r="B11" s="2"/>
      <c r="C11" s="17" t="s">
        <v>22</v>
      </c>
      <c r="D11" s="14">
        <f t="shared" si="2"/>
        <v>16.438356164383563</v>
      </c>
      <c r="E11" s="2"/>
      <c r="F11" s="17" t="s">
        <v>22</v>
      </c>
      <c r="G11" s="14">
        <f t="shared" ref="G11:AB11" si="6">($A11/G$5)/365</f>
        <v>0.11826155513945009</v>
      </c>
      <c r="H11" s="14">
        <f t="shared" si="6"/>
        <v>0.96696212731668008</v>
      </c>
      <c r="I11" s="14">
        <f t="shared" si="6"/>
        <v>0.82191780821917804</v>
      </c>
      <c r="J11" s="14">
        <f t="shared" si="6"/>
        <v>1.8264840182648401</v>
      </c>
      <c r="K11" s="14">
        <f t="shared" si="6"/>
        <v>2.3483365949119372</v>
      </c>
      <c r="L11" s="14">
        <f t="shared" si="6"/>
        <v>3.2876712328767121</v>
      </c>
      <c r="M11" s="14">
        <f t="shared" si="6"/>
        <v>1.095890410958904</v>
      </c>
      <c r="N11" s="14">
        <f t="shared" si="6"/>
        <v>1.4943960149439603</v>
      </c>
      <c r="O11" s="15">
        <f t="shared" si="6"/>
        <v>16.438356164383563</v>
      </c>
      <c r="P11" s="16">
        <f t="shared" si="6"/>
        <v>16.438356164383563</v>
      </c>
      <c r="Q11" s="16">
        <f t="shared" si="6"/>
        <v>16.438356164383563</v>
      </c>
      <c r="R11" s="16">
        <f t="shared" si="6"/>
        <v>16.438356164383563</v>
      </c>
      <c r="S11" s="16">
        <f t="shared" si="6"/>
        <v>16.438356164383563</v>
      </c>
      <c r="T11" s="16">
        <f t="shared" si="6"/>
        <v>16.438356164383563</v>
      </c>
      <c r="U11" s="16">
        <f t="shared" si="6"/>
        <v>16.438356164383563</v>
      </c>
      <c r="V11" s="16">
        <f t="shared" si="6"/>
        <v>16.438356164383563</v>
      </c>
      <c r="W11" s="16">
        <f t="shared" si="6"/>
        <v>16.438356164383563</v>
      </c>
      <c r="X11" s="16">
        <f t="shared" si="6"/>
        <v>16.438356164383563</v>
      </c>
      <c r="Y11" s="16">
        <f t="shared" si="6"/>
        <v>16.438356164383563</v>
      </c>
      <c r="Z11" s="16">
        <f t="shared" si="6"/>
        <v>16.438356164383563</v>
      </c>
      <c r="AA11" s="16">
        <f t="shared" si="6"/>
        <v>16.438356164383563</v>
      </c>
      <c r="AB11" s="16">
        <f t="shared" si="6"/>
        <v>16.438356164383563</v>
      </c>
    </row>
    <row r="12" spans="1:28" ht="15.75" customHeight="1" x14ac:dyDescent="0.3">
      <c r="A12" s="12">
        <f>RAW!$A$10</f>
        <v>12400</v>
      </c>
      <c r="B12" s="2"/>
      <c r="C12" s="17" t="s">
        <v>23</v>
      </c>
      <c r="D12" s="14">
        <f t="shared" si="2"/>
        <v>33.972602739726028</v>
      </c>
      <c r="E12" s="2"/>
      <c r="F12" s="17" t="s">
        <v>23</v>
      </c>
      <c r="G12" s="14">
        <f t="shared" ref="G12:AB12" si="7">($A12/G$5)/365</f>
        <v>0.24440721395486351</v>
      </c>
      <c r="H12" s="14">
        <f t="shared" si="7"/>
        <v>1.9983883964544722</v>
      </c>
      <c r="I12" s="14">
        <f t="shared" si="7"/>
        <v>1.6986301369863013</v>
      </c>
      <c r="J12" s="14">
        <f t="shared" si="7"/>
        <v>3.7747336377473366</v>
      </c>
      <c r="K12" s="14">
        <f t="shared" si="7"/>
        <v>4.8532289628180036</v>
      </c>
      <c r="L12" s="14">
        <f t="shared" si="7"/>
        <v>6.7945205479452051</v>
      </c>
      <c r="M12" s="14">
        <f t="shared" si="7"/>
        <v>2.2648401826484017</v>
      </c>
      <c r="N12" s="14">
        <f t="shared" si="7"/>
        <v>3.0884184308841842</v>
      </c>
      <c r="O12" s="15">
        <f t="shared" si="7"/>
        <v>33.972602739726028</v>
      </c>
      <c r="P12" s="16">
        <f t="shared" si="7"/>
        <v>33.972602739726028</v>
      </c>
      <c r="Q12" s="16">
        <f t="shared" si="7"/>
        <v>33.972602739726028</v>
      </c>
      <c r="R12" s="16">
        <f t="shared" si="7"/>
        <v>33.972602739726028</v>
      </c>
      <c r="S12" s="16">
        <f t="shared" si="7"/>
        <v>33.972602739726028</v>
      </c>
      <c r="T12" s="16">
        <f t="shared" si="7"/>
        <v>33.972602739726028</v>
      </c>
      <c r="U12" s="16">
        <f t="shared" si="7"/>
        <v>33.972602739726028</v>
      </c>
      <c r="V12" s="16">
        <f t="shared" si="7"/>
        <v>33.972602739726028</v>
      </c>
      <c r="W12" s="16">
        <f t="shared" si="7"/>
        <v>33.972602739726028</v>
      </c>
      <c r="X12" s="16">
        <f t="shared" si="7"/>
        <v>33.972602739726028</v>
      </c>
      <c r="Y12" s="16">
        <f t="shared" si="7"/>
        <v>33.972602739726028</v>
      </c>
      <c r="Z12" s="16">
        <f t="shared" si="7"/>
        <v>33.972602739726028</v>
      </c>
      <c r="AA12" s="16">
        <f t="shared" si="7"/>
        <v>33.972602739726028</v>
      </c>
      <c r="AB12" s="16">
        <f t="shared" si="7"/>
        <v>33.972602739726028</v>
      </c>
    </row>
    <row r="13" spans="1:28" ht="15.75" customHeight="1" x14ac:dyDescent="0.3">
      <c r="A13" s="12">
        <f>RAW!$A$11</f>
        <v>25200</v>
      </c>
      <c r="B13" s="2"/>
      <c r="C13" s="17" t="s">
        <v>24</v>
      </c>
      <c r="D13" s="18">
        <f t="shared" si="2"/>
        <v>69.041095890410958</v>
      </c>
      <c r="E13" s="2"/>
      <c r="F13" s="17" t="s">
        <v>24</v>
      </c>
      <c r="G13" s="14">
        <f t="shared" ref="G13:AB13" si="8">($A13/G$5)/365</f>
        <v>0.49669853158569033</v>
      </c>
      <c r="H13" s="14">
        <f t="shared" si="8"/>
        <v>4.0612409347300558</v>
      </c>
      <c r="I13" s="14">
        <f t="shared" si="8"/>
        <v>3.452054794520548</v>
      </c>
      <c r="J13" s="14">
        <f t="shared" si="8"/>
        <v>7.6712328767123283</v>
      </c>
      <c r="K13" s="14">
        <f t="shared" si="8"/>
        <v>9.8630136986301373</v>
      </c>
      <c r="L13" s="14">
        <f t="shared" si="8"/>
        <v>13.808219178082192</v>
      </c>
      <c r="M13" s="14">
        <f t="shared" si="8"/>
        <v>4.602739726027397</v>
      </c>
      <c r="N13" s="14">
        <f t="shared" si="8"/>
        <v>6.2764632627646328</v>
      </c>
      <c r="O13" s="15">
        <f t="shared" si="8"/>
        <v>69.041095890410958</v>
      </c>
      <c r="P13" s="16">
        <f t="shared" si="8"/>
        <v>69.041095890410958</v>
      </c>
      <c r="Q13" s="16">
        <f t="shared" si="8"/>
        <v>69.041095890410958</v>
      </c>
      <c r="R13" s="16">
        <f t="shared" si="8"/>
        <v>69.041095890410958</v>
      </c>
      <c r="S13" s="16">
        <f t="shared" si="8"/>
        <v>69.041095890410958</v>
      </c>
      <c r="T13" s="16">
        <f t="shared" si="8"/>
        <v>69.041095890410958</v>
      </c>
      <c r="U13" s="16">
        <f t="shared" si="8"/>
        <v>69.041095890410958</v>
      </c>
      <c r="V13" s="16">
        <f t="shared" si="8"/>
        <v>69.041095890410958</v>
      </c>
      <c r="W13" s="16">
        <f t="shared" si="8"/>
        <v>69.041095890410958</v>
      </c>
      <c r="X13" s="16">
        <f t="shared" si="8"/>
        <v>69.041095890410958</v>
      </c>
      <c r="Y13" s="16">
        <f t="shared" si="8"/>
        <v>69.041095890410958</v>
      </c>
      <c r="Z13" s="16">
        <f t="shared" si="8"/>
        <v>69.041095890410958</v>
      </c>
      <c r="AA13" s="16">
        <f t="shared" si="8"/>
        <v>69.041095890410958</v>
      </c>
      <c r="AB13" s="16">
        <f t="shared" si="8"/>
        <v>69.041095890410958</v>
      </c>
    </row>
    <row r="14" spans="1:28" ht="15.75" customHeight="1" x14ac:dyDescent="0.3">
      <c r="A14" s="12">
        <f>RAW!$A$12</f>
        <v>50800</v>
      </c>
      <c r="B14" s="2"/>
      <c r="C14" s="17" t="s">
        <v>25</v>
      </c>
      <c r="D14" s="14">
        <f t="shared" si="2"/>
        <v>139.17808219178082</v>
      </c>
      <c r="E14" s="2"/>
      <c r="F14" s="17" t="s">
        <v>25</v>
      </c>
      <c r="G14" s="14">
        <f t="shared" ref="G14:AB14" si="9">($A14/G$5)/365</f>
        <v>1.001281166847344</v>
      </c>
      <c r="H14" s="14">
        <f t="shared" si="9"/>
        <v>8.1869460112812238</v>
      </c>
      <c r="I14" s="14">
        <f t="shared" si="9"/>
        <v>6.9589041095890414</v>
      </c>
      <c r="J14" s="14">
        <f t="shared" si="9"/>
        <v>15.464231354642314</v>
      </c>
      <c r="K14" s="14">
        <f t="shared" si="9"/>
        <v>19.882583170254403</v>
      </c>
      <c r="L14" s="14">
        <f t="shared" si="9"/>
        <v>27.835616438356166</v>
      </c>
      <c r="M14" s="14">
        <f t="shared" si="9"/>
        <v>9.2785388127853885</v>
      </c>
      <c r="N14" s="14">
        <f t="shared" si="9"/>
        <v>12.652552926525528</v>
      </c>
      <c r="O14" s="15">
        <f t="shared" si="9"/>
        <v>139.17808219178082</v>
      </c>
      <c r="P14" s="16">
        <f t="shared" si="9"/>
        <v>139.17808219178082</v>
      </c>
      <c r="Q14" s="16">
        <f t="shared" si="9"/>
        <v>139.17808219178082</v>
      </c>
      <c r="R14" s="16">
        <f t="shared" si="9"/>
        <v>139.17808219178082</v>
      </c>
      <c r="S14" s="16">
        <f t="shared" si="9"/>
        <v>139.17808219178082</v>
      </c>
      <c r="T14" s="16">
        <f t="shared" si="9"/>
        <v>139.17808219178082</v>
      </c>
      <c r="U14" s="16">
        <f t="shared" si="9"/>
        <v>139.17808219178082</v>
      </c>
      <c r="V14" s="16">
        <f t="shared" si="9"/>
        <v>139.17808219178082</v>
      </c>
      <c r="W14" s="16">
        <f t="shared" si="9"/>
        <v>139.17808219178082</v>
      </c>
      <c r="X14" s="16">
        <f t="shared" si="9"/>
        <v>139.17808219178082</v>
      </c>
      <c r="Y14" s="16">
        <f t="shared" si="9"/>
        <v>139.17808219178082</v>
      </c>
      <c r="Z14" s="16">
        <f t="shared" si="9"/>
        <v>139.17808219178082</v>
      </c>
      <c r="AA14" s="16">
        <f t="shared" si="9"/>
        <v>139.17808219178082</v>
      </c>
      <c r="AB14" s="16">
        <f t="shared" si="9"/>
        <v>139.17808219178082</v>
      </c>
    </row>
    <row r="15" spans="1:28" ht="15.75" customHeight="1" x14ac:dyDescent="0.3">
      <c r="A15" s="12">
        <f>RAW!$A$13</f>
        <v>102000</v>
      </c>
      <c r="B15" s="2"/>
      <c r="C15" s="17" t="s">
        <v>26</v>
      </c>
      <c r="D15" s="14">
        <f t="shared" si="2"/>
        <v>279.45205479452056</v>
      </c>
      <c r="E15" s="2"/>
      <c r="F15" s="17" t="s">
        <v>26</v>
      </c>
      <c r="G15" s="14">
        <f t="shared" ref="G15:AB15" si="10">($A15/G$5)/365</f>
        <v>2.0104464373706517</v>
      </c>
      <c r="H15" s="14">
        <f t="shared" si="10"/>
        <v>16.438356164383563</v>
      </c>
      <c r="I15" s="14">
        <f t="shared" si="10"/>
        <v>13.972602739726028</v>
      </c>
      <c r="J15" s="14">
        <f t="shared" si="10"/>
        <v>31.050228310502284</v>
      </c>
      <c r="K15" s="14">
        <f t="shared" si="10"/>
        <v>39.921722113502931</v>
      </c>
      <c r="L15" s="14">
        <f t="shared" si="10"/>
        <v>55.890410958904113</v>
      </c>
      <c r="M15" s="14">
        <f t="shared" si="10"/>
        <v>18.63013698630137</v>
      </c>
      <c r="N15" s="14">
        <f t="shared" si="10"/>
        <v>25.404732254047321</v>
      </c>
      <c r="O15" s="15">
        <f t="shared" si="10"/>
        <v>279.45205479452056</v>
      </c>
      <c r="P15" s="16">
        <f t="shared" si="10"/>
        <v>279.45205479452056</v>
      </c>
      <c r="Q15" s="16">
        <f t="shared" si="10"/>
        <v>279.45205479452056</v>
      </c>
      <c r="R15" s="16">
        <f t="shared" si="10"/>
        <v>279.45205479452056</v>
      </c>
      <c r="S15" s="16">
        <f t="shared" si="10"/>
        <v>279.45205479452056</v>
      </c>
      <c r="T15" s="16">
        <f t="shared" si="10"/>
        <v>279.45205479452056</v>
      </c>
      <c r="U15" s="16">
        <f t="shared" si="10"/>
        <v>279.45205479452056</v>
      </c>
      <c r="V15" s="16">
        <f t="shared" si="10"/>
        <v>279.45205479452056</v>
      </c>
      <c r="W15" s="16">
        <f t="shared" si="10"/>
        <v>279.45205479452056</v>
      </c>
      <c r="X15" s="16">
        <f t="shared" si="10"/>
        <v>279.45205479452056</v>
      </c>
      <c r="Y15" s="16">
        <f t="shared" si="10"/>
        <v>279.45205479452056</v>
      </c>
      <c r="Z15" s="16">
        <f t="shared" si="10"/>
        <v>279.45205479452056</v>
      </c>
      <c r="AA15" s="16">
        <f t="shared" si="10"/>
        <v>279.45205479452056</v>
      </c>
      <c r="AB15" s="16">
        <f t="shared" si="10"/>
        <v>279.45205479452056</v>
      </c>
    </row>
    <row r="16" spans="1:28" ht="15.75" customHeight="1" x14ac:dyDescent="0.3">
      <c r="A16" s="12">
        <f>RAW!$A$14</f>
        <v>204400</v>
      </c>
      <c r="B16" s="2"/>
      <c r="C16" s="17" t="s">
        <v>27</v>
      </c>
      <c r="D16" s="14">
        <f t="shared" si="2"/>
        <v>560</v>
      </c>
      <c r="E16" s="2"/>
      <c r="F16" s="17" t="s">
        <v>27</v>
      </c>
      <c r="G16" s="14">
        <f t="shared" ref="G16:AB16" si="11">($A16/G$5)/365</f>
        <v>4.028776978417266</v>
      </c>
      <c r="H16" s="14">
        <f t="shared" si="11"/>
        <v>32.941176470588239</v>
      </c>
      <c r="I16" s="14">
        <f t="shared" si="11"/>
        <v>28</v>
      </c>
      <c r="J16" s="14">
        <f t="shared" si="11"/>
        <v>62.222222222222214</v>
      </c>
      <c r="K16" s="14">
        <f t="shared" si="11"/>
        <v>80</v>
      </c>
      <c r="L16" s="14">
        <f t="shared" si="11"/>
        <v>112</v>
      </c>
      <c r="M16" s="14">
        <f t="shared" si="11"/>
        <v>37.333333333333329</v>
      </c>
      <c r="N16" s="14">
        <f t="shared" si="11"/>
        <v>50.909090909090907</v>
      </c>
      <c r="O16" s="15">
        <f t="shared" si="11"/>
        <v>560</v>
      </c>
      <c r="P16" s="16">
        <f t="shared" si="11"/>
        <v>560</v>
      </c>
      <c r="Q16" s="16">
        <f t="shared" si="11"/>
        <v>560</v>
      </c>
      <c r="R16" s="16">
        <f t="shared" si="11"/>
        <v>560</v>
      </c>
      <c r="S16" s="16">
        <f t="shared" si="11"/>
        <v>560</v>
      </c>
      <c r="T16" s="16">
        <f t="shared" si="11"/>
        <v>560</v>
      </c>
      <c r="U16" s="16">
        <f t="shared" si="11"/>
        <v>560</v>
      </c>
      <c r="V16" s="16">
        <f t="shared" si="11"/>
        <v>560</v>
      </c>
      <c r="W16" s="16">
        <f t="shared" si="11"/>
        <v>560</v>
      </c>
      <c r="X16" s="16">
        <f t="shared" si="11"/>
        <v>560</v>
      </c>
      <c r="Y16" s="16">
        <f t="shared" si="11"/>
        <v>560</v>
      </c>
      <c r="Z16" s="16">
        <f t="shared" si="11"/>
        <v>560</v>
      </c>
      <c r="AA16" s="16">
        <f t="shared" si="11"/>
        <v>560</v>
      </c>
      <c r="AB16" s="16">
        <f t="shared" si="11"/>
        <v>560</v>
      </c>
    </row>
    <row r="17" spans="1:28" ht="15.75" customHeight="1" x14ac:dyDescent="0.3">
      <c r="A17" s="12">
        <f>RAW!$A$15</f>
        <v>409200</v>
      </c>
      <c r="B17" s="2"/>
      <c r="C17" s="17" t="s">
        <v>28</v>
      </c>
      <c r="D17" s="14">
        <f t="shared" si="2"/>
        <v>1121.0958904109589</v>
      </c>
      <c r="E17" s="2"/>
      <c r="F17" s="17" t="s">
        <v>28</v>
      </c>
      <c r="G17" s="14">
        <f t="shared" ref="G17:AB17" si="12">($A17/G$5)/365</f>
        <v>8.0654380605104965</v>
      </c>
      <c r="H17" s="14">
        <f t="shared" si="12"/>
        <v>65.946817082997583</v>
      </c>
      <c r="I17" s="14">
        <f t="shared" si="12"/>
        <v>56.054794520547944</v>
      </c>
      <c r="J17" s="14">
        <f t="shared" si="12"/>
        <v>124.56621004566209</v>
      </c>
      <c r="K17" s="14">
        <f t="shared" si="12"/>
        <v>160.15655577299412</v>
      </c>
      <c r="L17" s="14">
        <f t="shared" si="12"/>
        <v>224.21917808219177</v>
      </c>
      <c r="M17" s="14">
        <f t="shared" si="12"/>
        <v>74.739726027397253</v>
      </c>
      <c r="N17" s="14">
        <f t="shared" si="12"/>
        <v>101.91780821917808</v>
      </c>
      <c r="O17" s="15">
        <f t="shared" si="12"/>
        <v>1121.0958904109589</v>
      </c>
      <c r="P17" s="16">
        <f t="shared" si="12"/>
        <v>1121.0958904109589</v>
      </c>
      <c r="Q17" s="16">
        <f t="shared" si="12"/>
        <v>1121.0958904109589</v>
      </c>
      <c r="R17" s="16">
        <f t="shared" si="12"/>
        <v>1121.0958904109589</v>
      </c>
      <c r="S17" s="16">
        <f t="shared" si="12"/>
        <v>1121.0958904109589</v>
      </c>
      <c r="T17" s="16">
        <f t="shared" si="12"/>
        <v>1121.0958904109589</v>
      </c>
      <c r="U17" s="16">
        <f t="shared" si="12"/>
        <v>1121.0958904109589</v>
      </c>
      <c r="V17" s="16">
        <f t="shared" si="12"/>
        <v>1121.0958904109589</v>
      </c>
      <c r="W17" s="16">
        <f t="shared" si="12"/>
        <v>1121.0958904109589</v>
      </c>
      <c r="X17" s="16">
        <f t="shared" si="12"/>
        <v>1121.0958904109589</v>
      </c>
      <c r="Y17" s="16">
        <f t="shared" si="12"/>
        <v>1121.0958904109589</v>
      </c>
      <c r="Z17" s="16">
        <f t="shared" si="12"/>
        <v>1121.0958904109589</v>
      </c>
      <c r="AA17" s="16">
        <f t="shared" si="12"/>
        <v>1121.0958904109589</v>
      </c>
      <c r="AB17" s="16">
        <f t="shared" si="12"/>
        <v>1121.0958904109589</v>
      </c>
    </row>
    <row r="18" spans="1:28" ht="15.75" customHeight="1" x14ac:dyDescent="0.3">
      <c r="A18" s="12">
        <f>RAW!$A$16</f>
        <v>818800</v>
      </c>
      <c r="B18" s="2"/>
      <c r="C18" s="17" t="s">
        <v>29</v>
      </c>
      <c r="D18" s="14">
        <f t="shared" si="2"/>
        <v>2243.2876712328766</v>
      </c>
      <c r="E18" s="2"/>
      <c r="F18" s="17" t="s">
        <v>29</v>
      </c>
      <c r="G18" s="14">
        <f t="shared" ref="G18:AB18" si="13">($A18/G$5)/365</f>
        <v>16.138760224696956</v>
      </c>
      <c r="H18" s="14">
        <f t="shared" si="13"/>
        <v>131.95809830781627</v>
      </c>
      <c r="I18" s="14">
        <f t="shared" si="13"/>
        <v>112.16438356164383</v>
      </c>
      <c r="J18" s="14">
        <f t="shared" si="13"/>
        <v>249.25418569254185</v>
      </c>
      <c r="K18" s="14">
        <f t="shared" si="13"/>
        <v>320.46966731898237</v>
      </c>
      <c r="L18" s="14">
        <f t="shared" si="13"/>
        <v>448.65753424657532</v>
      </c>
      <c r="M18" s="14">
        <f t="shared" si="13"/>
        <v>149.55251141552512</v>
      </c>
      <c r="N18" s="14">
        <f t="shared" si="13"/>
        <v>203.93524283935241</v>
      </c>
      <c r="O18" s="15">
        <f t="shared" si="13"/>
        <v>2243.2876712328766</v>
      </c>
      <c r="P18" s="16">
        <f t="shared" si="13"/>
        <v>2243.2876712328766</v>
      </c>
      <c r="Q18" s="16">
        <f t="shared" si="13"/>
        <v>2243.2876712328766</v>
      </c>
      <c r="R18" s="16">
        <f t="shared" si="13"/>
        <v>2243.2876712328766</v>
      </c>
      <c r="S18" s="16">
        <f t="shared" si="13"/>
        <v>2243.2876712328766</v>
      </c>
      <c r="T18" s="16">
        <f t="shared" si="13"/>
        <v>2243.2876712328766</v>
      </c>
      <c r="U18" s="16">
        <f t="shared" si="13"/>
        <v>2243.2876712328766</v>
      </c>
      <c r="V18" s="16">
        <f t="shared" si="13"/>
        <v>2243.2876712328766</v>
      </c>
      <c r="W18" s="16">
        <f t="shared" si="13"/>
        <v>2243.2876712328766</v>
      </c>
      <c r="X18" s="16">
        <f t="shared" si="13"/>
        <v>2243.2876712328766</v>
      </c>
      <c r="Y18" s="16">
        <f t="shared" si="13"/>
        <v>2243.2876712328766</v>
      </c>
      <c r="Z18" s="16">
        <f t="shared" si="13"/>
        <v>2243.2876712328766</v>
      </c>
      <c r="AA18" s="16">
        <f t="shared" si="13"/>
        <v>2243.2876712328766</v>
      </c>
      <c r="AB18" s="16">
        <f t="shared" si="13"/>
        <v>2243.2876712328766</v>
      </c>
    </row>
    <row r="19" spans="1:28" ht="15.75" customHeight="1" x14ac:dyDescent="0.3">
      <c r="A19" s="12">
        <f>RAW!$A$17</f>
        <v>1638000</v>
      </c>
      <c r="B19" s="2"/>
      <c r="C19" s="17" t="s">
        <v>30</v>
      </c>
      <c r="D19" s="14">
        <f t="shared" si="2"/>
        <v>4487.6712328767126</v>
      </c>
      <c r="E19" s="2"/>
      <c r="F19" s="17" t="s">
        <v>30</v>
      </c>
      <c r="G19" s="14">
        <f t="shared" ref="G19:AB19" si="14">($A19/G$5)/365</f>
        <v>32.285404553069874</v>
      </c>
      <c r="H19" s="14">
        <f t="shared" si="14"/>
        <v>263.98066075745368</v>
      </c>
      <c r="I19" s="14">
        <f t="shared" si="14"/>
        <v>224.38356164383561</v>
      </c>
      <c r="J19" s="14">
        <f t="shared" si="14"/>
        <v>498.63013698630135</v>
      </c>
      <c r="K19" s="14">
        <f t="shared" si="14"/>
        <v>641.09589041095887</v>
      </c>
      <c r="L19" s="14">
        <f t="shared" si="14"/>
        <v>897.53424657534242</v>
      </c>
      <c r="M19" s="14">
        <f t="shared" si="14"/>
        <v>299.17808219178085</v>
      </c>
      <c r="N19" s="14">
        <f t="shared" si="14"/>
        <v>407.97011207970115</v>
      </c>
      <c r="O19" s="15">
        <f t="shared" si="14"/>
        <v>4487.6712328767126</v>
      </c>
      <c r="P19" s="16">
        <f t="shared" si="14"/>
        <v>4487.6712328767126</v>
      </c>
      <c r="Q19" s="16">
        <f t="shared" si="14"/>
        <v>4487.6712328767126</v>
      </c>
      <c r="R19" s="16">
        <f t="shared" si="14"/>
        <v>4487.6712328767126</v>
      </c>
      <c r="S19" s="16">
        <f t="shared" si="14"/>
        <v>4487.6712328767126</v>
      </c>
      <c r="T19" s="16">
        <f t="shared" si="14"/>
        <v>4487.6712328767126</v>
      </c>
      <c r="U19" s="16">
        <f t="shared" si="14"/>
        <v>4487.6712328767126</v>
      </c>
      <c r="V19" s="16">
        <f t="shared" si="14"/>
        <v>4487.6712328767126</v>
      </c>
      <c r="W19" s="16">
        <f t="shared" si="14"/>
        <v>4487.6712328767126</v>
      </c>
      <c r="X19" s="16">
        <f t="shared" si="14"/>
        <v>4487.6712328767126</v>
      </c>
      <c r="Y19" s="16">
        <f t="shared" si="14"/>
        <v>4487.6712328767126</v>
      </c>
      <c r="Z19" s="16">
        <f t="shared" si="14"/>
        <v>4487.6712328767126</v>
      </c>
      <c r="AA19" s="16">
        <f t="shared" si="14"/>
        <v>4487.6712328767126</v>
      </c>
      <c r="AB19" s="16">
        <f t="shared" si="14"/>
        <v>4487.6712328767126</v>
      </c>
    </row>
    <row r="20" spans="1:28" ht="15.75" customHeight="1" x14ac:dyDescent="0.3">
      <c r="A20" s="12">
        <f>RAW!$A$18</f>
        <v>3276400</v>
      </c>
      <c r="B20" s="2"/>
      <c r="C20" s="17" t="s">
        <v>31</v>
      </c>
      <c r="D20" s="14">
        <f t="shared" si="2"/>
        <v>8976.4383561643845</v>
      </c>
      <c r="E20" s="2"/>
      <c r="F20" s="17" t="s">
        <v>31</v>
      </c>
      <c r="G20" s="14">
        <f t="shared" ref="G20:AB20" si="15">($A20/G$5)/365</f>
        <v>64.578693209815711</v>
      </c>
      <c r="H20" s="14">
        <f t="shared" si="15"/>
        <v>528.02578565672843</v>
      </c>
      <c r="I20" s="14">
        <f t="shared" si="15"/>
        <v>448.82191780821915</v>
      </c>
      <c r="J20" s="14">
        <f t="shared" si="15"/>
        <v>997.38203957382041</v>
      </c>
      <c r="K20" s="14">
        <f t="shared" si="15"/>
        <v>1282.3483365949119</v>
      </c>
      <c r="L20" s="14">
        <f t="shared" si="15"/>
        <v>1795.2876712328766</v>
      </c>
      <c r="M20" s="14">
        <f t="shared" si="15"/>
        <v>598.42922374429224</v>
      </c>
      <c r="N20" s="14">
        <f t="shared" si="15"/>
        <v>816.03985056039858</v>
      </c>
      <c r="O20" s="15">
        <f t="shared" si="15"/>
        <v>8976.4383561643845</v>
      </c>
      <c r="P20" s="16">
        <f t="shared" si="15"/>
        <v>8976.4383561643845</v>
      </c>
      <c r="Q20" s="16">
        <f t="shared" si="15"/>
        <v>8976.4383561643845</v>
      </c>
      <c r="R20" s="16">
        <f t="shared" si="15"/>
        <v>8976.4383561643845</v>
      </c>
      <c r="S20" s="16">
        <f t="shared" si="15"/>
        <v>8976.4383561643845</v>
      </c>
      <c r="T20" s="16">
        <f t="shared" si="15"/>
        <v>8976.4383561643845</v>
      </c>
      <c r="U20" s="16">
        <f t="shared" si="15"/>
        <v>8976.4383561643845</v>
      </c>
      <c r="V20" s="16">
        <f t="shared" si="15"/>
        <v>8976.4383561643845</v>
      </c>
      <c r="W20" s="16">
        <f t="shared" si="15"/>
        <v>8976.4383561643845</v>
      </c>
      <c r="X20" s="16">
        <f t="shared" si="15"/>
        <v>8976.4383561643845</v>
      </c>
      <c r="Y20" s="16">
        <f t="shared" si="15"/>
        <v>8976.4383561643845</v>
      </c>
      <c r="Z20" s="16">
        <f t="shared" si="15"/>
        <v>8976.4383561643845</v>
      </c>
      <c r="AA20" s="16">
        <f t="shared" si="15"/>
        <v>8976.4383561643845</v>
      </c>
      <c r="AB20" s="16">
        <f t="shared" si="15"/>
        <v>8976.4383561643845</v>
      </c>
    </row>
    <row r="21" spans="1:28" ht="15.75" customHeight="1" x14ac:dyDescent="0.3">
      <c r="A21" s="12">
        <f>RAW!$A$19</f>
        <v>6553200</v>
      </c>
      <c r="B21" s="2"/>
      <c r="C21" s="17" t="s">
        <v>32</v>
      </c>
      <c r="D21" s="14">
        <f t="shared" si="2"/>
        <v>17953.972602739726</v>
      </c>
      <c r="E21" s="2"/>
      <c r="F21" s="17" t="s">
        <v>32</v>
      </c>
      <c r="G21" s="14">
        <f t="shared" ref="G21:AB21" si="16">($A21/G$5)/365</f>
        <v>129.16527052330738</v>
      </c>
      <c r="H21" s="14">
        <f t="shared" si="16"/>
        <v>1056.1160354552778</v>
      </c>
      <c r="I21" s="14">
        <f t="shared" si="16"/>
        <v>897.69863013698625</v>
      </c>
      <c r="J21" s="14">
        <f t="shared" si="16"/>
        <v>1994.8858447488585</v>
      </c>
      <c r="K21" s="14">
        <f t="shared" si="16"/>
        <v>2564.8532289628179</v>
      </c>
      <c r="L21" s="14">
        <f t="shared" si="16"/>
        <v>3590.794520547945</v>
      </c>
      <c r="M21" s="14">
        <f t="shared" si="16"/>
        <v>1196.9315068493152</v>
      </c>
      <c r="N21" s="14">
        <f t="shared" si="16"/>
        <v>1632.1793275217933</v>
      </c>
      <c r="O21" s="15">
        <f t="shared" si="16"/>
        <v>17953.972602739726</v>
      </c>
      <c r="P21" s="16">
        <f t="shared" si="16"/>
        <v>17953.972602739726</v>
      </c>
      <c r="Q21" s="16">
        <f t="shared" si="16"/>
        <v>17953.972602739726</v>
      </c>
      <c r="R21" s="16">
        <f t="shared" si="16"/>
        <v>17953.972602739726</v>
      </c>
      <c r="S21" s="16">
        <f t="shared" si="16"/>
        <v>17953.972602739726</v>
      </c>
      <c r="T21" s="16">
        <f t="shared" si="16"/>
        <v>17953.972602739726</v>
      </c>
      <c r="U21" s="16">
        <f t="shared" si="16"/>
        <v>17953.972602739726</v>
      </c>
      <c r="V21" s="16">
        <f t="shared" si="16"/>
        <v>17953.972602739726</v>
      </c>
      <c r="W21" s="16">
        <f t="shared" si="16"/>
        <v>17953.972602739726</v>
      </c>
      <c r="X21" s="16">
        <f t="shared" si="16"/>
        <v>17953.972602739726</v>
      </c>
      <c r="Y21" s="16">
        <f t="shared" si="16"/>
        <v>17953.972602739726</v>
      </c>
      <c r="Z21" s="16">
        <f t="shared" si="16"/>
        <v>17953.972602739726</v>
      </c>
      <c r="AA21" s="16">
        <f t="shared" si="16"/>
        <v>17953.972602739726</v>
      </c>
      <c r="AB21" s="16">
        <f t="shared" si="16"/>
        <v>17953.972602739726</v>
      </c>
    </row>
    <row r="22" spans="1:28" ht="15.75" customHeight="1" x14ac:dyDescent="0.3">
      <c r="A22" s="12">
        <f>RAW!$A$20</f>
        <v>13106800</v>
      </c>
      <c r="B22" s="2"/>
      <c r="C22" s="17" t="s">
        <v>33</v>
      </c>
      <c r="D22" s="14">
        <f t="shared" si="2"/>
        <v>35909.04109589041</v>
      </c>
      <c r="E22" s="2"/>
      <c r="F22" s="17" t="s">
        <v>33</v>
      </c>
      <c r="G22" s="14">
        <f t="shared" ref="G22:AB22" si="17">($A22/G$5)/365</f>
        <v>258.33842515029073</v>
      </c>
      <c r="H22" s="14">
        <f t="shared" si="17"/>
        <v>2112.2965350523768</v>
      </c>
      <c r="I22" s="14">
        <f t="shared" si="17"/>
        <v>1795.4520547945206</v>
      </c>
      <c r="J22" s="14">
        <f t="shared" si="17"/>
        <v>3989.8934550989343</v>
      </c>
      <c r="K22" s="14">
        <f t="shared" si="17"/>
        <v>5129.8630136986303</v>
      </c>
      <c r="L22" s="14">
        <f t="shared" si="17"/>
        <v>7181.8082191780823</v>
      </c>
      <c r="M22" s="14">
        <f t="shared" si="17"/>
        <v>2393.9360730593608</v>
      </c>
      <c r="N22" s="14">
        <f t="shared" si="17"/>
        <v>3264.4582814445826</v>
      </c>
      <c r="O22" s="15">
        <f t="shared" si="17"/>
        <v>35909.04109589041</v>
      </c>
      <c r="P22" s="16">
        <f t="shared" si="17"/>
        <v>35909.04109589041</v>
      </c>
      <c r="Q22" s="16">
        <f t="shared" si="17"/>
        <v>35909.04109589041</v>
      </c>
      <c r="R22" s="16">
        <f t="shared" si="17"/>
        <v>35909.04109589041</v>
      </c>
      <c r="S22" s="16">
        <f t="shared" si="17"/>
        <v>35909.04109589041</v>
      </c>
      <c r="T22" s="16">
        <f t="shared" si="17"/>
        <v>35909.04109589041</v>
      </c>
      <c r="U22" s="16">
        <f t="shared" si="17"/>
        <v>35909.04109589041</v>
      </c>
      <c r="V22" s="16">
        <f t="shared" si="17"/>
        <v>35909.04109589041</v>
      </c>
      <c r="W22" s="16">
        <f t="shared" si="17"/>
        <v>35909.04109589041</v>
      </c>
      <c r="X22" s="16">
        <f t="shared" si="17"/>
        <v>35909.04109589041</v>
      </c>
      <c r="Y22" s="16">
        <f t="shared" si="17"/>
        <v>35909.04109589041</v>
      </c>
      <c r="Z22" s="16">
        <f t="shared" si="17"/>
        <v>35909.04109589041</v>
      </c>
      <c r="AA22" s="16">
        <f t="shared" si="17"/>
        <v>35909.04109589041</v>
      </c>
      <c r="AB22" s="16">
        <f t="shared" si="17"/>
        <v>35909.04109589041</v>
      </c>
    </row>
    <row r="23" spans="1:28" ht="15.75" customHeight="1" x14ac:dyDescent="0.3">
      <c r="A23" s="12">
        <f>RAW!$A$21</f>
        <v>26214000</v>
      </c>
      <c r="B23" s="2"/>
      <c r="C23" s="17" t="s">
        <v>34</v>
      </c>
      <c r="D23" s="14">
        <f t="shared" si="2"/>
        <v>71819.178082191778</v>
      </c>
      <c r="E23" s="2"/>
      <c r="F23" s="17" t="s">
        <v>34</v>
      </c>
      <c r="G23" s="14">
        <f t="shared" ref="G23:AB23" si="18">($A23/G$5)/365</f>
        <v>516.68473440425737</v>
      </c>
      <c r="H23" s="14">
        <f t="shared" si="18"/>
        <v>4224.6575342465758</v>
      </c>
      <c r="I23" s="14">
        <f t="shared" si="18"/>
        <v>3590.9589041095892</v>
      </c>
      <c r="J23" s="14">
        <f t="shared" si="18"/>
        <v>7979.9086757990863</v>
      </c>
      <c r="K23" s="14">
        <f t="shared" si="18"/>
        <v>10259.882583170254</v>
      </c>
      <c r="L23" s="14">
        <f t="shared" si="18"/>
        <v>14363.835616438357</v>
      </c>
      <c r="M23" s="14">
        <f t="shared" si="18"/>
        <v>4787.9452054794519</v>
      </c>
      <c r="N23" s="14">
        <f t="shared" si="18"/>
        <v>6529.0161892901624</v>
      </c>
      <c r="O23" s="15">
        <f t="shared" si="18"/>
        <v>71819.178082191778</v>
      </c>
      <c r="P23" s="16">
        <f t="shared" si="18"/>
        <v>71819.178082191778</v>
      </c>
      <c r="Q23" s="16">
        <f t="shared" si="18"/>
        <v>71819.178082191778</v>
      </c>
      <c r="R23" s="16">
        <f t="shared" si="18"/>
        <v>71819.178082191778</v>
      </c>
      <c r="S23" s="16">
        <f t="shared" si="18"/>
        <v>71819.178082191778</v>
      </c>
      <c r="T23" s="16">
        <f t="shared" si="18"/>
        <v>71819.178082191778</v>
      </c>
      <c r="U23" s="16">
        <f t="shared" si="18"/>
        <v>71819.178082191778</v>
      </c>
      <c r="V23" s="16">
        <f t="shared" si="18"/>
        <v>71819.178082191778</v>
      </c>
      <c r="W23" s="16">
        <f t="shared" si="18"/>
        <v>71819.178082191778</v>
      </c>
      <c r="X23" s="16">
        <f t="shared" si="18"/>
        <v>71819.178082191778</v>
      </c>
      <c r="Y23" s="16">
        <f t="shared" si="18"/>
        <v>71819.178082191778</v>
      </c>
      <c r="Z23" s="16">
        <f t="shared" si="18"/>
        <v>71819.178082191778</v>
      </c>
      <c r="AA23" s="16">
        <f t="shared" si="18"/>
        <v>71819.178082191778</v>
      </c>
      <c r="AB23" s="16">
        <f t="shared" si="18"/>
        <v>71819.178082191778</v>
      </c>
    </row>
    <row r="24" spans="1:28" ht="15.75" customHeight="1" x14ac:dyDescent="0.3">
      <c r="A24" s="12">
        <f>RAW!$A$22</f>
        <v>52428400</v>
      </c>
      <c r="B24" s="2"/>
      <c r="C24" s="17" t="s">
        <v>35</v>
      </c>
      <c r="D24" s="14">
        <f t="shared" si="2"/>
        <v>143639.45205479453</v>
      </c>
      <c r="E24" s="2"/>
      <c r="F24" s="17" t="s">
        <v>35</v>
      </c>
      <c r="G24" s="14">
        <f t="shared" ref="G24:AB24" si="19">($A24/G$5)/365</f>
        <v>1033.3773529121906</v>
      </c>
      <c r="H24" s="14">
        <f t="shared" si="19"/>
        <v>8449.3795326349718</v>
      </c>
      <c r="I24" s="14">
        <f t="shared" si="19"/>
        <v>7181.9726027397264</v>
      </c>
      <c r="J24" s="14">
        <f t="shared" si="19"/>
        <v>15959.939117199392</v>
      </c>
      <c r="K24" s="14">
        <f t="shared" si="19"/>
        <v>20519.9217221135</v>
      </c>
      <c r="L24" s="14">
        <f t="shared" si="19"/>
        <v>28727.890410958906</v>
      </c>
      <c r="M24" s="14">
        <f t="shared" si="19"/>
        <v>9575.9634703196334</v>
      </c>
      <c r="N24" s="14">
        <f t="shared" si="19"/>
        <v>13058.13200498132</v>
      </c>
      <c r="O24" s="15">
        <f t="shared" si="19"/>
        <v>143639.45205479453</v>
      </c>
      <c r="P24" s="16">
        <f t="shared" si="19"/>
        <v>143639.45205479453</v>
      </c>
      <c r="Q24" s="16">
        <f t="shared" si="19"/>
        <v>143639.45205479453</v>
      </c>
      <c r="R24" s="16">
        <f t="shared" si="19"/>
        <v>143639.45205479453</v>
      </c>
      <c r="S24" s="16">
        <f t="shared" si="19"/>
        <v>143639.45205479453</v>
      </c>
      <c r="T24" s="16">
        <f t="shared" si="19"/>
        <v>143639.45205479453</v>
      </c>
      <c r="U24" s="16">
        <f t="shared" si="19"/>
        <v>143639.45205479453</v>
      </c>
      <c r="V24" s="16">
        <f t="shared" si="19"/>
        <v>143639.45205479453</v>
      </c>
      <c r="W24" s="16">
        <f t="shared" si="19"/>
        <v>143639.45205479453</v>
      </c>
      <c r="X24" s="16">
        <f t="shared" si="19"/>
        <v>143639.45205479453</v>
      </c>
      <c r="Y24" s="16">
        <f t="shared" si="19"/>
        <v>143639.45205479453</v>
      </c>
      <c r="Z24" s="16">
        <f t="shared" si="19"/>
        <v>143639.45205479453</v>
      </c>
      <c r="AA24" s="16">
        <f t="shared" si="19"/>
        <v>143639.45205479453</v>
      </c>
      <c r="AB24" s="16">
        <f t="shared" si="19"/>
        <v>143639.45205479453</v>
      </c>
    </row>
    <row r="25" spans="1:28" ht="15.75" customHeight="1" x14ac:dyDescent="0.3">
      <c r="A25" s="3"/>
      <c r="B25" s="2"/>
      <c r="C25" s="29"/>
      <c r="D25" s="30"/>
      <c r="E25" s="2"/>
      <c r="F25" s="3"/>
      <c r="G25" s="31" t="s">
        <v>36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28" ht="15.75" customHeight="1" x14ac:dyDescent="0.3">
      <c r="A26" s="19" t="s">
        <v>37</v>
      </c>
      <c r="B26" s="2"/>
      <c r="C26" s="10" t="s">
        <v>9</v>
      </c>
      <c r="D26" s="10" t="s">
        <v>10</v>
      </c>
      <c r="E26" s="2"/>
      <c r="F26" s="20" t="s">
        <v>9</v>
      </c>
      <c r="G26" s="11" t="str">
        <f t="shared" ref="G26:AB26" si="20">G7</f>
        <v>Harry</v>
      </c>
      <c r="H26" s="11" t="str">
        <f t="shared" si="20"/>
        <v>Magi</v>
      </c>
      <c r="I26" s="11" t="str">
        <f t="shared" si="20"/>
        <v>Fernan</v>
      </c>
      <c r="J26" s="11" t="str">
        <f t="shared" si="20"/>
        <v>Hiromi</v>
      </c>
      <c r="K26" s="11" t="str">
        <f t="shared" si="20"/>
        <v>Morika</v>
      </c>
      <c r="L26" s="11" t="str">
        <f t="shared" si="20"/>
        <v>Takeo</v>
      </c>
      <c r="M26" s="11" t="str">
        <f t="shared" si="20"/>
        <v>July</v>
      </c>
      <c r="N26" s="11" t="str">
        <f t="shared" si="20"/>
        <v>Kaiana</v>
      </c>
      <c r="O26" s="11">
        <f t="shared" si="20"/>
        <v>0</v>
      </c>
      <c r="P26" s="11">
        <f t="shared" si="20"/>
        <v>0</v>
      </c>
      <c r="Q26" s="11">
        <f t="shared" si="20"/>
        <v>0</v>
      </c>
      <c r="R26" s="11">
        <f t="shared" si="20"/>
        <v>0</v>
      </c>
      <c r="S26" s="11">
        <f t="shared" si="20"/>
        <v>0</v>
      </c>
      <c r="T26" s="11">
        <f t="shared" si="20"/>
        <v>0</v>
      </c>
      <c r="U26" s="11">
        <f t="shared" si="20"/>
        <v>0</v>
      </c>
      <c r="V26" s="11">
        <f t="shared" si="20"/>
        <v>0</v>
      </c>
      <c r="W26" s="11">
        <f t="shared" si="20"/>
        <v>0</v>
      </c>
      <c r="X26" s="11">
        <f t="shared" si="20"/>
        <v>0</v>
      </c>
      <c r="Y26" s="11">
        <f t="shared" si="20"/>
        <v>0</v>
      </c>
      <c r="Z26" s="11">
        <f t="shared" si="20"/>
        <v>0</v>
      </c>
      <c r="AA26" s="11">
        <f t="shared" si="20"/>
        <v>0</v>
      </c>
      <c r="AB26" s="11">
        <f t="shared" si="20"/>
        <v>0</v>
      </c>
    </row>
    <row r="27" spans="1:28" ht="15.75" customHeight="1" x14ac:dyDescent="0.3">
      <c r="A27" s="12">
        <f>RAW!$A$6</f>
        <v>400</v>
      </c>
      <c r="B27" s="2"/>
      <c r="C27" s="21" t="s">
        <v>19</v>
      </c>
      <c r="D27" s="22">
        <f t="shared" ref="D27:D43" si="21">$A27/D$5</f>
        <v>400</v>
      </c>
      <c r="E27" s="2"/>
      <c r="F27" s="21" t="s">
        <v>19</v>
      </c>
      <c r="G27" s="23">
        <f t="shared" ref="G27:AB27" si="22">$A27/G$5</f>
        <v>2.8776978417266186</v>
      </c>
      <c r="H27" s="23">
        <f t="shared" si="22"/>
        <v>23.529411764705884</v>
      </c>
      <c r="I27" s="23">
        <f t="shared" si="22"/>
        <v>20</v>
      </c>
      <c r="J27" s="23">
        <f t="shared" si="22"/>
        <v>44.444444444444443</v>
      </c>
      <c r="K27" s="23">
        <f t="shared" si="22"/>
        <v>57.142857142857146</v>
      </c>
      <c r="L27" s="23">
        <f t="shared" si="22"/>
        <v>80</v>
      </c>
      <c r="M27" s="23">
        <f t="shared" si="22"/>
        <v>26.666666666666668</v>
      </c>
      <c r="N27" s="23">
        <f t="shared" si="22"/>
        <v>36.363636363636367</v>
      </c>
      <c r="O27" s="23">
        <f t="shared" si="22"/>
        <v>400</v>
      </c>
      <c r="P27" s="23">
        <f t="shared" si="22"/>
        <v>400</v>
      </c>
      <c r="Q27" s="23">
        <f t="shared" si="22"/>
        <v>400</v>
      </c>
      <c r="R27" s="23">
        <f t="shared" si="22"/>
        <v>400</v>
      </c>
      <c r="S27" s="23">
        <f t="shared" si="22"/>
        <v>400</v>
      </c>
      <c r="T27" s="23">
        <f t="shared" si="22"/>
        <v>400</v>
      </c>
      <c r="U27" s="23">
        <f t="shared" si="22"/>
        <v>400</v>
      </c>
      <c r="V27" s="23">
        <f t="shared" si="22"/>
        <v>400</v>
      </c>
      <c r="W27" s="23">
        <f t="shared" si="22"/>
        <v>400</v>
      </c>
      <c r="X27" s="23">
        <f t="shared" si="22"/>
        <v>400</v>
      </c>
      <c r="Y27" s="23">
        <f t="shared" si="22"/>
        <v>400</v>
      </c>
      <c r="Z27" s="23">
        <f t="shared" si="22"/>
        <v>400</v>
      </c>
      <c r="AA27" s="23">
        <f t="shared" si="22"/>
        <v>400</v>
      </c>
      <c r="AB27" s="23">
        <f t="shared" si="22"/>
        <v>400</v>
      </c>
    </row>
    <row r="28" spans="1:28" ht="15.75" customHeight="1" x14ac:dyDescent="0.3">
      <c r="A28" s="12">
        <f>RAW!$A$7</f>
        <v>1200</v>
      </c>
      <c r="B28" s="2"/>
      <c r="C28" s="24" t="s">
        <v>20</v>
      </c>
      <c r="D28" s="23">
        <f t="shared" si="21"/>
        <v>1200</v>
      </c>
      <c r="E28" s="2"/>
      <c r="F28" s="24" t="s">
        <v>20</v>
      </c>
      <c r="G28" s="23">
        <f t="shared" ref="G28:AB28" si="23">$A28/G$5</f>
        <v>8.6330935251798557</v>
      </c>
      <c r="H28" s="23">
        <f t="shared" si="23"/>
        <v>70.588235294117652</v>
      </c>
      <c r="I28" s="23">
        <f t="shared" si="23"/>
        <v>60</v>
      </c>
      <c r="J28" s="23">
        <f t="shared" si="23"/>
        <v>133.33333333333334</v>
      </c>
      <c r="K28" s="23">
        <f t="shared" si="23"/>
        <v>171.42857142857142</v>
      </c>
      <c r="L28" s="23">
        <f t="shared" si="23"/>
        <v>240</v>
      </c>
      <c r="M28" s="23">
        <f t="shared" si="23"/>
        <v>80</v>
      </c>
      <c r="N28" s="23">
        <f t="shared" si="23"/>
        <v>109.09090909090909</v>
      </c>
      <c r="O28" s="23">
        <f t="shared" si="23"/>
        <v>1200</v>
      </c>
      <c r="P28" s="23">
        <f t="shared" si="23"/>
        <v>1200</v>
      </c>
      <c r="Q28" s="23">
        <f t="shared" si="23"/>
        <v>1200</v>
      </c>
      <c r="R28" s="23">
        <f t="shared" si="23"/>
        <v>1200</v>
      </c>
      <c r="S28" s="23">
        <f t="shared" si="23"/>
        <v>1200</v>
      </c>
      <c r="T28" s="23">
        <f t="shared" si="23"/>
        <v>1200</v>
      </c>
      <c r="U28" s="23">
        <f t="shared" si="23"/>
        <v>1200</v>
      </c>
      <c r="V28" s="23">
        <f t="shared" si="23"/>
        <v>1200</v>
      </c>
      <c r="W28" s="23">
        <f t="shared" si="23"/>
        <v>1200</v>
      </c>
      <c r="X28" s="23">
        <f t="shared" si="23"/>
        <v>1200</v>
      </c>
      <c r="Y28" s="23">
        <f t="shared" si="23"/>
        <v>1200</v>
      </c>
      <c r="Z28" s="23">
        <f t="shared" si="23"/>
        <v>1200</v>
      </c>
      <c r="AA28" s="23">
        <f t="shared" si="23"/>
        <v>1200</v>
      </c>
      <c r="AB28" s="23">
        <f t="shared" si="23"/>
        <v>1200</v>
      </c>
    </row>
    <row r="29" spans="1:28" ht="15.75" customHeight="1" x14ac:dyDescent="0.3">
      <c r="A29" s="12">
        <f>RAW!$A$8</f>
        <v>2800</v>
      </c>
      <c r="B29" s="2"/>
      <c r="C29" s="24" t="s">
        <v>21</v>
      </c>
      <c r="D29" s="23">
        <f t="shared" si="21"/>
        <v>2800</v>
      </c>
      <c r="E29" s="2"/>
      <c r="F29" s="24" t="s">
        <v>21</v>
      </c>
      <c r="G29" s="23">
        <f t="shared" ref="G29:AB29" si="24">$A29/G$5</f>
        <v>20.14388489208633</v>
      </c>
      <c r="H29" s="23">
        <f t="shared" si="24"/>
        <v>164.70588235294119</v>
      </c>
      <c r="I29" s="23">
        <f t="shared" si="24"/>
        <v>140</v>
      </c>
      <c r="J29" s="23">
        <f t="shared" si="24"/>
        <v>311.11111111111109</v>
      </c>
      <c r="K29" s="23">
        <f t="shared" si="24"/>
        <v>400</v>
      </c>
      <c r="L29" s="23">
        <f t="shared" si="24"/>
        <v>560</v>
      </c>
      <c r="M29" s="23">
        <f t="shared" si="24"/>
        <v>186.66666666666666</v>
      </c>
      <c r="N29" s="23">
        <f t="shared" si="24"/>
        <v>254.54545454545453</v>
      </c>
      <c r="O29" s="23">
        <f t="shared" si="24"/>
        <v>2800</v>
      </c>
      <c r="P29" s="23">
        <f t="shared" si="24"/>
        <v>2800</v>
      </c>
      <c r="Q29" s="23">
        <f t="shared" si="24"/>
        <v>2800</v>
      </c>
      <c r="R29" s="23">
        <f t="shared" si="24"/>
        <v>2800</v>
      </c>
      <c r="S29" s="23">
        <f t="shared" si="24"/>
        <v>2800</v>
      </c>
      <c r="T29" s="23">
        <f t="shared" si="24"/>
        <v>2800</v>
      </c>
      <c r="U29" s="23">
        <f t="shared" si="24"/>
        <v>2800</v>
      </c>
      <c r="V29" s="23">
        <f t="shared" si="24"/>
        <v>2800</v>
      </c>
      <c r="W29" s="23">
        <f t="shared" si="24"/>
        <v>2800</v>
      </c>
      <c r="X29" s="23">
        <f t="shared" si="24"/>
        <v>2800</v>
      </c>
      <c r="Y29" s="23">
        <f t="shared" si="24"/>
        <v>2800</v>
      </c>
      <c r="Z29" s="23">
        <f t="shared" si="24"/>
        <v>2800</v>
      </c>
      <c r="AA29" s="23">
        <f t="shared" si="24"/>
        <v>2800</v>
      </c>
      <c r="AB29" s="23">
        <f t="shared" si="24"/>
        <v>2800</v>
      </c>
    </row>
    <row r="30" spans="1:28" ht="15.75" customHeight="1" x14ac:dyDescent="0.3">
      <c r="A30" s="12">
        <f>RAW!$A$9</f>
        <v>6000</v>
      </c>
      <c r="B30" s="2"/>
      <c r="C30" s="24" t="s">
        <v>22</v>
      </c>
      <c r="D30" s="23">
        <f t="shared" si="21"/>
        <v>6000</v>
      </c>
      <c r="E30" s="2"/>
      <c r="F30" s="24" t="s">
        <v>22</v>
      </c>
      <c r="G30" s="23">
        <f t="shared" ref="G30:AB30" si="25">$A30/G$5</f>
        <v>43.165467625899282</v>
      </c>
      <c r="H30" s="23">
        <f t="shared" si="25"/>
        <v>352.94117647058823</v>
      </c>
      <c r="I30" s="23">
        <f t="shared" si="25"/>
        <v>300</v>
      </c>
      <c r="J30" s="23">
        <f t="shared" si="25"/>
        <v>666.66666666666663</v>
      </c>
      <c r="K30" s="23">
        <f t="shared" si="25"/>
        <v>857.14285714285711</v>
      </c>
      <c r="L30" s="23">
        <f t="shared" si="25"/>
        <v>1200</v>
      </c>
      <c r="M30" s="23">
        <f t="shared" si="25"/>
        <v>400</v>
      </c>
      <c r="N30" s="23">
        <f t="shared" si="25"/>
        <v>545.4545454545455</v>
      </c>
      <c r="O30" s="23">
        <f t="shared" si="25"/>
        <v>6000</v>
      </c>
      <c r="P30" s="23">
        <f t="shared" si="25"/>
        <v>6000</v>
      </c>
      <c r="Q30" s="23">
        <f t="shared" si="25"/>
        <v>6000</v>
      </c>
      <c r="R30" s="23">
        <f t="shared" si="25"/>
        <v>6000</v>
      </c>
      <c r="S30" s="23">
        <f t="shared" si="25"/>
        <v>6000</v>
      </c>
      <c r="T30" s="23">
        <f t="shared" si="25"/>
        <v>6000</v>
      </c>
      <c r="U30" s="23">
        <f t="shared" si="25"/>
        <v>6000</v>
      </c>
      <c r="V30" s="23">
        <f t="shared" si="25"/>
        <v>6000</v>
      </c>
      <c r="W30" s="23">
        <f t="shared" si="25"/>
        <v>6000</v>
      </c>
      <c r="X30" s="23">
        <f t="shared" si="25"/>
        <v>6000</v>
      </c>
      <c r="Y30" s="23">
        <f t="shared" si="25"/>
        <v>6000</v>
      </c>
      <c r="Z30" s="23">
        <f t="shared" si="25"/>
        <v>6000</v>
      </c>
      <c r="AA30" s="23">
        <f t="shared" si="25"/>
        <v>6000</v>
      </c>
      <c r="AB30" s="23">
        <f t="shared" si="25"/>
        <v>6000</v>
      </c>
    </row>
    <row r="31" spans="1:28" ht="15.75" customHeight="1" x14ac:dyDescent="0.3">
      <c r="A31" s="12">
        <f>RAW!$A$10</f>
        <v>12400</v>
      </c>
      <c r="B31" s="2"/>
      <c r="C31" s="24" t="s">
        <v>23</v>
      </c>
      <c r="D31" s="23">
        <f t="shared" si="21"/>
        <v>12400</v>
      </c>
      <c r="E31" s="2"/>
      <c r="F31" s="24" t="s">
        <v>23</v>
      </c>
      <c r="G31" s="23">
        <f t="shared" ref="G31:AB31" si="26">$A31/G$5</f>
        <v>89.208633093525179</v>
      </c>
      <c r="H31" s="23">
        <f t="shared" si="26"/>
        <v>729.41176470588232</v>
      </c>
      <c r="I31" s="23">
        <f t="shared" si="26"/>
        <v>620</v>
      </c>
      <c r="J31" s="23">
        <f t="shared" si="26"/>
        <v>1377.7777777777778</v>
      </c>
      <c r="K31" s="23">
        <f t="shared" si="26"/>
        <v>1771.4285714285713</v>
      </c>
      <c r="L31" s="23">
        <f t="shared" si="26"/>
        <v>2480</v>
      </c>
      <c r="M31" s="23">
        <f t="shared" si="26"/>
        <v>826.66666666666663</v>
      </c>
      <c r="N31" s="23">
        <f t="shared" si="26"/>
        <v>1127.2727272727273</v>
      </c>
      <c r="O31" s="23">
        <f t="shared" si="26"/>
        <v>12400</v>
      </c>
      <c r="P31" s="23">
        <f t="shared" si="26"/>
        <v>12400</v>
      </c>
      <c r="Q31" s="23">
        <f t="shared" si="26"/>
        <v>12400</v>
      </c>
      <c r="R31" s="23">
        <f t="shared" si="26"/>
        <v>12400</v>
      </c>
      <c r="S31" s="23">
        <f t="shared" si="26"/>
        <v>12400</v>
      </c>
      <c r="T31" s="23">
        <f t="shared" si="26"/>
        <v>12400</v>
      </c>
      <c r="U31" s="23">
        <f t="shared" si="26"/>
        <v>12400</v>
      </c>
      <c r="V31" s="23">
        <f t="shared" si="26"/>
        <v>12400</v>
      </c>
      <c r="W31" s="23">
        <f t="shared" si="26"/>
        <v>12400</v>
      </c>
      <c r="X31" s="23">
        <f t="shared" si="26"/>
        <v>12400</v>
      </c>
      <c r="Y31" s="23">
        <f t="shared" si="26"/>
        <v>12400</v>
      </c>
      <c r="Z31" s="23">
        <f t="shared" si="26"/>
        <v>12400</v>
      </c>
      <c r="AA31" s="23">
        <f t="shared" si="26"/>
        <v>12400</v>
      </c>
      <c r="AB31" s="23">
        <f t="shared" si="26"/>
        <v>12400</v>
      </c>
    </row>
    <row r="32" spans="1:28" ht="15.75" customHeight="1" x14ac:dyDescent="0.3">
      <c r="A32" s="12">
        <f>RAW!$A$11</f>
        <v>25200</v>
      </c>
      <c r="B32" s="2"/>
      <c r="C32" s="24" t="s">
        <v>24</v>
      </c>
      <c r="D32" s="23">
        <f t="shared" si="21"/>
        <v>25200</v>
      </c>
      <c r="E32" s="2"/>
      <c r="F32" s="24" t="s">
        <v>24</v>
      </c>
      <c r="G32" s="23">
        <f t="shared" ref="G32:AB32" si="27">$A32/G$5</f>
        <v>181.29496402877697</v>
      </c>
      <c r="H32" s="23">
        <f t="shared" si="27"/>
        <v>1482.3529411764705</v>
      </c>
      <c r="I32" s="23">
        <f t="shared" si="27"/>
        <v>1260</v>
      </c>
      <c r="J32" s="23">
        <f t="shared" si="27"/>
        <v>2800</v>
      </c>
      <c r="K32" s="23">
        <f t="shared" si="27"/>
        <v>3600</v>
      </c>
      <c r="L32" s="23">
        <f t="shared" si="27"/>
        <v>5040</v>
      </c>
      <c r="M32" s="23">
        <f t="shared" si="27"/>
        <v>1680</v>
      </c>
      <c r="N32" s="23">
        <f t="shared" si="27"/>
        <v>2290.909090909091</v>
      </c>
      <c r="O32" s="23">
        <f t="shared" si="27"/>
        <v>25200</v>
      </c>
      <c r="P32" s="23">
        <f t="shared" si="27"/>
        <v>25200</v>
      </c>
      <c r="Q32" s="23">
        <f t="shared" si="27"/>
        <v>25200</v>
      </c>
      <c r="R32" s="23">
        <f t="shared" si="27"/>
        <v>25200</v>
      </c>
      <c r="S32" s="23">
        <f t="shared" si="27"/>
        <v>25200</v>
      </c>
      <c r="T32" s="23">
        <f t="shared" si="27"/>
        <v>25200</v>
      </c>
      <c r="U32" s="23">
        <f t="shared" si="27"/>
        <v>25200</v>
      </c>
      <c r="V32" s="23">
        <f t="shared" si="27"/>
        <v>25200</v>
      </c>
      <c r="W32" s="23">
        <f t="shared" si="27"/>
        <v>25200</v>
      </c>
      <c r="X32" s="23">
        <f t="shared" si="27"/>
        <v>25200</v>
      </c>
      <c r="Y32" s="23">
        <f t="shared" si="27"/>
        <v>25200</v>
      </c>
      <c r="Z32" s="23">
        <f t="shared" si="27"/>
        <v>25200</v>
      </c>
      <c r="AA32" s="23">
        <f t="shared" si="27"/>
        <v>25200</v>
      </c>
      <c r="AB32" s="23">
        <f t="shared" si="27"/>
        <v>25200</v>
      </c>
    </row>
    <row r="33" spans="1:28" ht="15.75" customHeight="1" x14ac:dyDescent="0.3">
      <c r="A33" s="12">
        <f>RAW!$A$12</f>
        <v>50800</v>
      </c>
      <c r="B33" s="2"/>
      <c r="C33" s="24" t="s">
        <v>25</v>
      </c>
      <c r="D33" s="23">
        <f t="shared" si="21"/>
        <v>50800</v>
      </c>
      <c r="E33" s="2"/>
      <c r="F33" s="24" t="s">
        <v>25</v>
      </c>
      <c r="G33" s="23">
        <f t="shared" ref="G33:AB33" si="28">$A33/G$5</f>
        <v>365.46762589928056</v>
      </c>
      <c r="H33" s="23">
        <f t="shared" si="28"/>
        <v>2988.2352941176468</v>
      </c>
      <c r="I33" s="23">
        <f t="shared" si="28"/>
        <v>2540</v>
      </c>
      <c r="J33" s="23">
        <f t="shared" si="28"/>
        <v>5644.4444444444443</v>
      </c>
      <c r="K33" s="23">
        <f t="shared" si="28"/>
        <v>7257.1428571428569</v>
      </c>
      <c r="L33" s="23">
        <f t="shared" si="28"/>
        <v>10160</v>
      </c>
      <c r="M33" s="23">
        <f t="shared" si="28"/>
        <v>3386.6666666666665</v>
      </c>
      <c r="N33" s="23">
        <f t="shared" si="28"/>
        <v>4618.181818181818</v>
      </c>
      <c r="O33" s="23">
        <f t="shared" si="28"/>
        <v>50800</v>
      </c>
      <c r="P33" s="23">
        <f t="shared" si="28"/>
        <v>50800</v>
      </c>
      <c r="Q33" s="23">
        <f t="shared" si="28"/>
        <v>50800</v>
      </c>
      <c r="R33" s="23">
        <f t="shared" si="28"/>
        <v>50800</v>
      </c>
      <c r="S33" s="23">
        <f t="shared" si="28"/>
        <v>50800</v>
      </c>
      <c r="T33" s="23">
        <f t="shared" si="28"/>
        <v>50800</v>
      </c>
      <c r="U33" s="23">
        <f t="shared" si="28"/>
        <v>50800</v>
      </c>
      <c r="V33" s="23">
        <f t="shared" si="28"/>
        <v>50800</v>
      </c>
      <c r="W33" s="23">
        <f t="shared" si="28"/>
        <v>50800</v>
      </c>
      <c r="X33" s="23">
        <f t="shared" si="28"/>
        <v>50800</v>
      </c>
      <c r="Y33" s="23">
        <f t="shared" si="28"/>
        <v>50800</v>
      </c>
      <c r="Z33" s="23">
        <f t="shared" si="28"/>
        <v>50800</v>
      </c>
      <c r="AA33" s="23">
        <f t="shared" si="28"/>
        <v>50800</v>
      </c>
      <c r="AB33" s="23">
        <f t="shared" si="28"/>
        <v>50800</v>
      </c>
    </row>
    <row r="34" spans="1:28" ht="15.75" customHeight="1" x14ac:dyDescent="0.3">
      <c r="A34" s="12">
        <f>RAW!$A$13</f>
        <v>102000</v>
      </c>
      <c r="B34" s="2"/>
      <c r="C34" s="24" t="s">
        <v>26</v>
      </c>
      <c r="D34" s="23">
        <f t="shared" si="21"/>
        <v>102000</v>
      </c>
      <c r="E34" s="2"/>
      <c r="F34" s="24" t="s">
        <v>26</v>
      </c>
      <c r="G34" s="23">
        <f t="shared" ref="G34:AB34" si="29">$A34/G$5</f>
        <v>733.8129496402878</v>
      </c>
      <c r="H34" s="23">
        <f t="shared" si="29"/>
        <v>6000</v>
      </c>
      <c r="I34" s="23">
        <f t="shared" si="29"/>
        <v>5100</v>
      </c>
      <c r="J34" s="23">
        <f t="shared" si="29"/>
        <v>11333.333333333334</v>
      </c>
      <c r="K34" s="23">
        <f t="shared" si="29"/>
        <v>14571.428571428571</v>
      </c>
      <c r="L34" s="23">
        <f t="shared" si="29"/>
        <v>20400</v>
      </c>
      <c r="M34" s="23">
        <f t="shared" si="29"/>
        <v>6800</v>
      </c>
      <c r="N34" s="23">
        <f t="shared" si="29"/>
        <v>9272.7272727272721</v>
      </c>
      <c r="O34" s="23">
        <f t="shared" si="29"/>
        <v>102000</v>
      </c>
      <c r="P34" s="23">
        <f t="shared" si="29"/>
        <v>102000</v>
      </c>
      <c r="Q34" s="23">
        <f t="shared" si="29"/>
        <v>102000</v>
      </c>
      <c r="R34" s="23">
        <f t="shared" si="29"/>
        <v>102000</v>
      </c>
      <c r="S34" s="23">
        <f t="shared" si="29"/>
        <v>102000</v>
      </c>
      <c r="T34" s="23">
        <f t="shared" si="29"/>
        <v>102000</v>
      </c>
      <c r="U34" s="23">
        <f t="shared" si="29"/>
        <v>102000</v>
      </c>
      <c r="V34" s="23">
        <f t="shared" si="29"/>
        <v>102000</v>
      </c>
      <c r="W34" s="23">
        <f t="shared" si="29"/>
        <v>102000</v>
      </c>
      <c r="X34" s="23">
        <f t="shared" si="29"/>
        <v>102000</v>
      </c>
      <c r="Y34" s="23">
        <f t="shared" si="29"/>
        <v>102000</v>
      </c>
      <c r="Z34" s="23">
        <f t="shared" si="29"/>
        <v>102000</v>
      </c>
      <c r="AA34" s="23">
        <f t="shared" si="29"/>
        <v>102000</v>
      </c>
      <c r="AB34" s="23">
        <f t="shared" si="29"/>
        <v>102000</v>
      </c>
    </row>
    <row r="35" spans="1:28" ht="15.75" customHeight="1" x14ac:dyDescent="0.3">
      <c r="A35" s="12">
        <f>RAW!$A$14</f>
        <v>204400</v>
      </c>
      <c r="B35" s="2"/>
      <c r="C35" s="24" t="s">
        <v>27</v>
      </c>
      <c r="D35" s="23">
        <f t="shared" si="21"/>
        <v>204400</v>
      </c>
      <c r="E35" s="2"/>
      <c r="F35" s="24" t="s">
        <v>27</v>
      </c>
      <c r="G35" s="23">
        <f t="shared" ref="G35:AB35" si="30">$A35/G$5</f>
        <v>1470.5035971223022</v>
      </c>
      <c r="H35" s="23">
        <f t="shared" si="30"/>
        <v>12023.529411764706</v>
      </c>
      <c r="I35" s="23">
        <f t="shared" si="30"/>
        <v>10220</v>
      </c>
      <c r="J35" s="23">
        <f t="shared" si="30"/>
        <v>22711.111111111109</v>
      </c>
      <c r="K35" s="23">
        <f t="shared" si="30"/>
        <v>29200</v>
      </c>
      <c r="L35" s="23">
        <f t="shared" si="30"/>
        <v>40880</v>
      </c>
      <c r="M35" s="23">
        <f t="shared" si="30"/>
        <v>13626.666666666666</v>
      </c>
      <c r="N35" s="23">
        <f t="shared" si="30"/>
        <v>18581.81818181818</v>
      </c>
      <c r="O35" s="23">
        <f t="shared" si="30"/>
        <v>204400</v>
      </c>
      <c r="P35" s="23">
        <f t="shared" si="30"/>
        <v>204400</v>
      </c>
      <c r="Q35" s="23">
        <f t="shared" si="30"/>
        <v>204400</v>
      </c>
      <c r="R35" s="23">
        <f t="shared" si="30"/>
        <v>204400</v>
      </c>
      <c r="S35" s="23">
        <f t="shared" si="30"/>
        <v>204400</v>
      </c>
      <c r="T35" s="23">
        <f t="shared" si="30"/>
        <v>204400</v>
      </c>
      <c r="U35" s="23">
        <f t="shared" si="30"/>
        <v>204400</v>
      </c>
      <c r="V35" s="23">
        <f t="shared" si="30"/>
        <v>204400</v>
      </c>
      <c r="W35" s="23">
        <f t="shared" si="30"/>
        <v>204400</v>
      </c>
      <c r="X35" s="23">
        <f t="shared" si="30"/>
        <v>204400</v>
      </c>
      <c r="Y35" s="23">
        <f t="shared" si="30"/>
        <v>204400</v>
      </c>
      <c r="Z35" s="23">
        <f t="shared" si="30"/>
        <v>204400</v>
      </c>
      <c r="AA35" s="23">
        <f t="shared" si="30"/>
        <v>204400</v>
      </c>
      <c r="AB35" s="23">
        <f t="shared" si="30"/>
        <v>204400</v>
      </c>
    </row>
    <row r="36" spans="1:28" ht="15.75" customHeight="1" x14ac:dyDescent="0.3">
      <c r="A36" s="12">
        <f>RAW!$A$15</f>
        <v>409200</v>
      </c>
      <c r="B36" s="2"/>
      <c r="C36" s="24" t="s">
        <v>28</v>
      </c>
      <c r="D36" s="23">
        <f t="shared" si="21"/>
        <v>409200</v>
      </c>
      <c r="E36" s="2"/>
      <c r="F36" s="24" t="s">
        <v>28</v>
      </c>
      <c r="G36" s="23">
        <f t="shared" ref="G36:AB36" si="31">$A36/G$5</f>
        <v>2943.8848920863311</v>
      </c>
      <c r="H36" s="23">
        <f t="shared" si="31"/>
        <v>24070.588235294119</v>
      </c>
      <c r="I36" s="23">
        <f t="shared" si="31"/>
        <v>20460</v>
      </c>
      <c r="J36" s="23">
        <f t="shared" si="31"/>
        <v>45466.666666666664</v>
      </c>
      <c r="K36" s="23">
        <f t="shared" si="31"/>
        <v>58457.142857142855</v>
      </c>
      <c r="L36" s="23">
        <f t="shared" si="31"/>
        <v>81840</v>
      </c>
      <c r="M36" s="23">
        <f t="shared" si="31"/>
        <v>27280</v>
      </c>
      <c r="N36" s="23">
        <f t="shared" si="31"/>
        <v>37200</v>
      </c>
      <c r="O36" s="23">
        <f t="shared" si="31"/>
        <v>409200</v>
      </c>
      <c r="P36" s="23">
        <f t="shared" si="31"/>
        <v>409200</v>
      </c>
      <c r="Q36" s="23">
        <f t="shared" si="31"/>
        <v>409200</v>
      </c>
      <c r="R36" s="23">
        <f t="shared" si="31"/>
        <v>409200</v>
      </c>
      <c r="S36" s="23">
        <f t="shared" si="31"/>
        <v>409200</v>
      </c>
      <c r="T36" s="23">
        <f t="shared" si="31"/>
        <v>409200</v>
      </c>
      <c r="U36" s="23">
        <f t="shared" si="31"/>
        <v>409200</v>
      </c>
      <c r="V36" s="23">
        <f t="shared" si="31"/>
        <v>409200</v>
      </c>
      <c r="W36" s="23">
        <f t="shared" si="31"/>
        <v>409200</v>
      </c>
      <c r="X36" s="23">
        <f t="shared" si="31"/>
        <v>409200</v>
      </c>
      <c r="Y36" s="23">
        <f t="shared" si="31"/>
        <v>409200</v>
      </c>
      <c r="Z36" s="23">
        <f t="shared" si="31"/>
        <v>409200</v>
      </c>
      <c r="AA36" s="23">
        <f t="shared" si="31"/>
        <v>409200</v>
      </c>
      <c r="AB36" s="23">
        <f t="shared" si="31"/>
        <v>409200</v>
      </c>
    </row>
    <row r="37" spans="1:28" ht="15.75" customHeight="1" x14ac:dyDescent="0.3">
      <c r="A37" s="12">
        <f>RAW!$A$16</f>
        <v>818800</v>
      </c>
      <c r="B37" s="2"/>
      <c r="C37" s="24" t="s">
        <v>29</v>
      </c>
      <c r="D37" s="23">
        <f t="shared" si="21"/>
        <v>818800</v>
      </c>
      <c r="E37" s="2"/>
      <c r="F37" s="24" t="s">
        <v>29</v>
      </c>
      <c r="G37" s="23">
        <f t="shared" ref="G37:AB37" si="32">$A37/G$5</f>
        <v>5890.6474820143885</v>
      </c>
      <c r="H37" s="23">
        <f t="shared" si="32"/>
        <v>48164.705882352944</v>
      </c>
      <c r="I37" s="23">
        <f t="shared" si="32"/>
        <v>40940</v>
      </c>
      <c r="J37" s="23">
        <f t="shared" si="32"/>
        <v>90977.777777777781</v>
      </c>
      <c r="K37" s="23">
        <f t="shared" si="32"/>
        <v>116971.42857142857</v>
      </c>
      <c r="L37" s="23">
        <f t="shared" si="32"/>
        <v>163760</v>
      </c>
      <c r="M37" s="23">
        <f t="shared" si="32"/>
        <v>54586.666666666664</v>
      </c>
      <c r="N37" s="23">
        <f t="shared" si="32"/>
        <v>74436.363636363632</v>
      </c>
      <c r="O37" s="23">
        <f t="shared" si="32"/>
        <v>818800</v>
      </c>
      <c r="P37" s="23">
        <f t="shared" si="32"/>
        <v>818800</v>
      </c>
      <c r="Q37" s="23">
        <f t="shared" si="32"/>
        <v>818800</v>
      </c>
      <c r="R37" s="23">
        <f t="shared" si="32"/>
        <v>818800</v>
      </c>
      <c r="S37" s="23">
        <f t="shared" si="32"/>
        <v>818800</v>
      </c>
      <c r="T37" s="23">
        <f t="shared" si="32"/>
        <v>818800</v>
      </c>
      <c r="U37" s="23">
        <f t="shared" si="32"/>
        <v>818800</v>
      </c>
      <c r="V37" s="23">
        <f t="shared" si="32"/>
        <v>818800</v>
      </c>
      <c r="W37" s="23">
        <f t="shared" si="32"/>
        <v>818800</v>
      </c>
      <c r="X37" s="23">
        <f t="shared" si="32"/>
        <v>818800</v>
      </c>
      <c r="Y37" s="23">
        <f t="shared" si="32"/>
        <v>818800</v>
      </c>
      <c r="Z37" s="23">
        <f t="shared" si="32"/>
        <v>818800</v>
      </c>
      <c r="AA37" s="23">
        <f t="shared" si="32"/>
        <v>818800</v>
      </c>
      <c r="AB37" s="23">
        <f t="shared" si="32"/>
        <v>818800</v>
      </c>
    </row>
    <row r="38" spans="1:28" ht="15.75" customHeight="1" x14ac:dyDescent="0.3">
      <c r="A38" s="12">
        <f>RAW!$A$17</f>
        <v>1638000</v>
      </c>
      <c r="B38" s="2"/>
      <c r="C38" s="24" t="s">
        <v>30</v>
      </c>
      <c r="D38" s="23">
        <f t="shared" si="21"/>
        <v>1638000</v>
      </c>
      <c r="E38" s="2"/>
      <c r="F38" s="24" t="s">
        <v>30</v>
      </c>
      <c r="G38" s="23">
        <f t="shared" ref="G38:AB38" si="33">$A38/G$5</f>
        <v>11784.172661870503</v>
      </c>
      <c r="H38" s="23">
        <f t="shared" si="33"/>
        <v>96352.941176470587</v>
      </c>
      <c r="I38" s="23">
        <f t="shared" si="33"/>
        <v>81900</v>
      </c>
      <c r="J38" s="23">
        <f t="shared" si="33"/>
        <v>182000</v>
      </c>
      <c r="K38" s="23">
        <f t="shared" si="33"/>
        <v>234000</v>
      </c>
      <c r="L38" s="23">
        <f t="shared" si="33"/>
        <v>327600</v>
      </c>
      <c r="M38" s="23">
        <f t="shared" si="33"/>
        <v>109200</v>
      </c>
      <c r="N38" s="23">
        <f t="shared" si="33"/>
        <v>148909.09090909091</v>
      </c>
      <c r="O38" s="23">
        <f t="shared" si="33"/>
        <v>1638000</v>
      </c>
      <c r="P38" s="23">
        <f t="shared" si="33"/>
        <v>1638000</v>
      </c>
      <c r="Q38" s="23">
        <f t="shared" si="33"/>
        <v>1638000</v>
      </c>
      <c r="R38" s="23">
        <f t="shared" si="33"/>
        <v>1638000</v>
      </c>
      <c r="S38" s="23">
        <f t="shared" si="33"/>
        <v>1638000</v>
      </c>
      <c r="T38" s="23">
        <f t="shared" si="33"/>
        <v>1638000</v>
      </c>
      <c r="U38" s="23">
        <f t="shared" si="33"/>
        <v>1638000</v>
      </c>
      <c r="V38" s="23">
        <f t="shared" si="33"/>
        <v>1638000</v>
      </c>
      <c r="W38" s="23">
        <f t="shared" si="33"/>
        <v>1638000</v>
      </c>
      <c r="X38" s="23">
        <f t="shared" si="33"/>
        <v>1638000</v>
      </c>
      <c r="Y38" s="23">
        <f t="shared" si="33"/>
        <v>1638000</v>
      </c>
      <c r="Z38" s="23">
        <f t="shared" si="33"/>
        <v>1638000</v>
      </c>
      <c r="AA38" s="23">
        <f t="shared" si="33"/>
        <v>1638000</v>
      </c>
      <c r="AB38" s="23">
        <f t="shared" si="33"/>
        <v>1638000</v>
      </c>
    </row>
    <row r="39" spans="1:28" ht="15.75" customHeight="1" x14ac:dyDescent="0.3">
      <c r="A39" s="12">
        <f>RAW!$A$18</f>
        <v>3276400</v>
      </c>
      <c r="B39" s="2"/>
      <c r="C39" s="24" t="s">
        <v>31</v>
      </c>
      <c r="D39" s="23">
        <f t="shared" si="21"/>
        <v>3276400</v>
      </c>
      <c r="E39" s="2"/>
      <c r="F39" s="24" t="s">
        <v>31</v>
      </c>
      <c r="G39" s="23">
        <f t="shared" ref="G39:AB39" si="34">$A39/G$5</f>
        <v>23571.223021582733</v>
      </c>
      <c r="H39" s="23">
        <f t="shared" si="34"/>
        <v>192729.41176470587</v>
      </c>
      <c r="I39" s="23">
        <f t="shared" si="34"/>
        <v>163820</v>
      </c>
      <c r="J39" s="23">
        <f t="shared" si="34"/>
        <v>364044.44444444444</v>
      </c>
      <c r="K39" s="23">
        <f t="shared" si="34"/>
        <v>468057.14285714284</v>
      </c>
      <c r="L39" s="23">
        <f t="shared" si="34"/>
        <v>655280</v>
      </c>
      <c r="M39" s="23">
        <f t="shared" si="34"/>
        <v>218426.66666666666</v>
      </c>
      <c r="N39" s="23">
        <f t="shared" si="34"/>
        <v>297854.54545454547</v>
      </c>
      <c r="O39" s="23">
        <f t="shared" si="34"/>
        <v>3276400</v>
      </c>
      <c r="P39" s="23">
        <f t="shared" si="34"/>
        <v>3276400</v>
      </c>
      <c r="Q39" s="23">
        <f t="shared" si="34"/>
        <v>3276400</v>
      </c>
      <c r="R39" s="23">
        <f t="shared" si="34"/>
        <v>3276400</v>
      </c>
      <c r="S39" s="23">
        <f t="shared" si="34"/>
        <v>3276400</v>
      </c>
      <c r="T39" s="23">
        <f t="shared" si="34"/>
        <v>3276400</v>
      </c>
      <c r="U39" s="23">
        <f t="shared" si="34"/>
        <v>3276400</v>
      </c>
      <c r="V39" s="23">
        <f t="shared" si="34"/>
        <v>3276400</v>
      </c>
      <c r="W39" s="23">
        <f t="shared" si="34"/>
        <v>3276400</v>
      </c>
      <c r="X39" s="23">
        <f t="shared" si="34"/>
        <v>3276400</v>
      </c>
      <c r="Y39" s="23">
        <f t="shared" si="34"/>
        <v>3276400</v>
      </c>
      <c r="Z39" s="23">
        <f t="shared" si="34"/>
        <v>3276400</v>
      </c>
      <c r="AA39" s="23">
        <f t="shared" si="34"/>
        <v>3276400</v>
      </c>
      <c r="AB39" s="23">
        <f t="shared" si="34"/>
        <v>3276400</v>
      </c>
    </row>
    <row r="40" spans="1:28" ht="15.75" customHeight="1" x14ac:dyDescent="0.3">
      <c r="A40" s="12">
        <f>RAW!$A$19</f>
        <v>6553200</v>
      </c>
      <c r="B40" s="2"/>
      <c r="C40" s="24" t="s">
        <v>32</v>
      </c>
      <c r="D40" s="23">
        <f t="shared" si="21"/>
        <v>6553200</v>
      </c>
      <c r="E40" s="2"/>
      <c r="F40" s="24" t="s">
        <v>32</v>
      </c>
      <c r="G40" s="23">
        <f t="shared" ref="G40:AB40" si="35">$A40/G$5</f>
        <v>47145.323741007196</v>
      </c>
      <c r="H40" s="23">
        <f t="shared" si="35"/>
        <v>385482.35294117645</v>
      </c>
      <c r="I40" s="23">
        <f t="shared" si="35"/>
        <v>327660</v>
      </c>
      <c r="J40" s="23">
        <f t="shared" si="35"/>
        <v>728133.33333333337</v>
      </c>
      <c r="K40" s="23">
        <f t="shared" si="35"/>
        <v>936171.42857142852</v>
      </c>
      <c r="L40" s="23">
        <f t="shared" si="35"/>
        <v>1310640</v>
      </c>
      <c r="M40" s="23">
        <f t="shared" si="35"/>
        <v>436880</v>
      </c>
      <c r="N40" s="23">
        <f t="shared" si="35"/>
        <v>595745.45454545459</v>
      </c>
      <c r="O40" s="23">
        <f t="shared" si="35"/>
        <v>6553200</v>
      </c>
      <c r="P40" s="23">
        <f t="shared" si="35"/>
        <v>6553200</v>
      </c>
      <c r="Q40" s="23">
        <f t="shared" si="35"/>
        <v>6553200</v>
      </c>
      <c r="R40" s="23">
        <f t="shared" si="35"/>
        <v>6553200</v>
      </c>
      <c r="S40" s="23">
        <f t="shared" si="35"/>
        <v>6553200</v>
      </c>
      <c r="T40" s="23">
        <f t="shared" si="35"/>
        <v>6553200</v>
      </c>
      <c r="U40" s="23">
        <f t="shared" si="35"/>
        <v>6553200</v>
      </c>
      <c r="V40" s="23">
        <f t="shared" si="35"/>
        <v>6553200</v>
      </c>
      <c r="W40" s="23">
        <f t="shared" si="35"/>
        <v>6553200</v>
      </c>
      <c r="X40" s="23">
        <f t="shared" si="35"/>
        <v>6553200</v>
      </c>
      <c r="Y40" s="23">
        <f t="shared" si="35"/>
        <v>6553200</v>
      </c>
      <c r="Z40" s="23">
        <f t="shared" si="35"/>
        <v>6553200</v>
      </c>
      <c r="AA40" s="23">
        <f t="shared" si="35"/>
        <v>6553200</v>
      </c>
      <c r="AB40" s="23">
        <f t="shared" si="35"/>
        <v>6553200</v>
      </c>
    </row>
    <row r="41" spans="1:28" ht="15.75" customHeight="1" x14ac:dyDescent="0.3">
      <c r="A41" s="12">
        <f>RAW!$A$20</f>
        <v>13106800</v>
      </c>
      <c r="B41" s="2"/>
      <c r="C41" s="24" t="s">
        <v>33</v>
      </c>
      <c r="D41" s="23">
        <f t="shared" si="21"/>
        <v>13106800</v>
      </c>
      <c r="E41" s="2"/>
      <c r="F41" s="24" t="s">
        <v>33</v>
      </c>
      <c r="G41" s="23">
        <f t="shared" ref="G41:AB41" si="36">$A41/G$5</f>
        <v>94293.525179856122</v>
      </c>
      <c r="H41" s="23">
        <f t="shared" si="36"/>
        <v>770988.23529411759</v>
      </c>
      <c r="I41" s="23">
        <f t="shared" si="36"/>
        <v>655340</v>
      </c>
      <c r="J41" s="23">
        <f t="shared" si="36"/>
        <v>1456311.111111111</v>
      </c>
      <c r="K41" s="23">
        <f t="shared" si="36"/>
        <v>1872400</v>
      </c>
      <c r="L41" s="23">
        <f t="shared" si="36"/>
        <v>2621360</v>
      </c>
      <c r="M41" s="23">
        <f t="shared" si="36"/>
        <v>873786.66666666663</v>
      </c>
      <c r="N41" s="23">
        <f t="shared" si="36"/>
        <v>1191527.2727272727</v>
      </c>
      <c r="O41" s="23">
        <f t="shared" si="36"/>
        <v>13106800</v>
      </c>
      <c r="P41" s="23">
        <f t="shared" si="36"/>
        <v>13106800</v>
      </c>
      <c r="Q41" s="23">
        <f t="shared" si="36"/>
        <v>13106800</v>
      </c>
      <c r="R41" s="23">
        <f t="shared" si="36"/>
        <v>13106800</v>
      </c>
      <c r="S41" s="23">
        <f t="shared" si="36"/>
        <v>13106800</v>
      </c>
      <c r="T41" s="23">
        <f t="shared" si="36"/>
        <v>13106800</v>
      </c>
      <c r="U41" s="23">
        <f t="shared" si="36"/>
        <v>13106800</v>
      </c>
      <c r="V41" s="23">
        <f t="shared" si="36"/>
        <v>13106800</v>
      </c>
      <c r="W41" s="23">
        <f t="shared" si="36"/>
        <v>13106800</v>
      </c>
      <c r="X41" s="23">
        <f t="shared" si="36"/>
        <v>13106800</v>
      </c>
      <c r="Y41" s="23">
        <f t="shared" si="36"/>
        <v>13106800</v>
      </c>
      <c r="Z41" s="23">
        <f t="shared" si="36"/>
        <v>13106800</v>
      </c>
      <c r="AA41" s="23">
        <f t="shared" si="36"/>
        <v>13106800</v>
      </c>
      <c r="AB41" s="23">
        <f t="shared" si="36"/>
        <v>13106800</v>
      </c>
    </row>
    <row r="42" spans="1:28" ht="15.75" customHeight="1" x14ac:dyDescent="0.3">
      <c r="A42" s="12">
        <f>RAW!$A$21</f>
        <v>26214000</v>
      </c>
      <c r="B42" s="2"/>
      <c r="C42" s="24" t="s">
        <v>34</v>
      </c>
      <c r="D42" s="23">
        <f t="shared" si="21"/>
        <v>26214000</v>
      </c>
      <c r="E42" s="2"/>
      <c r="F42" s="24" t="s">
        <v>34</v>
      </c>
      <c r="G42" s="23">
        <f t="shared" ref="G42:AB42" si="37">$A42/G$5</f>
        <v>188589.92805755395</v>
      </c>
      <c r="H42" s="23">
        <f t="shared" si="37"/>
        <v>1542000</v>
      </c>
      <c r="I42" s="23">
        <f t="shared" si="37"/>
        <v>1310700</v>
      </c>
      <c r="J42" s="23">
        <f t="shared" si="37"/>
        <v>2912666.6666666665</v>
      </c>
      <c r="K42" s="23">
        <f t="shared" si="37"/>
        <v>3744857.1428571427</v>
      </c>
      <c r="L42" s="23">
        <f t="shared" si="37"/>
        <v>5242800</v>
      </c>
      <c r="M42" s="23">
        <f t="shared" si="37"/>
        <v>1747600</v>
      </c>
      <c r="N42" s="23">
        <f t="shared" si="37"/>
        <v>2383090.9090909092</v>
      </c>
      <c r="O42" s="23">
        <f t="shared" si="37"/>
        <v>26214000</v>
      </c>
      <c r="P42" s="23">
        <f t="shared" si="37"/>
        <v>26214000</v>
      </c>
      <c r="Q42" s="23">
        <f t="shared" si="37"/>
        <v>26214000</v>
      </c>
      <c r="R42" s="23">
        <f t="shared" si="37"/>
        <v>26214000</v>
      </c>
      <c r="S42" s="23">
        <f t="shared" si="37"/>
        <v>26214000</v>
      </c>
      <c r="T42" s="23">
        <f t="shared" si="37"/>
        <v>26214000</v>
      </c>
      <c r="U42" s="23">
        <f t="shared" si="37"/>
        <v>26214000</v>
      </c>
      <c r="V42" s="23">
        <f t="shared" si="37"/>
        <v>26214000</v>
      </c>
      <c r="W42" s="23">
        <f t="shared" si="37"/>
        <v>26214000</v>
      </c>
      <c r="X42" s="23">
        <f t="shared" si="37"/>
        <v>26214000</v>
      </c>
      <c r="Y42" s="23">
        <f t="shared" si="37"/>
        <v>26214000</v>
      </c>
      <c r="Z42" s="23">
        <f t="shared" si="37"/>
        <v>26214000</v>
      </c>
      <c r="AA42" s="23">
        <f t="shared" si="37"/>
        <v>26214000</v>
      </c>
      <c r="AB42" s="23">
        <f t="shared" si="37"/>
        <v>26214000</v>
      </c>
    </row>
    <row r="43" spans="1:28" ht="15.75" customHeight="1" x14ac:dyDescent="0.3">
      <c r="A43" s="12">
        <f>RAW!$A$22</f>
        <v>52428400</v>
      </c>
      <c r="B43" s="2"/>
      <c r="C43" s="24" t="s">
        <v>35</v>
      </c>
      <c r="D43" s="23">
        <f t="shared" si="21"/>
        <v>52428400</v>
      </c>
      <c r="E43" s="2"/>
      <c r="F43" s="24" t="s">
        <v>35</v>
      </c>
      <c r="G43" s="23">
        <f t="shared" ref="G43:AB43" si="38">$A43/G$5</f>
        <v>377182.73381294962</v>
      </c>
      <c r="H43" s="23">
        <f t="shared" si="38"/>
        <v>3084023.5294117648</v>
      </c>
      <c r="I43" s="23">
        <f t="shared" si="38"/>
        <v>2621420</v>
      </c>
      <c r="J43" s="23">
        <f t="shared" si="38"/>
        <v>5825377.777777778</v>
      </c>
      <c r="K43" s="23">
        <f t="shared" si="38"/>
        <v>7489771.4285714282</v>
      </c>
      <c r="L43" s="23">
        <f t="shared" si="38"/>
        <v>10485680</v>
      </c>
      <c r="M43" s="23">
        <f t="shared" si="38"/>
        <v>3495226.6666666665</v>
      </c>
      <c r="N43" s="23">
        <f t="shared" si="38"/>
        <v>4766218.1818181816</v>
      </c>
      <c r="O43" s="23">
        <f t="shared" si="38"/>
        <v>52428400</v>
      </c>
      <c r="P43" s="23">
        <f t="shared" si="38"/>
        <v>52428400</v>
      </c>
      <c r="Q43" s="23">
        <f t="shared" si="38"/>
        <v>52428400</v>
      </c>
      <c r="R43" s="23">
        <f t="shared" si="38"/>
        <v>52428400</v>
      </c>
      <c r="S43" s="23">
        <f t="shared" si="38"/>
        <v>52428400</v>
      </c>
      <c r="T43" s="23">
        <f t="shared" si="38"/>
        <v>52428400</v>
      </c>
      <c r="U43" s="23">
        <f t="shared" si="38"/>
        <v>52428400</v>
      </c>
      <c r="V43" s="23">
        <f t="shared" si="38"/>
        <v>52428400</v>
      </c>
      <c r="W43" s="23">
        <f t="shared" si="38"/>
        <v>52428400</v>
      </c>
      <c r="X43" s="23">
        <f t="shared" si="38"/>
        <v>52428400</v>
      </c>
      <c r="Y43" s="23">
        <f t="shared" si="38"/>
        <v>52428400</v>
      </c>
      <c r="Z43" s="23">
        <f t="shared" si="38"/>
        <v>52428400</v>
      </c>
      <c r="AA43" s="23">
        <f t="shared" si="38"/>
        <v>52428400</v>
      </c>
      <c r="AB43" s="23">
        <f t="shared" si="38"/>
        <v>52428400</v>
      </c>
    </row>
    <row r="44" spans="1:28" ht="15.75" customHeight="1" x14ac:dyDescent="0.3">
      <c r="A44" s="3"/>
      <c r="B44" s="2"/>
      <c r="C44" s="29"/>
      <c r="D44" s="30"/>
      <c r="E44" s="2"/>
      <c r="F44" s="3"/>
      <c r="G44" s="31" t="s">
        <v>38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15.75" customHeight="1" x14ac:dyDescent="0.3">
      <c r="A45" s="19" t="s">
        <v>37</v>
      </c>
      <c r="B45" s="2"/>
      <c r="C45" s="10" t="s">
        <v>9</v>
      </c>
      <c r="D45" s="10" t="s">
        <v>10</v>
      </c>
      <c r="E45" s="2"/>
      <c r="F45" s="20" t="s">
        <v>9</v>
      </c>
      <c r="G45" s="11" t="str">
        <f t="shared" ref="G45:AB45" si="39">G26</f>
        <v>Harry</v>
      </c>
      <c r="H45" s="11" t="str">
        <f t="shared" si="39"/>
        <v>Magi</v>
      </c>
      <c r="I45" s="11" t="str">
        <f t="shared" si="39"/>
        <v>Fernan</v>
      </c>
      <c r="J45" s="11" t="str">
        <f t="shared" si="39"/>
        <v>Hiromi</v>
      </c>
      <c r="K45" s="11" t="str">
        <f t="shared" si="39"/>
        <v>Morika</v>
      </c>
      <c r="L45" s="11" t="str">
        <f t="shared" si="39"/>
        <v>Takeo</v>
      </c>
      <c r="M45" s="11" t="str">
        <f t="shared" si="39"/>
        <v>July</v>
      </c>
      <c r="N45" s="11" t="str">
        <f t="shared" si="39"/>
        <v>Kaiana</v>
      </c>
      <c r="O45" s="11">
        <f t="shared" si="39"/>
        <v>0</v>
      </c>
      <c r="P45" s="11">
        <f t="shared" si="39"/>
        <v>0</v>
      </c>
      <c r="Q45" s="11">
        <f t="shared" si="39"/>
        <v>0</v>
      </c>
      <c r="R45" s="11">
        <f t="shared" si="39"/>
        <v>0</v>
      </c>
      <c r="S45" s="11">
        <f t="shared" si="39"/>
        <v>0</v>
      </c>
      <c r="T45" s="11">
        <f t="shared" si="39"/>
        <v>0</v>
      </c>
      <c r="U45" s="11">
        <f t="shared" si="39"/>
        <v>0</v>
      </c>
      <c r="V45" s="11">
        <f t="shared" si="39"/>
        <v>0</v>
      </c>
      <c r="W45" s="11">
        <f t="shared" si="39"/>
        <v>0</v>
      </c>
      <c r="X45" s="11">
        <f t="shared" si="39"/>
        <v>0</v>
      </c>
      <c r="Y45" s="11">
        <f t="shared" si="39"/>
        <v>0</v>
      </c>
      <c r="Z45" s="11">
        <f t="shared" si="39"/>
        <v>0</v>
      </c>
      <c r="AA45" s="11">
        <f t="shared" si="39"/>
        <v>0</v>
      </c>
      <c r="AB45" s="11">
        <f t="shared" si="39"/>
        <v>0</v>
      </c>
    </row>
    <row r="46" spans="1:28" ht="15.75" customHeight="1" x14ac:dyDescent="0.3">
      <c r="A46" s="12">
        <f>RAW!$A$6</f>
        <v>400</v>
      </c>
      <c r="B46" s="2"/>
      <c r="C46" s="21" t="s">
        <v>19</v>
      </c>
      <c r="D46" s="22">
        <f t="shared" ref="D46:D62" si="40">($A46/D$5)/365</f>
        <v>1.095890410958904</v>
      </c>
      <c r="E46" s="2"/>
      <c r="F46" s="21" t="s">
        <v>19</v>
      </c>
      <c r="G46" s="23">
        <f t="shared" ref="G46:AB46" si="41">($A46/G$5)/365</f>
        <v>7.8841036759633391E-3</v>
      </c>
      <c r="H46" s="23">
        <f t="shared" si="41"/>
        <v>6.4464141821112014E-2</v>
      </c>
      <c r="I46" s="23">
        <f t="shared" si="41"/>
        <v>5.4794520547945202E-2</v>
      </c>
      <c r="J46" s="23">
        <f t="shared" si="41"/>
        <v>0.12176560121765601</v>
      </c>
      <c r="K46" s="23">
        <f t="shared" si="41"/>
        <v>0.15655577299412918</v>
      </c>
      <c r="L46" s="23">
        <f t="shared" si="41"/>
        <v>0.21917808219178081</v>
      </c>
      <c r="M46" s="23">
        <f t="shared" si="41"/>
        <v>7.3059360730593617E-2</v>
      </c>
      <c r="N46" s="23">
        <f t="shared" si="41"/>
        <v>9.962640099626402E-2</v>
      </c>
      <c r="O46" s="23">
        <f t="shared" si="41"/>
        <v>1.095890410958904</v>
      </c>
      <c r="P46" s="23">
        <f t="shared" si="41"/>
        <v>1.095890410958904</v>
      </c>
      <c r="Q46" s="23">
        <f t="shared" si="41"/>
        <v>1.095890410958904</v>
      </c>
      <c r="R46" s="23">
        <f t="shared" si="41"/>
        <v>1.095890410958904</v>
      </c>
      <c r="S46" s="23">
        <f t="shared" si="41"/>
        <v>1.095890410958904</v>
      </c>
      <c r="T46" s="23">
        <f t="shared" si="41"/>
        <v>1.095890410958904</v>
      </c>
      <c r="U46" s="23">
        <f t="shared" si="41"/>
        <v>1.095890410958904</v>
      </c>
      <c r="V46" s="23">
        <f t="shared" si="41"/>
        <v>1.095890410958904</v>
      </c>
      <c r="W46" s="23">
        <f t="shared" si="41"/>
        <v>1.095890410958904</v>
      </c>
      <c r="X46" s="23">
        <f t="shared" si="41"/>
        <v>1.095890410958904</v>
      </c>
      <c r="Y46" s="23">
        <f t="shared" si="41"/>
        <v>1.095890410958904</v>
      </c>
      <c r="Z46" s="23">
        <f t="shared" si="41"/>
        <v>1.095890410958904</v>
      </c>
      <c r="AA46" s="23">
        <f t="shared" si="41"/>
        <v>1.095890410958904</v>
      </c>
      <c r="AB46" s="23">
        <f t="shared" si="41"/>
        <v>1.095890410958904</v>
      </c>
    </row>
    <row r="47" spans="1:28" ht="15.75" customHeight="1" x14ac:dyDescent="0.3">
      <c r="A47" s="12">
        <f>RAW!$A$7</f>
        <v>1200</v>
      </c>
      <c r="B47" s="2"/>
      <c r="C47" s="24" t="s">
        <v>20</v>
      </c>
      <c r="D47" s="23">
        <f t="shared" si="40"/>
        <v>3.2876712328767121</v>
      </c>
      <c r="E47" s="2"/>
      <c r="F47" s="24" t="s">
        <v>20</v>
      </c>
      <c r="G47" s="23">
        <f t="shared" ref="G47:AB47" si="42">($A47/G$5)/365</f>
        <v>2.3652311027890015E-2</v>
      </c>
      <c r="H47" s="23">
        <f t="shared" si="42"/>
        <v>0.19339242546333604</v>
      </c>
      <c r="I47" s="23">
        <f t="shared" si="42"/>
        <v>0.16438356164383561</v>
      </c>
      <c r="J47" s="23">
        <f t="shared" si="42"/>
        <v>0.36529680365296807</v>
      </c>
      <c r="K47" s="23">
        <f t="shared" si="42"/>
        <v>0.46966731898238745</v>
      </c>
      <c r="L47" s="23">
        <f t="shared" si="42"/>
        <v>0.65753424657534243</v>
      </c>
      <c r="M47" s="23">
        <f t="shared" si="42"/>
        <v>0.21917808219178081</v>
      </c>
      <c r="N47" s="23">
        <f t="shared" si="42"/>
        <v>0.29887920298879206</v>
      </c>
      <c r="O47" s="23">
        <f t="shared" si="42"/>
        <v>3.2876712328767121</v>
      </c>
      <c r="P47" s="23">
        <f t="shared" si="42"/>
        <v>3.2876712328767121</v>
      </c>
      <c r="Q47" s="23">
        <f t="shared" si="42"/>
        <v>3.2876712328767121</v>
      </c>
      <c r="R47" s="23">
        <f t="shared" si="42"/>
        <v>3.2876712328767121</v>
      </c>
      <c r="S47" s="23">
        <f t="shared" si="42"/>
        <v>3.2876712328767121</v>
      </c>
      <c r="T47" s="23">
        <f t="shared" si="42"/>
        <v>3.2876712328767121</v>
      </c>
      <c r="U47" s="23">
        <f t="shared" si="42"/>
        <v>3.2876712328767121</v>
      </c>
      <c r="V47" s="23">
        <f t="shared" si="42"/>
        <v>3.2876712328767121</v>
      </c>
      <c r="W47" s="23">
        <f t="shared" si="42"/>
        <v>3.2876712328767121</v>
      </c>
      <c r="X47" s="23">
        <f t="shared" si="42"/>
        <v>3.2876712328767121</v>
      </c>
      <c r="Y47" s="23">
        <f t="shared" si="42"/>
        <v>3.2876712328767121</v>
      </c>
      <c r="Z47" s="23">
        <f t="shared" si="42"/>
        <v>3.2876712328767121</v>
      </c>
      <c r="AA47" s="23">
        <f t="shared" si="42"/>
        <v>3.2876712328767121</v>
      </c>
      <c r="AB47" s="23">
        <f t="shared" si="42"/>
        <v>3.2876712328767121</v>
      </c>
    </row>
    <row r="48" spans="1:28" ht="15.75" customHeight="1" x14ac:dyDescent="0.3">
      <c r="A48" s="12">
        <f>RAW!$A$8</f>
        <v>2800</v>
      </c>
      <c r="B48" s="2"/>
      <c r="C48" s="24" t="s">
        <v>21</v>
      </c>
      <c r="D48" s="23">
        <f t="shared" si="40"/>
        <v>7.6712328767123283</v>
      </c>
      <c r="E48" s="2"/>
      <c r="F48" s="24" t="s">
        <v>21</v>
      </c>
      <c r="G48" s="23">
        <f t="shared" ref="G48:AB48" si="43">($A48/G$5)/365</f>
        <v>5.5188725731743368E-2</v>
      </c>
      <c r="H48" s="23">
        <f t="shared" si="43"/>
        <v>0.45124899274778407</v>
      </c>
      <c r="I48" s="23">
        <f t="shared" si="43"/>
        <v>0.38356164383561642</v>
      </c>
      <c r="J48" s="23">
        <f t="shared" si="43"/>
        <v>0.85235920852359204</v>
      </c>
      <c r="K48" s="23">
        <f t="shared" si="43"/>
        <v>1.095890410958904</v>
      </c>
      <c r="L48" s="23">
        <f t="shared" si="43"/>
        <v>1.5342465753424657</v>
      </c>
      <c r="M48" s="23">
        <f t="shared" si="43"/>
        <v>0.51141552511415522</v>
      </c>
      <c r="N48" s="23">
        <f t="shared" si="43"/>
        <v>0.69738480697384808</v>
      </c>
      <c r="O48" s="23">
        <f t="shared" si="43"/>
        <v>7.6712328767123283</v>
      </c>
      <c r="P48" s="23">
        <f t="shared" si="43"/>
        <v>7.6712328767123283</v>
      </c>
      <c r="Q48" s="23">
        <f t="shared" si="43"/>
        <v>7.6712328767123283</v>
      </c>
      <c r="R48" s="23">
        <f t="shared" si="43"/>
        <v>7.6712328767123283</v>
      </c>
      <c r="S48" s="23">
        <f t="shared" si="43"/>
        <v>7.6712328767123283</v>
      </c>
      <c r="T48" s="23">
        <f t="shared" si="43"/>
        <v>7.6712328767123283</v>
      </c>
      <c r="U48" s="23">
        <f t="shared" si="43"/>
        <v>7.6712328767123283</v>
      </c>
      <c r="V48" s="23">
        <f t="shared" si="43"/>
        <v>7.6712328767123283</v>
      </c>
      <c r="W48" s="23">
        <f t="shared" si="43"/>
        <v>7.6712328767123283</v>
      </c>
      <c r="X48" s="23">
        <f t="shared" si="43"/>
        <v>7.6712328767123283</v>
      </c>
      <c r="Y48" s="23">
        <f t="shared" si="43"/>
        <v>7.6712328767123283</v>
      </c>
      <c r="Z48" s="23">
        <f t="shared" si="43"/>
        <v>7.6712328767123283</v>
      </c>
      <c r="AA48" s="23">
        <f t="shared" si="43"/>
        <v>7.6712328767123283</v>
      </c>
      <c r="AB48" s="23">
        <f t="shared" si="43"/>
        <v>7.6712328767123283</v>
      </c>
    </row>
    <row r="49" spans="1:28" ht="15.75" customHeight="1" x14ac:dyDescent="0.3">
      <c r="A49" s="12">
        <f>RAW!$A$9</f>
        <v>6000</v>
      </c>
      <c r="B49" s="2"/>
      <c r="C49" s="24" t="s">
        <v>22</v>
      </c>
      <c r="D49" s="23">
        <f t="shared" si="40"/>
        <v>16.438356164383563</v>
      </c>
      <c r="E49" s="2"/>
      <c r="F49" s="24" t="s">
        <v>22</v>
      </c>
      <c r="G49" s="23">
        <f t="shared" ref="G49:AB49" si="44">($A49/G$5)/365</f>
        <v>0.11826155513945009</v>
      </c>
      <c r="H49" s="23">
        <f t="shared" si="44"/>
        <v>0.96696212731668008</v>
      </c>
      <c r="I49" s="23">
        <f t="shared" si="44"/>
        <v>0.82191780821917804</v>
      </c>
      <c r="J49" s="23">
        <f t="shared" si="44"/>
        <v>1.8264840182648401</v>
      </c>
      <c r="K49" s="23">
        <f t="shared" si="44"/>
        <v>2.3483365949119372</v>
      </c>
      <c r="L49" s="23">
        <f t="shared" si="44"/>
        <v>3.2876712328767121</v>
      </c>
      <c r="M49" s="23">
        <f t="shared" si="44"/>
        <v>1.095890410958904</v>
      </c>
      <c r="N49" s="23">
        <f t="shared" si="44"/>
        <v>1.4943960149439603</v>
      </c>
      <c r="O49" s="23">
        <f t="shared" si="44"/>
        <v>16.438356164383563</v>
      </c>
      <c r="P49" s="23">
        <f t="shared" si="44"/>
        <v>16.438356164383563</v>
      </c>
      <c r="Q49" s="23">
        <f t="shared" si="44"/>
        <v>16.438356164383563</v>
      </c>
      <c r="R49" s="23">
        <f t="shared" si="44"/>
        <v>16.438356164383563</v>
      </c>
      <c r="S49" s="23">
        <f t="shared" si="44"/>
        <v>16.438356164383563</v>
      </c>
      <c r="T49" s="23">
        <f t="shared" si="44"/>
        <v>16.438356164383563</v>
      </c>
      <c r="U49" s="23">
        <f t="shared" si="44"/>
        <v>16.438356164383563</v>
      </c>
      <c r="V49" s="23">
        <f t="shared" si="44"/>
        <v>16.438356164383563</v>
      </c>
      <c r="W49" s="23">
        <f t="shared" si="44"/>
        <v>16.438356164383563</v>
      </c>
      <c r="X49" s="23">
        <f t="shared" si="44"/>
        <v>16.438356164383563</v>
      </c>
      <c r="Y49" s="23">
        <f t="shared" si="44"/>
        <v>16.438356164383563</v>
      </c>
      <c r="Z49" s="23">
        <f t="shared" si="44"/>
        <v>16.438356164383563</v>
      </c>
      <c r="AA49" s="23">
        <f t="shared" si="44"/>
        <v>16.438356164383563</v>
      </c>
      <c r="AB49" s="23">
        <f t="shared" si="44"/>
        <v>16.438356164383563</v>
      </c>
    </row>
    <row r="50" spans="1:28" ht="15.75" customHeight="1" x14ac:dyDescent="0.3">
      <c r="A50" s="12">
        <f>RAW!$A$10</f>
        <v>12400</v>
      </c>
      <c r="B50" s="2"/>
      <c r="C50" s="24" t="s">
        <v>23</v>
      </c>
      <c r="D50" s="23">
        <f t="shared" si="40"/>
        <v>33.972602739726028</v>
      </c>
      <c r="E50" s="2"/>
      <c r="F50" s="24" t="s">
        <v>23</v>
      </c>
      <c r="G50" s="23">
        <f t="shared" ref="G50:AB50" si="45">($A50/G$5)/365</f>
        <v>0.24440721395486351</v>
      </c>
      <c r="H50" s="23">
        <f t="shared" si="45"/>
        <v>1.9983883964544722</v>
      </c>
      <c r="I50" s="23">
        <f t="shared" si="45"/>
        <v>1.6986301369863013</v>
      </c>
      <c r="J50" s="23">
        <f t="shared" si="45"/>
        <v>3.7747336377473366</v>
      </c>
      <c r="K50" s="23">
        <f t="shared" si="45"/>
        <v>4.8532289628180036</v>
      </c>
      <c r="L50" s="23">
        <f t="shared" si="45"/>
        <v>6.7945205479452051</v>
      </c>
      <c r="M50" s="23">
        <f t="shared" si="45"/>
        <v>2.2648401826484017</v>
      </c>
      <c r="N50" s="23">
        <f t="shared" si="45"/>
        <v>3.0884184308841842</v>
      </c>
      <c r="O50" s="23">
        <f t="shared" si="45"/>
        <v>33.972602739726028</v>
      </c>
      <c r="P50" s="23">
        <f t="shared" si="45"/>
        <v>33.972602739726028</v>
      </c>
      <c r="Q50" s="23">
        <f t="shared" si="45"/>
        <v>33.972602739726028</v>
      </c>
      <c r="R50" s="23">
        <f t="shared" si="45"/>
        <v>33.972602739726028</v>
      </c>
      <c r="S50" s="23">
        <f t="shared" si="45"/>
        <v>33.972602739726028</v>
      </c>
      <c r="T50" s="23">
        <f t="shared" si="45"/>
        <v>33.972602739726028</v>
      </c>
      <c r="U50" s="23">
        <f t="shared" si="45"/>
        <v>33.972602739726028</v>
      </c>
      <c r="V50" s="23">
        <f t="shared" si="45"/>
        <v>33.972602739726028</v>
      </c>
      <c r="W50" s="23">
        <f t="shared" si="45"/>
        <v>33.972602739726028</v>
      </c>
      <c r="X50" s="23">
        <f t="shared" si="45"/>
        <v>33.972602739726028</v>
      </c>
      <c r="Y50" s="23">
        <f t="shared" si="45"/>
        <v>33.972602739726028</v>
      </c>
      <c r="Z50" s="23">
        <f t="shared" si="45"/>
        <v>33.972602739726028</v>
      </c>
      <c r="AA50" s="23">
        <f t="shared" si="45"/>
        <v>33.972602739726028</v>
      </c>
      <c r="AB50" s="23">
        <f t="shared" si="45"/>
        <v>33.972602739726028</v>
      </c>
    </row>
    <row r="51" spans="1:28" ht="15.75" customHeight="1" x14ac:dyDescent="0.3">
      <c r="A51" s="12">
        <f>RAW!$A$11</f>
        <v>25200</v>
      </c>
      <c r="B51" s="2"/>
      <c r="C51" s="24" t="s">
        <v>24</v>
      </c>
      <c r="D51" s="23">
        <f t="shared" si="40"/>
        <v>69.041095890410958</v>
      </c>
      <c r="E51" s="2"/>
      <c r="F51" s="24" t="s">
        <v>24</v>
      </c>
      <c r="G51" s="23">
        <f t="shared" ref="G51:AB51" si="46">($A51/G$5)/365</f>
        <v>0.49669853158569033</v>
      </c>
      <c r="H51" s="23">
        <f t="shared" si="46"/>
        <v>4.0612409347300558</v>
      </c>
      <c r="I51" s="23">
        <f t="shared" si="46"/>
        <v>3.452054794520548</v>
      </c>
      <c r="J51" s="23">
        <f t="shared" si="46"/>
        <v>7.6712328767123283</v>
      </c>
      <c r="K51" s="23">
        <f t="shared" si="46"/>
        <v>9.8630136986301373</v>
      </c>
      <c r="L51" s="23">
        <f t="shared" si="46"/>
        <v>13.808219178082192</v>
      </c>
      <c r="M51" s="23">
        <f t="shared" si="46"/>
        <v>4.602739726027397</v>
      </c>
      <c r="N51" s="23">
        <f t="shared" si="46"/>
        <v>6.2764632627646328</v>
      </c>
      <c r="O51" s="23">
        <f t="shared" si="46"/>
        <v>69.041095890410958</v>
      </c>
      <c r="P51" s="23">
        <f t="shared" si="46"/>
        <v>69.041095890410958</v>
      </c>
      <c r="Q51" s="23">
        <f t="shared" si="46"/>
        <v>69.041095890410958</v>
      </c>
      <c r="R51" s="23">
        <f t="shared" si="46"/>
        <v>69.041095890410958</v>
      </c>
      <c r="S51" s="23">
        <f t="shared" si="46"/>
        <v>69.041095890410958</v>
      </c>
      <c r="T51" s="23">
        <f t="shared" si="46"/>
        <v>69.041095890410958</v>
      </c>
      <c r="U51" s="23">
        <f t="shared" si="46"/>
        <v>69.041095890410958</v>
      </c>
      <c r="V51" s="23">
        <f t="shared" si="46"/>
        <v>69.041095890410958</v>
      </c>
      <c r="W51" s="23">
        <f t="shared" si="46"/>
        <v>69.041095890410958</v>
      </c>
      <c r="X51" s="23">
        <f t="shared" si="46"/>
        <v>69.041095890410958</v>
      </c>
      <c r="Y51" s="23">
        <f t="shared" si="46"/>
        <v>69.041095890410958</v>
      </c>
      <c r="Z51" s="23">
        <f t="shared" si="46"/>
        <v>69.041095890410958</v>
      </c>
      <c r="AA51" s="23">
        <f t="shared" si="46"/>
        <v>69.041095890410958</v>
      </c>
      <c r="AB51" s="23">
        <f t="shared" si="46"/>
        <v>69.041095890410958</v>
      </c>
    </row>
    <row r="52" spans="1:28" ht="15.75" customHeight="1" x14ac:dyDescent="0.3">
      <c r="A52" s="12">
        <f>RAW!$A$12</f>
        <v>50800</v>
      </c>
      <c r="B52" s="2"/>
      <c r="C52" s="24" t="s">
        <v>25</v>
      </c>
      <c r="D52" s="23">
        <f t="shared" si="40"/>
        <v>139.17808219178082</v>
      </c>
      <c r="E52" s="2"/>
      <c r="F52" s="24" t="s">
        <v>25</v>
      </c>
      <c r="G52" s="23">
        <f t="shared" ref="G52:AB52" si="47">($A52/G$5)/365</f>
        <v>1.001281166847344</v>
      </c>
      <c r="H52" s="23">
        <f t="shared" si="47"/>
        <v>8.1869460112812238</v>
      </c>
      <c r="I52" s="23">
        <f t="shared" si="47"/>
        <v>6.9589041095890414</v>
      </c>
      <c r="J52" s="23">
        <f t="shared" si="47"/>
        <v>15.464231354642314</v>
      </c>
      <c r="K52" s="23">
        <f t="shared" si="47"/>
        <v>19.882583170254403</v>
      </c>
      <c r="L52" s="23">
        <f t="shared" si="47"/>
        <v>27.835616438356166</v>
      </c>
      <c r="M52" s="23">
        <f t="shared" si="47"/>
        <v>9.2785388127853885</v>
      </c>
      <c r="N52" s="23">
        <f t="shared" si="47"/>
        <v>12.652552926525528</v>
      </c>
      <c r="O52" s="23">
        <f t="shared" si="47"/>
        <v>139.17808219178082</v>
      </c>
      <c r="P52" s="23">
        <f t="shared" si="47"/>
        <v>139.17808219178082</v>
      </c>
      <c r="Q52" s="23">
        <f t="shared" si="47"/>
        <v>139.17808219178082</v>
      </c>
      <c r="R52" s="23">
        <f t="shared" si="47"/>
        <v>139.17808219178082</v>
      </c>
      <c r="S52" s="23">
        <f t="shared" si="47"/>
        <v>139.17808219178082</v>
      </c>
      <c r="T52" s="23">
        <f t="shared" si="47"/>
        <v>139.17808219178082</v>
      </c>
      <c r="U52" s="23">
        <f t="shared" si="47"/>
        <v>139.17808219178082</v>
      </c>
      <c r="V52" s="23">
        <f t="shared" si="47"/>
        <v>139.17808219178082</v>
      </c>
      <c r="W52" s="23">
        <f t="shared" si="47"/>
        <v>139.17808219178082</v>
      </c>
      <c r="X52" s="23">
        <f t="shared" si="47"/>
        <v>139.17808219178082</v>
      </c>
      <c r="Y52" s="23">
        <f t="shared" si="47"/>
        <v>139.17808219178082</v>
      </c>
      <c r="Z52" s="23">
        <f t="shared" si="47"/>
        <v>139.17808219178082</v>
      </c>
      <c r="AA52" s="23">
        <f t="shared" si="47"/>
        <v>139.17808219178082</v>
      </c>
      <c r="AB52" s="23">
        <f t="shared" si="47"/>
        <v>139.17808219178082</v>
      </c>
    </row>
    <row r="53" spans="1:28" ht="15.75" customHeight="1" x14ac:dyDescent="0.3">
      <c r="A53" s="12">
        <f>RAW!$A$13</f>
        <v>102000</v>
      </c>
      <c r="B53" s="2"/>
      <c r="C53" s="24" t="s">
        <v>26</v>
      </c>
      <c r="D53" s="23">
        <f t="shared" si="40"/>
        <v>279.45205479452056</v>
      </c>
      <c r="E53" s="2"/>
      <c r="F53" s="24" t="s">
        <v>26</v>
      </c>
      <c r="G53" s="23">
        <f t="shared" ref="G53:AB53" si="48">($A53/G$5)/365</f>
        <v>2.0104464373706517</v>
      </c>
      <c r="H53" s="23">
        <f t="shared" si="48"/>
        <v>16.438356164383563</v>
      </c>
      <c r="I53" s="23">
        <f t="shared" si="48"/>
        <v>13.972602739726028</v>
      </c>
      <c r="J53" s="23">
        <f t="shared" si="48"/>
        <v>31.050228310502284</v>
      </c>
      <c r="K53" s="23">
        <f t="shared" si="48"/>
        <v>39.921722113502931</v>
      </c>
      <c r="L53" s="23">
        <f t="shared" si="48"/>
        <v>55.890410958904113</v>
      </c>
      <c r="M53" s="23">
        <f t="shared" si="48"/>
        <v>18.63013698630137</v>
      </c>
      <c r="N53" s="23">
        <f t="shared" si="48"/>
        <v>25.404732254047321</v>
      </c>
      <c r="O53" s="23">
        <f t="shared" si="48"/>
        <v>279.45205479452056</v>
      </c>
      <c r="P53" s="23">
        <f t="shared" si="48"/>
        <v>279.45205479452056</v>
      </c>
      <c r="Q53" s="23">
        <f t="shared" si="48"/>
        <v>279.45205479452056</v>
      </c>
      <c r="R53" s="23">
        <f t="shared" si="48"/>
        <v>279.45205479452056</v>
      </c>
      <c r="S53" s="23">
        <f t="shared" si="48"/>
        <v>279.45205479452056</v>
      </c>
      <c r="T53" s="23">
        <f t="shared" si="48"/>
        <v>279.45205479452056</v>
      </c>
      <c r="U53" s="23">
        <f t="shared" si="48"/>
        <v>279.45205479452056</v>
      </c>
      <c r="V53" s="23">
        <f t="shared" si="48"/>
        <v>279.45205479452056</v>
      </c>
      <c r="W53" s="23">
        <f t="shared" si="48"/>
        <v>279.45205479452056</v>
      </c>
      <c r="X53" s="23">
        <f t="shared" si="48"/>
        <v>279.45205479452056</v>
      </c>
      <c r="Y53" s="23">
        <f t="shared" si="48"/>
        <v>279.45205479452056</v>
      </c>
      <c r="Z53" s="23">
        <f t="shared" si="48"/>
        <v>279.45205479452056</v>
      </c>
      <c r="AA53" s="23">
        <f t="shared" si="48"/>
        <v>279.45205479452056</v>
      </c>
      <c r="AB53" s="23">
        <f t="shared" si="48"/>
        <v>279.45205479452056</v>
      </c>
    </row>
    <row r="54" spans="1:28" ht="15.75" customHeight="1" x14ac:dyDescent="0.3">
      <c r="A54" s="12">
        <f>RAW!$A$14</f>
        <v>204400</v>
      </c>
      <c r="B54" s="2"/>
      <c r="C54" s="24" t="s">
        <v>27</v>
      </c>
      <c r="D54" s="23">
        <f t="shared" si="40"/>
        <v>560</v>
      </c>
      <c r="E54" s="2"/>
      <c r="F54" s="24" t="s">
        <v>27</v>
      </c>
      <c r="G54" s="23">
        <f t="shared" ref="G54:AB54" si="49">($A54/G$5)/365</f>
        <v>4.028776978417266</v>
      </c>
      <c r="H54" s="23">
        <f t="shared" si="49"/>
        <v>32.941176470588239</v>
      </c>
      <c r="I54" s="23">
        <f t="shared" si="49"/>
        <v>28</v>
      </c>
      <c r="J54" s="23">
        <f t="shared" si="49"/>
        <v>62.222222222222214</v>
      </c>
      <c r="K54" s="23">
        <f t="shared" si="49"/>
        <v>80</v>
      </c>
      <c r="L54" s="23">
        <f t="shared" si="49"/>
        <v>112</v>
      </c>
      <c r="M54" s="23">
        <f t="shared" si="49"/>
        <v>37.333333333333329</v>
      </c>
      <c r="N54" s="23">
        <f t="shared" si="49"/>
        <v>50.909090909090907</v>
      </c>
      <c r="O54" s="23">
        <f t="shared" si="49"/>
        <v>560</v>
      </c>
      <c r="P54" s="23">
        <f t="shared" si="49"/>
        <v>560</v>
      </c>
      <c r="Q54" s="23">
        <f t="shared" si="49"/>
        <v>560</v>
      </c>
      <c r="R54" s="23">
        <f t="shared" si="49"/>
        <v>560</v>
      </c>
      <c r="S54" s="23">
        <f t="shared" si="49"/>
        <v>560</v>
      </c>
      <c r="T54" s="23">
        <f t="shared" si="49"/>
        <v>560</v>
      </c>
      <c r="U54" s="23">
        <f t="shared" si="49"/>
        <v>560</v>
      </c>
      <c r="V54" s="23">
        <f t="shared" si="49"/>
        <v>560</v>
      </c>
      <c r="W54" s="23">
        <f t="shared" si="49"/>
        <v>560</v>
      </c>
      <c r="X54" s="23">
        <f t="shared" si="49"/>
        <v>560</v>
      </c>
      <c r="Y54" s="23">
        <f t="shared" si="49"/>
        <v>560</v>
      </c>
      <c r="Z54" s="23">
        <f t="shared" si="49"/>
        <v>560</v>
      </c>
      <c r="AA54" s="23">
        <f t="shared" si="49"/>
        <v>560</v>
      </c>
      <c r="AB54" s="23">
        <f t="shared" si="49"/>
        <v>560</v>
      </c>
    </row>
    <row r="55" spans="1:28" ht="15.75" customHeight="1" x14ac:dyDescent="0.3">
      <c r="A55" s="12">
        <f>RAW!$A$15</f>
        <v>409200</v>
      </c>
      <c r="B55" s="2"/>
      <c r="C55" s="24" t="s">
        <v>28</v>
      </c>
      <c r="D55" s="23">
        <f t="shared" si="40"/>
        <v>1121.0958904109589</v>
      </c>
      <c r="E55" s="2"/>
      <c r="F55" s="24" t="s">
        <v>28</v>
      </c>
      <c r="G55" s="23">
        <f t="shared" ref="G55:AB55" si="50">($A55/G$5)/365</f>
        <v>8.0654380605104965</v>
      </c>
      <c r="H55" s="23">
        <f t="shared" si="50"/>
        <v>65.946817082997583</v>
      </c>
      <c r="I55" s="23">
        <f t="shared" si="50"/>
        <v>56.054794520547944</v>
      </c>
      <c r="J55" s="23">
        <f t="shared" si="50"/>
        <v>124.56621004566209</v>
      </c>
      <c r="K55" s="23">
        <f t="shared" si="50"/>
        <v>160.15655577299412</v>
      </c>
      <c r="L55" s="23">
        <f t="shared" si="50"/>
        <v>224.21917808219177</v>
      </c>
      <c r="M55" s="23">
        <f t="shared" si="50"/>
        <v>74.739726027397253</v>
      </c>
      <c r="N55" s="23">
        <f t="shared" si="50"/>
        <v>101.91780821917808</v>
      </c>
      <c r="O55" s="23">
        <f t="shared" si="50"/>
        <v>1121.0958904109589</v>
      </c>
      <c r="P55" s="23">
        <f t="shared" si="50"/>
        <v>1121.0958904109589</v>
      </c>
      <c r="Q55" s="23">
        <f t="shared" si="50"/>
        <v>1121.0958904109589</v>
      </c>
      <c r="R55" s="23">
        <f t="shared" si="50"/>
        <v>1121.0958904109589</v>
      </c>
      <c r="S55" s="23">
        <f t="shared" si="50"/>
        <v>1121.0958904109589</v>
      </c>
      <c r="T55" s="23">
        <f t="shared" si="50"/>
        <v>1121.0958904109589</v>
      </c>
      <c r="U55" s="23">
        <f t="shared" si="50"/>
        <v>1121.0958904109589</v>
      </c>
      <c r="V55" s="23">
        <f t="shared" si="50"/>
        <v>1121.0958904109589</v>
      </c>
      <c r="W55" s="23">
        <f t="shared" si="50"/>
        <v>1121.0958904109589</v>
      </c>
      <c r="X55" s="23">
        <f t="shared" si="50"/>
        <v>1121.0958904109589</v>
      </c>
      <c r="Y55" s="23">
        <f t="shared" si="50"/>
        <v>1121.0958904109589</v>
      </c>
      <c r="Z55" s="23">
        <f t="shared" si="50"/>
        <v>1121.0958904109589</v>
      </c>
      <c r="AA55" s="23">
        <f t="shared" si="50"/>
        <v>1121.0958904109589</v>
      </c>
      <c r="AB55" s="23">
        <f t="shared" si="50"/>
        <v>1121.0958904109589</v>
      </c>
    </row>
    <row r="56" spans="1:28" ht="15.75" customHeight="1" x14ac:dyDescent="0.3">
      <c r="A56" s="12">
        <f>RAW!$A$16</f>
        <v>818800</v>
      </c>
      <c r="B56" s="2"/>
      <c r="C56" s="24" t="s">
        <v>29</v>
      </c>
      <c r="D56" s="23">
        <f t="shared" si="40"/>
        <v>2243.2876712328766</v>
      </c>
      <c r="E56" s="2"/>
      <c r="F56" s="24" t="s">
        <v>29</v>
      </c>
      <c r="G56" s="23">
        <f t="shared" ref="G56:AB56" si="51">($A56/G$5)/365</f>
        <v>16.138760224696956</v>
      </c>
      <c r="H56" s="23">
        <f t="shared" si="51"/>
        <v>131.95809830781627</v>
      </c>
      <c r="I56" s="23">
        <f t="shared" si="51"/>
        <v>112.16438356164383</v>
      </c>
      <c r="J56" s="23">
        <f t="shared" si="51"/>
        <v>249.25418569254185</v>
      </c>
      <c r="K56" s="23">
        <f t="shared" si="51"/>
        <v>320.46966731898237</v>
      </c>
      <c r="L56" s="23">
        <f t="shared" si="51"/>
        <v>448.65753424657532</v>
      </c>
      <c r="M56" s="23">
        <f t="shared" si="51"/>
        <v>149.55251141552512</v>
      </c>
      <c r="N56" s="23">
        <f t="shared" si="51"/>
        <v>203.93524283935241</v>
      </c>
      <c r="O56" s="23">
        <f t="shared" si="51"/>
        <v>2243.2876712328766</v>
      </c>
      <c r="P56" s="23">
        <f t="shared" si="51"/>
        <v>2243.2876712328766</v>
      </c>
      <c r="Q56" s="23">
        <f t="shared" si="51"/>
        <v>2243.2876712328766</v>
      </c>
      <c r="R56" s="23">
        <f t="shared" si="51"/>
        <v>2243.2876712328766</v>
      </c>
      <c r="S56" s="23">
        <f t="shared" si="51"/>
        <v>2243.2876712328766</v>
      </c>
      <c r="T56" s="23">
        <f t="shared" si="51"/>
        <v>2243.2876712328766</v>
      </c>
      <c r="U56" s="23">
        <f t="shared" si="51"/>
        <v>2243.2876712328766</v>
      </c>
      <c r="V56" s="23">
        <f t="shared" si="51"/>
        <v>2243.2876712328766</v>
      </c>
      <c r="W56" s="23">
        <f t="shared" si="51"/>
        <v>2243.2876712328766</v>
      </c>
      <c r="X56" s="23">
        <f t="shared" si="51"/>
        <v>2243.2876712328766</v>
      </c>
      <c r="Y56" s="23">
        <f t="shared" si="51"/>
        <v>2243.2876712328766</v>
      </c>
      <c r="Z56" s="23">
        <f t="shared" si="51"/>
        <v>2243.2876712328766</v>
      </c>
      <c r="AA56" s="23">
        <f t="shared" si="51"/>
        <v>2243.2876712328766</v>
      </c>
      <c r="AB56" s="23">
        <f t="shared" si="51"/>
        <v>2243.2876712328766</v>
      </c>
    </row>
    <row r="57" spans="1:28" ht="15.75" customHeight="1" x14ac:dyDescent="0.3">
      <c r="A57" s="12">
        <f>RAW!$A$17</f>
        <v>1638000</v>
      </c>
      <c r="B57" s="2"/>
      <c r="C57" s="24" t="s">
        <v>30</v>
      </c>
      <c r="D57" s="23">
        <f t="shared" si="40"/>
        <v>4487.6712328767126</v>
      </c>
      <c r="E57" s="2"/>
      <c r="F57" s="24" t="s">
        <v>30</v>
      </c>
      <c r="G57" s="23">
        <f t="shared" ref="G57:AB57" si="52">($A57/G$5)/365</f>
        <v>32.285404553069874</v>
      </c>
      <c r="H57" s="23">
        <f t="shared" si="52"/>
        <v>263.98066075745368</v>
      </c>
      <c r="I57" s="23">
        <f t="shared" si="52"/>
        <v>224.38356164383561</v>
      </c>
      <c r="J57" s="23">
        <f t="shared" si="52"/>
        <v>498.63013698630135</v>
      </c>
      <c r="K57" s="23">
        <f t="shared" si="52"/>
        <v>641.09589041095887</v>
      </c>
      <c r="L57" s="23">
        <f t="shared" si="52"/>
        <v>897.53424657534242</v>
      </c>
      <c r="M57" s="23">
        <f t="shared" si="52"/>
        <v>299.17808219178085</v>
      </c>
      <c r="N57" s="23">
        <f t="shared" si="52"/>
        <v>407.97011207970115</v>
      </c>
      <c r="O57" s="23">
        <f t="shared" si="52"/>
        <v>4487.6712328767126</v>
      </c>
      <c r="P57" s="23">
        <f t="shared" si="52"/>
        <v>4487.6712328767126</v>
      </c>
      <c r="Q57" s="23">
        <f t="shared" si="52"/>
        <v>4487.6712328767126</v>
      </c>
      <c r="R57" s="23">
        <f t="shared" si="52"/>
        <v>4487.6712328767126</v>
      </c>
      <c r="S57" s="23">
        <f t="shared" si="52"/>
        <v>4487.6712328767126</v>
      </c>
      <c r="T57" s="23">
        <f t="shared" si="52"/>
        <v>4487.6712328767126</v>
      </c>
      <c r="U57" s="23">
        <f t="shared" si="52"/>
        <v>4487.6712328767126</v>
      </c>
      <c r="V57" s="23">
        <f t="shared" si="52"/>
        <v>4487.6712328767126</v>
      </c>
      <c r="W57" s="23">
        <f t="shared" si="52"/>
        <v>4487.6712328767126</v>
      </c>
      <c r="X57" s="23">
        <f t="shared" si="52"/>
        <v>4487.6712328767126</v>
      </c>
      <c r="Y57" s="23">
        <f t="shared" si="52"/>
        <v>4487.6712328767126</v>
      </c>
      <c r="Z57" s="23">
        <f t="shared" si="52"/>
        <v>4487.6712328767126</v>
      </c>
      <c r="AA57" s="23">
        <f t="shared" si="52"/>
        <v>4487.6712328767126</v>
      </c>
      <c r="AB57" s="23">
        <f t="shared" si="52"/>
        <v>4487.6712328767126</v>
      </c>
    </row>
    <row r="58" spans="1:28" ht="15.75" customHeight="1" x14ac:dyDescent="0.3">
      <c r="A58" s="12">
        <f>RAW!$A$18</f>
        <v>3276400</v>
      </c>
      <c r="B58" s="2"/>
      <c r="C58" s="24" t="s">
        <v>31</v>
      </c>
      <c r="D58" s="23">
        <f t="shared" si="40"/>
        <v>8976.4383561643845</v>
      </c>
      <c r="E58" s="2"/>
      <c r="F58" s="24" t="s">
        <v>31</v>
      </c>
      <c r="G58" s="23">
        <f t="shared" ref="G58:AB58" si="53">($A58/G$5)/365</f>
        <v>64.578693209815711</v>
      </c>
      <c r="H58" s="23">
        <f t="shared" si="53"/>
        <v>528.02578565672843</v>
      </c>
      <c r="I58" s="23">
        <f t="shared" si="53"/>
        <v>448.82191780821915</v>
      </c>
      <c r="J58" s="23">
        <f t="shared" si="53"/>
        <v>997.38203957382041</v>
      </c>
      <c r="K58" s="23">
        <f t="shared" si="53"/>
        <v>1282.3483365949119</v>
      </c>
      <c r="L58" s="23">
        <f t="shared" si="53"/>
        <v>1795.2876712328766</v>
      </c>
      <c r="M58" s="23">
        <f t="shared" si="53"/>
        <v>598.42922374429224</v>
      </c>
      <c r="N58" s="23">
        <f t="shared" si="53"/>
        <v>816.03985056039858</v>
      </c>
      <c r="O58" s="23">
        <f t="shared" si="53"/>
        <v>8976.4383561643845</v>
      </c>
      <c r="P58" s="23">
        <f t="shared" si="53"/>
        <v>8976.4383561643845</v>
      </c>
      <c r="Q58" s="23">
        <f t="shared" si="53"/>
        <v>8976.4383561643845</v>
      </c>
      <c r="R58" s="23">
        <f t="shared" si="53"/>
        <v>8976.4383561643845</v>
      </c>
      <c r="S58" s="23">
        <f t="shared" si="53"/>
        <v>8976.4383561643845</v>
      </c>
      <c r="T58" s="23">
        <f t="shared" si="53"/>
        <v>8976.4383561643845</v>
      </c>
      <c r="U58" s="23">
        <f t="shared" si="53"/>
        <v>8976.4383561643845</v>
      </c>
      <c r="V58" s="23">
        <f t="shared" si="53"/>
        <v>8976.4383561643845</v>
      </c>
      <c r="W58" s="23">
        <f t="shared" si="53"/>
        <v>8976.4383561643845</v>
      </c>
      <c r="X58" s="23">
        <f t="shared" si="53"/>
        <v>8976.4383561643845</v>
      </c>
      <c r="Y58" s="23">
        <f t="shared" si="53"/>
        <v>8976.4383561643845</v>
      </c>
      <c r="Z58" s="23">
        <f t="shared" si="53"/>
        <v>8976.4383561643845</v>
      </c>
      <c r="AA58" s="23">
        <f t="shared" si="53"/>
        <v>8976.4383561643845</v>
      </c>
      <c r="AB58" s="23">
        <f t="shared" si="53"/>
        <v>8976.4383561643845</v>
      </c>
    </row>
    <row r="59" spans="1:28" ht="15.75" customHeight="1" x14ac:dyDescent="0.3">
      <c r="A59" s="12">
        <f>RAW!$A$19</f>
        <v>6553200</v>
      </c>
      <c r="B59" s="2"/>
      <c r="C59" s="24" t="s">
        <v>32</v>
      </c>
      <c r="D59" s="23">
        <f t="shared" si="40"/>
        <v>17953.972602739726</v>
      </c>
      <c r="E59" s="2"/>
      <c r="F59" s="24" t="s">
        <v>32</v>
      </c>
      <c r="G59" s="23">
        <f t="shared" ref="G59:AB59" si="54">($A59/G$5)/365</f>
        <v>129.16527052330738</v>
      </c>
      <c r="H59" s="23">
        <f t="shared" si="54"/>
        <v>1056.1160354552778</v>
      </c>
      <c r="I59" s="23">
        <f t="shared" si="54"/>
        <v>897.69863013698625</v>
      </c>
      <c r="J59" s="23">
        <f t="shared" si="54"/>
        <v>1994.8858447488585</v>
      </c>
      <c r="K59" s="23">
        <f t="shared" si="54"/>
        <v>2564.8532289628179</v>
      </c>
      <c r="L59" s="23">
        <f t="shared" si="54"/>
        <v>3590.794520547945</v>
      </c>
      <c r="M59" s="23">
        <f t="shared" si="54"/>
        <v>1196.9315068493152</v>
      </c>
      <c r="N59" s="23">
        <f t="shared" si="54"/>
        <v>1632.1793275217933</v>
      </c>
      <c r="O59" s="23">
        <f t="shared" si="54"/>
        <v>17953.972602739726</v>
      </c>
      <c r="P59" s="23">
        <f t="shared" si="54"/>
        <v>17953.972602739726</v>
      </c>
      <c r="Q59" s="23">
        <f t="shared" si="54"/>
        <v>17953.972602739726</v>
      </c>
      <c r="R59" s="23">
        <f t="shared" si="54"/>
        <v>17953.972602739726</v>
      </c>
      <c r="S59" s="23">
        <f t="shared" si="54"/>
        <v>17953.972602739726</v>
      </c>
      <c r="T59" s="23">
        <f t="shared" si="54"/>
        <v>17953.972602739726</v>
      </c>
      <c r="U59" s="23">
        <f t="shared" si="54"/>
        <v>17953.972602739726</v>
      </c>
      <c r="V59" s="23">
        <f t="shared" si="54"/>
        <v>17953.972602739726</v>
      </c>
      <c r="W59" s="23">
        <f t="shared" si="54"/>
        <v>17953.972602739726</v>
      </c>
      <c r="X59" s="23">
        <f t="shared" si="54"/>
        <v>17953.972602739726</v>
      </c>
      <c r="Y59" s="23">
        <f t="shared" si="54"/>
        <v>17953.972602739726</v>
      </c>
      <c r="Z59" s="23">
        <f t="shared" si="54"/>
        <v>17953.972602739726</v>
      </c>
      <c r="AA59" s="23">
        <f t="shared" si="54"/>
        <v>17953.972602739726</v>
      </c>
      <c r="AB59" s="23">
        <f t="shared" si="54"/>
        <v>17953.972602739726</v>
      </c>
    </row>
    <row r="60" spans="1:28" ht="15.75" customHeight="1" x14ac:dyDescent="0.3">
      <c r="A60" s="12">
        <f>RAW!$A$20</f>
        <v>13106800</v>
      </c>
      <c r="B60" s="2"/>
      <c r="C60" s="24" t="s">
        <v>33</v>
      </c>
      <c r="D60" s="23">
        <f t="shared" si="40"/>
        <v>35909.04109589041</v>
      </c>
      <c r="E60" s="2"/>
      <c r="F60" s="24" t="s">
        <v>33</v>
      </c>
      <c r="G60" s="23">
        <f t="shared" ref="G60:AB60" si="55">($A60/G$5)/365</f>
        <v>258.33842515029073</v>
      </c>
      <c r="H60" s="23">
        <f t="shared" si="55"/>
        <v>2112.2965350523768</v>
      </c>
      <c r="I60" s="23">
        <f t="shared" si="55"/>
        <v>1795.4520547945206</v>
      </c>
      <c r="J60" s="23">
        <f t="shared" si="55"/>
        <v>3989.8934550989343</v>
      </c>
      <c r="K60" s="23">
        <f t="shared" si="55"/>
        <v>5129.8630136986303</v>
      </c>
      <c r="L60" s="23">
        <f t="shared" si="55"/>
        <v>7181.8082191780823</v>
      </c>
      <c r="M60" s="23">
        <f t="shared" si="55"/>
        <v>2393.9360730593608</v>
      </c>
      <c r="N60" s="23">
        <f t="shared" si="55"/>
        <v>3264.4582814445826</v>
      </c>
      <c r="O60" s="23">
        <f t="shared" si="55"/>
        <v>35909.04109589041</v>
      </c>
      <c r="P60" s="23">
        <f t="shared" si="55"/>
        <v>35909.04109589041</v>
      </c>
      <c r="Q60" s="23">
        <f t="shared" si="55"/>
        <v>35909.04109589041</v>
      </c>
      <c r="R60" s="23">
        <f t="shared" si="55"/>
        <v>35909.04109589041</v>
      </c>
      <c r="S60" s="23">
        <f t="shared" si="55"/>
        <v>35909.04109589041</v>
      </c>
      <c r="T60" s="23">
        <f t="shared" si="55"/>
        <v>35909.04109589041</v>
      </c>
      <c r="U60" s="23">
        <f t="shared" si="55"/>
        <v>35909.04109589041</v>
      </c>
      <c r="V60" s="23">
        <f t="shared" si="55"/>
        <v>35909.04109589041</v>
      </c>
      <c r="W60" s="23">
        <f t="shared" si="55"/>
        <v>35909.04109589041</v>
      </c>
      <c r="X60" s="23">
        <f t="shared" si="55"/>
        <v>35909.04109589041</v>
      </c>
      <c r="Y60" s="23">
        <f t="shared" si="55"/>
        <v>35909.04109589041</v>
      </c>
      <c r="Z60" s="23">
        <f t="shared" si="55"/>
        <v>35909.04109589041</v>
      </c>
      <c r="AA60" s="23">
        <f t="shared" si="55"/>
        <v>35909.04109589041</v>
      </c>
      <c r="AB60" s="23">
        <f t="shared" si="55"/>
        <v>35909.04109589041</v>
      </c>
    </row>
    <row r="61" spans="1:28" ht="15.75" customHeight="1" x14ac:dyDescent="0.3">
      <c r="A61" s="12">
        <f>RAW!$A$21</f>
        <v>26214000</v>
      </c>
      <c r="B61" s="2"/>
      <c r="C61" s="24" t="s">
        <v>34</v>
      </c>
      <c r="D61" s="23">
        <f t="shared" si="40"/>
        <v>71819.178082191778</v>
      </c>
      <c r="E61" s="2"/>
      <c r="F61" s="24" t="s">
        <v>34</v>
      </c>
      <c r="G61" s="23">
        <f t="shared" ref="G61:AB61" si="56">($A61/G$5)/365</f>
        <v>516.68473440425737</v>
      </c>
      <c r="H61" s="23">
        <f t="shared" si="56"/>
        <v>4224.6575342465758</v>
      </c>
      <c r="I61" s="23">
        <f t="shared" si="56"/>
        <v>3590.9589041095892</v>
      </c>
      <c r="J61" s="23">
        <f t="shared" si="56"/>
        <v>7979.9086757990863</v>
      </c>
      <c r="K61" s="23">
        <f t="shared" si="56"/>
        <v>10259.882583170254</v>
      </c>
      <c r="L61" s="23">
        <f t="shared" si="56"/>
        <v>14363.835616438357</v>
      </c>
      <c r="M61" s="23">
        <f t="shared" si="56"/>
        <v>4787.9452054794519</v>
      </c>
      <c r="N61" s="23">
        <f t="shared" si="56"/>
        <v>6529.0161892901624</v>
      </c>
      <c r="O61" s="23">
        <f t="shared" si="56"/>
        <v>71819.178082191778</v>
      </c>
      <c r="P61" s="23">
        <f t="shared" si="56"/>
        <v>71819.178082191778</v>
      </c>
      <c r="Q61" s="23">
        <f t="shared" si="56"/>
        <v>71819.178082191778</v>
      </c>
      <c r="R61" s="23">
        <f t="shared" si="56"/>
        <v>71819.178082191778</v>
      </c>
      <c r="S61" s="23">
        <f t="shared" si="56"/>
        <v>71819.178082191778</v>
      </c>
      <c r="T61" s="23">
        <f t="shared" si="56"/>
        <v>71819.178082191778</v>
      </c>
      <c r="U61" s="23">
        <f t="shared" si="56"/>
        <v>71819.178082191778</v>
      </c>
      <c r="V61" s="23">
        <f t="shared" si="56"/>
        <v>71819.178082191778</v>
      </c>
      <c r="W61" s="23">
        <f t="shared" si="56"/>
        <v>71819.178082191778</v>
      </c>
      <c r="X61" s="23">
        <f t="shared" si="56"/>
        <v>71819.178082191778</v>
      </c>
      <c r="Y61" s="23">
        <f t="shared" si="56"/>
        <v>71819.178082191778</v>
      </c>
      <c r="Z61" s="23">
        <f t="shared" si="56"/>
        <v>71819.178082191778</v>
      </c>
      <c r="AA61" s="23">
        <f t="shared" si="56"/>
        <v>71819.178082191778</v>
      </c>
      <c r="AB61" s="23">
        <f t="shared" si="56"/>
        <v>71819.178082191778</v>
      </c>
    </row>
    <row r="62" spans="1:28" ht="15.75" customHeight="1" x14ac:dyDescent="0.3">
      <c r="A62" s="12">
        <f>RAW!$A$22</f>
        <v>52428400</v>
      </c>
      <c r="B62" s="2"/>
      <c r="C62" s="24" t="s">
        <v>35</v>
      </c>
      <c r="D62" s="23">
        <f t="shared" si="40"/>
        <v>143639.45205479453</v>
      </c>
      <c r="E62" s="2"/>
      <c r="F62" s="24" t="s">
        <v>35</v>
      </c>
      <c r="G62" s="23">
        <f t="shared" ref="G62:AB62" si="57">($A62/G$5)/365</f>
        <v>1033.3773529121906</v>
      </c>
      <c r="H62" s="23">
        <f t="shared" si="57"/>
        <v>8449.3795326349718</v>
      </c>
      <c r="I62" s="23">
        <f t="shared" si="57"/>
        <v>7181.9726027397264</v>
      </c>
      <c r="J62" s="23">
        <f t="shared" si="57"/>
        <v>15959.939117199392</v>
      </c>
      <c r="K62" s="23">
        <f t="shared" si="57"/>
        <v>20519.9217221135</v>
      </c>
      <c r="L62" s="23">
        <f t="shared" si="57"/>
        <v>28727.890410958906</v>
      </c>
      <c r="M62" s="23">
        <f t="shared" si="57"/>
        <v>9575.9634703196334</v>
      </c>
      <c r="N62" s="23">
        <f t="shared" si="57"/>
        <v>13058.13200498132</v>
      </c>
      <c r="O62" s="23">
        <f t="shared" si="57"/>
        <v>143639.45205479453</v>
      </c>
      <c r="P62" s="23">
        <f t="shared" si="57"/>
        <v>143639.45205479453</v>
      </c>
      <c r="Q62" s="23">
        <f t="shared" si="57"/>
        <v>143639.45205479453</v>
      </c>
      <c r="R62" s="23">
        <f t="shared" si="57"/>
        <v>143639.45205479453</v>
      </c>
      <c r="S62" s="23">
        <f t="shared" si="57"/>
        <v>143639.45205479453</v>
      </c>
      <c r="T62" s="23">
        <f t="shared" si="57"/>
        <v>143639.45205479453</v>
      </c>
      <c r="U62" s="23">
        <f t="shared" si="57"/>
        <v>143639.45205479453</v>
      </c>
      <c r="V62" s="23">
        <f t="shared" si="57"/>
        <v>143639.45205479453</v>
      </c>
      <c r="W62" s="23">
        <f t="shared" si="57"/>
        <v>143639.45205479453</v>
      </c>
      <c r="X62" s="23">
        <f t="shared" si="57"/>
        <v>143639.45205479453</v>
      </c>
      <c r="Y62" s="23">
        <f t="shared" si="57"/>
        <v>143639.45205479453</v>
      </c>
      <c r="Z62" s="23">
        <f t="shared" si="57"/>
        <v>143639.45205479453</v>
      </c>
      <c r="AA62" s="23">
        <f t="shared" si="57"/>
        <v>143639.45205479453</v>
      </c>
      <c r="AB62" s="23">
        <f t="shared" si="57"/>
        <v>143639.45205479453</v>
      </c>
    </row>
    <row r="63" spans="1:28" ht="15.75" customHeight="1" x14ac:dyDescent="0.3">
      <c r="B63" s="2"/>
      <c r="E63" s="2"/>
    </row>
    <row r="64" spans="1:28" ht="15.75" customHeight="1" x14ac:dyDescent="0.3">
      <c r="B64" s="2"/>
      <c r="E64" s="2"/>
    </row>
    <row r="65" spans="2:5" ht="15.75" customHeight="1" x14ac:dyDescent="0.3">
      <c r="B65" s="2"/>
      <c r="E65" s="2"/>
    </row>
    <row r="66" spans="2:5" ht="15.75" customHeight="1" x14ac:dyDescent="0.3">
      <c r="B66" s="2"/>
      <c r="E66" s="2"/>
    </row>
    <row r="67" spans="2:5" ht="15.75" customHeight="1" x14ac:dyDescent="0.3">
      <c r="B67" s="2"/>
      <c r="E67" s="2"/>
    </row>
    <row r="68" spans="2:5" ht="15.75" customHeight="1" x14ac:dyDescent="0.3">
      <c r="B68" s="2"/>
      <c r="E68" s="2"/>
    </row>
    <row r="69" spans="2:5" ht="15.75" customHeight="1" x14ac:dyDescent="0.3">
      <c r="B69" s="2"/>
      <c r="E69" s="2"/>
    </row>
    <row r="70" spans="2:5" ht="15.75" customHeight="1" x14ac:dyDescent="0.3">
      <c r="B70" s="2"/>
      <c r="E70" s="2"/>
    </row>
    <row r="71" spans="2:5" ht="15.75" customHeight="1" x14ac:dyDescent="0.3">
      <c r="B71" s="2"/>
      <c r="E71" s="2"/>
    </row>
    <row r="72" spans="2:5" ht="15.75" customHeight="1" x14ac:dyDescent="0.3">
      <c r="B72" s="2"/>
      <c r="E72" s="2"/>
    </row>
    <row r="73" spans="2:5" ht="15.75" customHeight="1" x14ac:dyDescent="0.3">
      <c r="B73" s="2"/>
      <c r="E73" s="2"/>
    </row>
    <row r="74" spans="2:5" ht="15.75" customHeight="1" x14ac:dyDescent="0.3">
      <c r="B74" s="2"/>
      <c r="E74" s="2"/>
    </row>
    <row r="75" spans="2:5" ht="15.75" customHeight="1" x14ac:dyDescent="0.3">
      <c r="B75" s="2"/>
      <c r="E75" s="2"/>
    </row>
    <row r="76" spans="2:5" ht="15.75" customHeight="1" x14ac:dyDescent="0.3">
      <c r="B76" s="2"/>
      <c r="E76" s="2"/>
    </row>
    <row r="77" spans="2:5" ht="15.75" customHeight="1" x14ac:dyDescent="0.3">
      <c r="B77" s="2"/>
      <c r="E77" s="2"/>
    </row>
    <row r="78" spans="2:5" ht="15.75" customHeight="1" x14ac:dyDescent="0.3">
      <c r="B78" s="2"/>
      <c r="E78" s="2"/>
    </row>
    <row r="79" spans="2:5" ht="15.75" customHeight="1" x14ac:dyDescent="0.3">
      <c r="B79" s="2"/>
      <c r="E79" s="2"/>
    </row>
    <row r="80" spans="2:5" ht="15.75" customHeight="1" x14ac:dyDescent="0.3">
      <c r="B80" s="2"/>
      <c r="E80" s="2"/>
    </row>
    <row r="81" spans="2:5" ht="15.75" customHeight="1" x14ac:dyDescent="0.3">
      <c r="B81" s="2"/>
      <c r="E81" s="2"/>
    </row>
    <row r="82" spans="2:5" ht="15.75" customHeight="1" x14ac:dyDescent="0.3">
      <c r="B82" s="2"/>
      <c r="E82" s="2"/>
    </row>
    <row r="83" spans="2:5" ht="15.75" customHeight="1" x14ac:dyDescent="0.3">
      <c r="B83" s="2"/>
      <c r="E83" s="2"/>
    </row>
    <row r="84" spans="2:5" ht="15.75" customHeight="1" x14ac:dyDescent="0.3">
      <c r="B84" s="2"/>
      <c r="E84" s="2"/>
    </row>
    <row r="85" spans="2:5" ht="15.75" customHeight="1" x14ac:dyDescent="0.3">
      <c r="B85" s="2"/>
      <c r="E85" s="2"/>
    </row>
    <row r="86" spans="2:5" ht="15.75" customHeight="1" x14ac:dyDescent="0.3">
      <c r="B86" s="2"/>
      <c r="E86" s="2"/>
    </row>
    <row r="87" spans="2:5" ht="15.75" customHeight="1" x14ac:dyDescent="0.3">
      <c r="B87" s="2"/>
      <c r="E87" s="2"/>
    </row>
    <row r="88" spans="2:5" ht="15.75" customHeight="1" x14ac:dyDescent="0.3">
      <c r="B88" s="2"/>
      <c r="E88" s="2"/>
    </row>
    <row r="89" spans="2:5" ht="15.75" customHeight="1" x14ac:dyDescent="0.3">
      <c r="B89" s="2"/>
      <c r="E89" s="2"/>
    </row>
    <row r="90" spans="2:5" ht="15.75" customHeight="1" x14ac:dyDescent="0.3">
      <c r="B90" s="2"/>
      <c r="E90" s="2"/>
    </row>
    <row r="91" spans="2:5" ht="15.75" customHeight="1" x14ac:dyDescent="0.3">
      <c r="B91" s="2"/>
      <c r="E91" s="2"/>
    </row>
    <row r="92" spans="2:5" ht="15.75" customHeight="1" x14ac:dyDescent="0.3">
      <c r="B92" s="2"/>
      <c r="E92" s="2"/>
    </row>
    <row r="93" spans="2:5" ht="15.75" customHeight="1" x14ac:dyDescent="0.3">
      <c r="B93" s="2"/>
      <c r="E93" s="2"/>
    </row>
    <row r="94" spans="2:5" ht="15.75" customHeight="1" x14ac:dyDescent="0.3">
      <c r="B94" s="2"/>
      <c r="E94" s="2"/>
    </row>
    <row r="95" spans="2:5" ht="15.75" customHeight="1" x14ac:dyDescent="0.3">
      <c r="B95" s="2"/>
      <c r="E95" s="2"/>
    </row>
    <row r="96" spans="2:5" ht="15.75" customHeight="1" x14ac:dyDescent="0.3">
      <c r="B96" s="2"/>
      <c r="E96" s="2"/>
    </row>
    <row r="97" spans="2:5" ht="15.75" customHeight="1" x14ac:dyDescent="0.3">
      <c r="B97" s="2"/>
      <c r="E97" s="2"/>
    </row>
    <row r="98" spans="2:5" ht="15.75" customHeight="1" x14ac:dyDescent="0.3">
      <c r="B98" s="2"/>
      <c r="E98" s="2"/>
    </row>
    <row r="99" spans="2:5" ht="15.75" customHeight="1" x14ac:dyDescent="0.3">
      <c r="B99" s="2"/>
      <c r="E99" s="2"/>
    </row>
    <row r="100" spans="2:5" ht="15.75" customHeight="1" x14ac:dyDescent="0.3">
      <c r="B100" s="2"/>
      <c r="E100" s="2"/>
    </row>
    <row r="101" spans="2:5" ht="15.75" customHeight="1" x14ac:dyDescent="0.3">
      <c r="B101" s="2"/>
      <c r="E101" s="2"/>
    </row>
    <row r="102" spans="2:5" ht="15.75" customHeight="1" x14ac:dyDescent="0.3">
      <c r="B102" s="2"/>
      <c r="E102" s="2"/>
    </row>
    <row r="103" spans="2:5" ht="15.75" customHeight="1" x14ac:dyDescent="0.3">
      <c r="B103" s="2"/>
      <c r="E103" s="2"/>
    </row>
    <row r="104" spans="2:5" ht="15.75" customHeight="1" x14ac:dyDescent="0.3">
      <c r="B104" s="2"/>
      <c r="E104" s="2"/>
    </row>
    <row r="105" spans="2:5" ht="15.75" customHeight="1" x14ac:dyDescent="0.3">
      <c r="B105" s="2"/>
      <c r="E105" s="2"/>
    </row>
    <row r="106" spans="2:5" ht="15.75" customHeight="1" x14ac:dyDescent="0.3">
      <c r="B106" s="2"/>
      <c r="E106" s="2"/>
    </row>
    <row r="107" spans="2:5" ht="15.75" customHeight="1" x14ac:dyDescent="0.3">
      <c r="B107" s="2"/>
      <c r="E107" s="2"/>
    </row>
    <row r="108" spans="2:5" ht="15.75" customHeight="1" x14ac:dyDescent="0.3">
      <c r="B108" s="2"/>
      <c r="E108" s="2"/>
    </row>
    <row r="109" spans="2:5" ht="15.75" customHeight="1" x14ac:dyDescent="0.3">
      <c r="B109" s="2"/>
      <c r="E109" s="2"/>
    </row>
    <row r="110" spans="2:5" ht="15.75" customHeight="1" x14ac:dyDescent="0.3">
      <c r="B110" s="2"/>
      <c r="E110" s="2"/>
    </row>
    <row r="111" spans="2:5" ht="15.75" customHeight="1" x14ac:dyDescent="0.3">
      <c r="B111" s="2"/>
      <c r="E111" s="2"/>
    </row>
    <row r="112" spans="2:5" ht="15.75" customHeight="1" x14ac:dyDescent="0.3">
      <c r="B112" s="2"/>
      <c r="E112" s="2"/>
    </row>
    <row r="113" spans="2:5" ht="15.75" customHeight="1" x14ac:dyDescent="0.3">
      <c r="B113" s="2"/>
      <c r="E113" s="2"/>
    </row>
    <row r="114" spans="2:5" ht="15.75" customHeight="1" x14ac:dyDescent="0.3">
      <c r="B114" s="2"/>
      <c r="E114" s="2"/>
    </row>
    <row r="115" spans="2:5" ht="15.75" customHeight="1" x14ac:dyDescent="0.3">
      <c r="B115" s="2"/>
      <c r="E115" s="2"/>
    </row>
    <row r="116" spans="2:5" ht="15.75" customHeight="1" x14ac:dyDescent="0.3">
      <c r="B116" s="2"/>
      <c r="E116" s="2"/>
    </row>
    <row r="117" spans="2:5" ht="15.75" customHeight="1" x14ac:dyDescent="0.3">
      <c r="B117" s="2"/>
      <c r="E117" s="2"/>
    </row>
    <row r="118" spans="2:5" ht="15.75" customHeight="1" x14ac:dyDescent="0.3">
      <c r="B118" s="2"/>
      <c r="E118" s="2"/>
    </row>
    <row r="119" spans="2:5" ht="15.75" customHeight="1" x14ac:dyDescent="0.3">
      <c r="B119" s="2"/>
      <c r="E119" s="2"/>
    </row>
    <row r="120" spans="2:5" ht="15.75" customHeight="1" x14ac:dyDescent="0.3">
      <c r="B120" s="2"/>
      <c r="E120" s="2"/>
    </row>
    <row r="121" spans="2:5" ht="15.75" customHeight="1" x14ac:dyDescent="0.3">
      <c r="B121" s="2"/>
      <c r="E121" s="2"/>
    </row>
    <row r="122" spans="2:5" ht="15.75" customHeight="1" x14ac:dyDescent="0.3">
      <c r="B122" s="2"/>
      <c r="E122" s="2"/>
    </row>
    <row r="123" spans="2:5" ht="15.75" customHeight="1" x14ac:dyDescent="0.3">
      <c r="B123" s="2"/>
      <c r="E123" s="2"/>
    </row>
    <row r="124" spans="2:5" ht="15.75" customHeight="1" x14ac:dyDescent="0.3">
      <c r="B124" s="2"/>
      <c r="E124" s="2"/>
    </row>
    <row r="125" spans="2:5" ht="15.75" customHeight="1" x14ac:dyDescent="0.3">
      <c r="B125" s="2"/>
      <c r="E125" s="2"/>
    </row>
    <row r="126" spans="2:5" ht="15.75" customHeight="1" x14ac:dyDescent="0.3">
      <c r="B126" s="2"/>
      <c r="E126" s="2"/>
    </row>
    <row r="127" spans="2:5" ht="15.75" customHeight="1" x14ac:dyDescent="0.3">
      <c r="B127" s="2"/>
      <c r="E127" s="2"/>
    </row>
    <row r="128" spans="2:5" ht="15.75" customHeight="1" x14ac:dyDescent="0.3">
      <c r="B128" s="2"/>
      <c r="E128" s="2"/>
    </row>
    <row r="129" spans="2:5" ht="15.75" customHeight="1" x14ac:dyDescent="0.3">
      <c r="B129" s="2"/>
      <c r="E129" s="2"/>
    </row>
    <row r="130" spans="2:5" ht="15.75" customHeight="1" x14ac:dyDescent="0.3">
      <c r="B130" s="2"/>
      <c r="E130" s="2"/>
    </row>
    <row r="131" spans="2:5" ht="15.75" customHeight="1" x14ac:dyDescent="0.3">
      <c r="B131" s="2"/>
      <c r="E131" s="2"/>
    </row>
    <row r="132" spans="2:5" ht="15.75" customHeight="1" x14ac:dyDescent="0.3">
      <c r="B132" s="2"/>
      <c r="E132" s="2"/>
    </row>
    <row r="133" spans="2:5" ht="15.75" customHeight="1" x14ac:dyDescent="0.3">
      <c r="B133" s="2"/>
      <c r="E133" s="2"/>
    </row>
    <row r="134" spans="2:5" ht="15.75" customHeight="1" x14ac:dyDescent="0.3">
      <c r="B134" s="2"/>
      <c r="E134" s="2"/>
    </row>
    <row r="135" spans="2:5" ht="15.75" customHeight="1" x14ac:dyDescent="0.3">
      <c r="B135" s="2"/>
      <c r="E135" s="2"/>
    </row>
    <row r="136" spans="2:5" ht="15.75" customHeight="1" x14ac:dyDescent="0.3">
      <c r="B136" s="2"/>
      <c r="E136" s="2"/>
    </row>
    <row r="137" spans="2:5" ht="15.75" customHeight="1" x14ac:dyDescent="0.3">
      <c r="B137" s="2"/>
      <c r="E137" s="2"/>
    </row>
    <row r="138" spans="2:5" ht="15.75" customHeight="1" x14ac:dyDescent="0.3">
      <c r="B138" s="2"/>
      <c r="E138" s="2"/>
    </row>
    <row r="139" spans="2:5" ht="15.75" customHeight="1" x14ac:dyDescent="0.3">
      <c r="B139" s="2"/>
      <c r="E139" s="2"/>
    </row>
    <row r="140" spans="2:5" ht="15.75" customHeight="1" x14ac:dyDescent="0.3">
      <c r="B140" s="2"/>
      <c r="E140" s="2"/>
    </row>
    <row r="141" spans="2:5" ht="15.75" customHeight="1" x14ac:dyDescent="0.3">
      <c r="B141" s="2"/>
      <c r="E141" s="2"/>
    </row>
    <row r="142" spans="2:5" ht="15.75" customHeight="1" x14ac:dyDescent="0.3">
      <c r="B142" s="2"/>
      <c r="E142" s="2"/>
    </row>
    <row r="143" spans="2:5" ht="15.75" customHeight="1" x14ac:dyDescent="0.3">
      <c r="B143" s="2"/>
      <c r="E143" s="2"/>
    </row>
    <row r="144" spans="2:5" ht="15.75" customHeight="1" x14ac:dyDescent="0.3">
      <c r="B144" s="2"/>
      <c r="E144" s="2"/>
    </row>
    <row r="145" spans="2:5" ht="15.75" customHeight="1" x14ac:dyDescent="0.3">
      <c r="B145" s="2"/>
      <c r="E145" s="2"/>
    </row>
    <row r="146" spans="2:5" ht="15.75" customHeight="1" x14ac:dyDescent="0.3">
      <c r="B146" s="2"/>
      <c r="E146" s="2"/>
    </row>
    <row r="147" spans="2:5" ht="15.75" customHeight="1" x14ac:dyDescent="0.3">
      <c r="B147" s="2"/>
      <c r="E147" s="2"/>
    </row>
    <row r="148" spans="2:5" ht="15.75" customHeight="1" x14ac:dyDescent="0.3">
      <c r="B148" s="2"/>
      <c r="E148" s="2"/>
    </row>
    <row r="149" spans="2:5" ht="15.75" customHeight="1" x14ac:dyDescent="0.3">
      <c r="B149" s="2"/>
      <c r="E149" s="2"/>
    </row>
    <row r="150" spans="2:5" ht="15.75" customHeight="1" x14ac:dyDescent="0.3">
      <c r="B150" s="2"/>
      <c r="E150" s="2"/>
    </row>
    <row r="151" spans="2:5" ht="15.75" customHeight="1" x14ac:dyDescent="0.3">
      <c r="B151" s="2"/>
      <c r="E151" s="2"/>
    </row>
    <row r="152" spans="2:5" ht="15.75" customHeight="1" x14ac:dyDescent="0.3">
      <c r="B152" s="2"/>
      <c r="E152" s="2"/>
    </row>
    <row r="153" spans="2:5" ht="15.75" customHeight="1" x14ac:dyDescent="0.3">
      <c r="B153" s="2"/>
      <c r="E153" s="2"/>
    </row>
    <row r="154" spans="2:5" ht="15.75" customHeight="1" x14ac:dyDescent="0.3">
      <c r="B154" s="2"/>
      <c r="E154" s="2"/>
    </row>
    <row r="155" spans="2:5" ht="15.75" customHeight="1" x14ac:dyDescent="0.3">
      <c r="B155" s="2"/>
      <c r="E155" s="2"/>
    </row>
    <row r="156" spans="2:5" ht="15.75" customHeight="1" x14ac:dyDescent="0.3">
      <c r="B156" s="2"/>
      <c r="E156" s="2"/>
    </row>
    <row r="157" spans="2:5" ht="15.75" customHeight="1" x14ac:dyDescent="0.3">
      <c r="B157" s="2"/>
      <c r="E157" s="2"/>
    </row>
    <row r="158" spans="2:5" ht="15.75" customHeight="1" x14ac:dyDescent="0.3">
      <c r="B158" s="2"/>
      <c r="E158" s="2"/>
    </row>
    <row r="159" spans="2:5" ht="15.75" customHeight="1" x14ac:dyDescent="0.3">
      <c r="B159" s="2"/>
      <c r="E159" s="2"/>
    </row>
    <row r="160" spans="2:5" ht="15.75" customHeight="1" x14ac:dyDescent="0.3">
      <c r="B160" s="2"/>
      <c r="E160" s="2"/>
    </row>
    <row r="161" spans="2:5" ht="15.75" customHeight="1" x14ac:dyDescent="0.3">
      <c r="B161" s="2"/>
      <c r="E161" s="2"/>
    </row>
    <row r="162" spans="2:5" ht="15.75" customHeight="1" x14ac:dyDescent="0.3">
      <c r="B162" s="2"/>
      <c r="E162" s="2"/>
    </row>
    <row r="163" spans="2:5" ht="15.75" customHeight="1" x14ac:dyDescent="0.3">
      <c r="B163" s="2"/>
      <c r="E163" s="2"/>
    </row>
    <row r="164" spans="2:5" ht="15.75" customHeight="1" x14ac:dyDescent="0.3">
      <c r="B164" s="2"/>
      <c r="E164" s="2"/>
    </row>
    <row r="165" spans="2:5" ht="15.75" customHeight="1" x14ac:dyDescent="0.3">
      <c r="B165" s="2"/>
      <c r="E165" s="2"/>
    </row>
    <row r="166" spans="2:5" ht="15.75" customHeight="1" x14ac:dyDescent="0.3">
      <c r="B166" s="2"/>
      <c r="E166" s="2"/>
    </row>
    <row r="167" spans="2:5" ht="15.75" customHeight="1" x14ac:dyDescent="0.3">
      <c r="B167" s="2"/>
      <c r="E167" s="2"/>
    </row>
    <row r="168" spans="2:5" ht="15.75" customHeight="1" x14ac:dyDescent="0.3">
      <c r="B168" s="2"/>
      <c r="E168" s="2"/>
    </row>
    <row r="169" spans="2:5" ht="15.75" customHeight="1" x14ac:dyDescent="0.3">
      <c r="B169" s="2"/>
      <c r="E169" s="2"/>
    </row>
    <row r="170" spans="2:5" ht="15.75" customHeight="1" x14ac:dyDescent="0.3">
      <c r="B170" s="2"/>
      <c r="E170" s="2"/>
    </row>
    <row r="171" spans="2:5" ht="15.75" customHeight="1" x14ac:dyDescent="0.3">
      <c r="B171" s="2"/>
      <c r="E171" s="2"/>
    </row>
    <row r="172" spans="2:5" ht="15.75" customHeight="1" x14ac:dyDescent="0.3">
      <c r="B172" s="2"/>
      <c r="E172" s="2"/>
    </row>
    <row r="173" spans="2:5" ht="15.75" customHeight="1" x14ac:dyDescent="0.3">
      <c r="B173" s="2"/>
      <c r="E173" s="2"/>
    </row>
    <row r="174" spans="2:5" ht="15.75" customHeight="1" x14ac:dyDescent="0.3">
      <c r="B174" s="2"/>
      <c r="E174" s="2"/>
    </row>
    <row r="175" spans="2:5" ht="15.75" customHeight="1" x14ac:dyDescent="0.3">
      <c r="B175" s="2"/>
      <c r="E175" s="2"/>
    </row>
    <row r="176" spans="2:5" ht="15.75" customHeight="1" x14ac:dyDescent="0.3">
      <c r="B176" s="2"/>
      <c r="E176" s="2"/>
    </row>
    <row r="177" spans="2:5" ht="15.75" customHeight="1" x14ac:dyDescent="0.3">
      <c r="B177" s="2"/>
      <c r="E177" s="2"/>
    </row>
    <row r="178" spans="2:5" ht="15.75" customHeight="1" x14ac:dyDescent="0.3">
      <c r="B178" s="2"/>
      <c r="E178" s="2"/>
    </row>
    <row r="179" spans="2:5" ht="15.75" customHeight="1" x14ac:dyDescent="0.3">
      <c r="B179" s="2"/>
      <c r="E179" s="2"/>
    </row>
    <row r="180" spans="2:5" ht="15.75" customHeight="1" x14ac:dyDescent="0.3">
      <c r="B180" s="2"/>
      <c r="E180" s="2"/>
    </row>
    <row r="181" spans="2:5" ht="15.75" customHeight="1" x14ac:dyDescent="0.3">
      <c r="B181" s="2"/>
      <c r="E181" s="2"/>
    </row>
    <row r="182" spans="2:5" ht="15.75" customHeight="1" x14ac:dyDescent="0.3">
      <c r="B182" s="2"/>
      <c r="E182" s="2"/>
    </row>
    <row r="183" spans="2:5" ht="15.75" customHeight="1" x14ac:dyDescent="0.3">
      <c r="B183" s="2"/>
      <c r="E183" s="2"/>
    </row>
    <row r="184" spans="2:5" ht="15.75" customHeight="1" x14ac:dyDescent="0.3">
      <c r="B184" s="2"/>
      <c r="E184" s="2"/>
    </row>
    <row r="185" spans="2:5" ht="15.75" customHeight="1" x14ac:dyDescent="0.3">
      <c r="B185" s="2"/>
      <c r="E185" s="2"/>
    </row>
    <row r="186" spans="2:5" ht="15.75" customHeight="1" x14ac:dyDescent="0.3">
      <c r="B186" s="2"/>
      <c r="E186" s="2"/>
    </row>
    <row r="187" spans="2:5" ht="15.75" customHeight="1" x14ac:dyDescent="0.3">
      <c r="B187" s="2"/>
      <c r="E187" s="2"/>
    </row>
    <row r="188" spans="2:5" ht="15.75" customHeight="1" x14ac:dyDescent="0.3">
      <c r="B188" s="2"/>
      <c r="E188" s="2"/>
    </row>
    <row r="189" spans="2:5" ht="15.75" customHeight="1" x14ac:dyDescent="0.3">
      <c r="B189" s="2"/>
      <c r="E189" s="2"/>
    </row>
    <row r="190" spans="2:5" ht="15.75" customHeight="1" x14ac:dyDescent="0.3">
      <c r="B190" s="2"/>
      <c r="E190" s="2"/>
    </row>
    <row r="191" spans="2:5" ht="15.75" customHeight="1" x14ac:dyDescent="0.3">
      <c r="B191" s="2"/>
      <c r="E191" s="2"/>
    </row>
    <row r="192" spans="2:5" ht="15.75" customHeight="1" x14ac:dyDescent="0.3">
      <c r="B192" s="2"/>
      <c r="E192" s="2"/>
    </row>
    <row r="193" spans="2:5" ht="15.75" customHeight="1" x14ac:dyDescent="0.3">
      <c r="B193" s="2"/>
      <c r="E193" s="2"/>
    </row>
    <row r="194" spans="2:5" ht="15.75" customHeight="1" x14ac:dyDescent="0.3">
      <c r="B194" s="2"/>
      <c r="E194" s="2"/>
    </row>
    <row r="195" spans="2:5" ht="15.75" customHeight="1" x14ac:dyDescent="0.3">
      <c r="B195" s="2"/>
      <c r="E195" s="2"/>
    </row>
    <row r="196" spans="2:5" ht="15.75" customHeight="1" x14ac:dyDescent="0.3">
      <c r="B196" s="2"/>
      <c r="E196" s="2"/>
    </row>
    <row r="197" spans="2:5" ht="15.75" customHeight="1" x14ac:dyDescent="0.3">
      <c r="B197" s="2"/>
      <c r="E197" s="2"/>
    </row>
    <row r="198" spans="2:5" ht="15.75" customHeight="1" x14ac:dyDescent="0.3">
      <c r="B198" s="2"/>
      <c r="E198" s="2"/>
    </row>
    <row r="199" spans="2:5" ht="15.75" customHeight="1" x14ac:dyDescent="0.3">
      <c r="B199" s="2"/>
      <c r="E199" s="2"/>
    </row>
    <row r="200" spans="2:5" ht="15.75" customHeight="1" x14ac:dyDescent="0.3">
      <c r="B200" s="2"/>
      <c r="E200" s="2"/>
    </row>
    <row r="201" spans="2:5" ht="15.75" customHeight="1" x14ac:dyDescent="0.3">
      <c r="B201" s="2"/>
      <c r="E201" s="2"/>
    </row>
    <row r="202" spans="2:5" ht="15.75" customHeight="1" x14ac:dyDescent="0.3">
      <c r="B202" s="2"/>
      <c r="E202" s="2"/>
    </row>
    <row r="203" spans="2:5" ht="15.75" customHeight="1" x14ac:dyDescent="0.3">
      <c r="B203" s="2"/>
      <c r="E203" s="2"/>
    </row>
    <row r="204" spans="2:5" ht="15.75" customHeight="1" x14ac:dyDescent="0.3">
      <c r="B204" s="2"/>
      <c r="E204" s="2"/>
    </row>
    <row r="205" spans="2:5" ht="15.75" customHeight="1" x14ac:dyDescent="0.3">
      <c r="B205" s="2"/>
      <c r="E205" s="2"/>
    </row>
    <row r="206" spans="2:5" ht="15.75" customHeight="1" x14ac:dyDescent="0.3">
      <c r="B206" s="2"/>
      <c r="E206" s="2"/>
    </row>
    <row r="207" spans="2:5" ht="15.75" customHeight="1" x14ac:dyDescent="0.3">
      <c r="B207" s="2"/>
      <c r="E207" s="2"/>
    </row>
    <row r="208" spans="2:5" ht="15.75" customHeight="1" x14ac:dyDescent="0.3">
      <c r="B208" s="2"/>
      <c r="E208" s="2"/>
    </row>
    <row r="209" spans="2:5" ht="15.75" customHeight="1" x14ac:dyDescent="0.3">
      <c r="B209" s="2"/>
      <c r="E209" s="2"/>
    </row>
    <row r="210" spans="2:5" ht="15.75" customHeight="1" x14ac:dyDescent="0.3">
      <c r="B210" s="2"/>
      <c r="E210" s="2"/>
    </row>
    <row r="211" spans="2:5" ht="15.75" customHeight="1" x14ac:dyDescent="0.3">
      <c r="B211" s="2"/>
      <c r="E211" s="2"/>
    </row>
    <row r="212" spans="2:5" ht="15.75" customHeight="1" x14ac:dyDescent="0.3">
      <c r="B212" s="2"/>
      <c r="E212" s="2"/>
    </row>
    <row r="213" spans="2:5" ht="15.75" customHeight="1" x14ac:dyDescent="0.3">
      <c r="B213" s="2"/>
      <c r="E213" s="2"/>
    </row>
    <row r="214" spans="2:5" ht="15.75" customHeight="1" x14ac:dyDescent="0.3">
      <c r="B214" s="2"/>
      <c r="E214" s="2"/>
    </row>
    <row r="215" spans="2:5" ht="15.75" customHeight="1" x14ac:dyDescent="0.3">
      <c r="B215" s="2"/>
      <c r="E215" s="2"/>
    </row>
    <row r="216" spans="2:5" ht="15.75" customHeight="1" x14ac:dyDescent="0.3">
      <c r="B216" s="2"/>
      <c r="E216" s="2"/>
    </row>
    <row r="217" spans="2:5" ht="15.75" customHeight="1" x14ac:dyDescent="0.3">
      <c r="B217" s="2"/>
      <c r="E217" s="2"/>
    </row>
    <row r="218" spans="2:5" ht="15.75" customHeight="1" x14ac:dyDescent="0.3">
      <c r="B218" s="2"/>
      <c r="E218" s="2"/>
    </row>
    <row r="219" spans="2:5" ht="15.75" customHeight="1" x14ac:dyDescent="0.3">
      <c r="B219" s="2"/>
      <c r="E219" s="2"/>
    </row>
    <row r="220" spans="2:5" ht="15.75" customHeight="1" x14ac:dyDescent="0.3">
      <c r="B220" s="2"/>
      <c r="E220" s="2"/>
    </row>
    <row r="221" spans="2:5" ht="15.75" customHeight="1" x14ac:dyDescent="0.3">
      <c r="B221" s="2"/>
      <c r="E221" s="2"/>
    </row>
    <row r="222" spans="2:5" ht="15.75" customHeight="1" x14ac:dyDescent="0.3">
      <c r="B222" s="2"/>
      <c r="E222" s="2"/>
    </row>
    <row r="223" spans="2:5" ht="15.75" customHeight="1" x14ac:dyDescent="0.3">
      <c r="B223" s="2"/>
      <c r="E223" s="2"/>
    </row>
    <row r="224" spans="2:5" ht="15.75" customHeight="1" x14ac:dyDescent="0.3">
      <c r="B224" s="2"/>
      <c r="E224" s="2"/>
    </row>
    <row r="225" spans="2:5" ht="15.75" customHeight="1" x14ac:dyDescent="0.3">
      <c r="B225" s="2"/>
      <c r="E225" s="2"/>
    </row>
    <row r="226" spans="2:5" ht="15.75" customHeight="1" x14ac:dyDescent="0.3">
      <c r="B226" s="2"/>
      <c r="E226" s="2"/>
    </row>
    <row r="227" spans="2:5" ht="15.75" customHeight="1" x14ac:dyDescent="0.3">
      <c r="B227" s="2"/>
      <c r="E227" s="2"/>
    </row>
    <row r="228" spans="2:5" ht="15.75" customHeight="1" x14ac:dyDescent="0.3">
      <c r="B228" s="2"/>
      <c r="E228" s="2"/>
    </row>
    <row r="229" spans="2:5" ht="15.75" customHeight="1" x14ac:dyDescent="0.3">
      <c r="B229" s="2"/>
      <c r="E229" s="2"/>
    </row>
    <row r="230" spans="2:5" ht="15.75" customHeight="1" x14ac:dyDescent="0.3">
      <c r="B230" s="2"/>
      <c r="E230" s="2"/>
    </row>
    <row r="231" spans="2:5" ht="15.75" customHeight="1" x14ac:dyDescent="0.3">
      <c r="B231" s="2"/>
      <c r="E231" s="2"/>
    </row>
    <row r="232" spans="2:5" ht="15.75" customHeight="1" x14ac:dyDescent="0.3">
      <c r="B232" s="2"/>
      <c r="E232" s="2"/>
    </row>
    <row r="233" spans="2:5" ht="15.75" customHeight="1" x14ac:dyDescent="0.3">
      <c r="B233" s="2"/>
      <c r="E233" s="2"/>
    </row>
    <row r="234" spans="2:5" ht="15.75" customHeight="1" x14ac:dyDescent="0.3">
      <c r="B234" s="2"/>
      <c r="E234" s="2"/>
    </row>
    <row r="235" spans="2:5" ht="15.75" customHeight="1" x14ac:dyDescent="0.3">
      <c r="B235" s="2"/>
      <c r="E235" s="2"/>
    </row>
    <row r="236" spans="2:5" ht="15.75" customHeight="1" x14ac:dyDescent="0.3">
      <c r="B236" s="2"/>
      <c r="E236" s="2"/>
    </row>
    <row r="237" spans="2:5" ht="15.75" customHeight="1" x14ac:dyDescent="0.3">
      <c r="B237" s="2"/>
      <c r="E237" s="2"/>
    </row>
    <row r="238" spans="2:5" ht="15.75" customHeight="1" x14ac:dyDescent="0.3">
      <c r="B238" s="2"/>
      <c r="E238" s="2"/>
    </row>
    <row r="239" spans="2:5" ht="15.75" customHeight="1" x14ac:dyDescent="0.3">
      <c r="B239" s="2"/>
      <c r="E239" s="2"/>
    </row>
    <row r="240" spans="2:5" ht="15.75" customHeight="1" x14ac:dyDescent="0.3">
      <c r="B240" s="2"/>
      <c r="E240" s="2"/>
    </row>
    <row r="241" spans="2:5" ht="15.75" customHeight="1" x14ac:dyDescent="0.3">
      <c r="B241" s="2"/>
      <c r="E241" s="2"/>
    </row>
    <row r="242" spans="2:5" ht="15.75" customHeight="1" x14ac:dyDescent="0.3">
      <c r="B242" s="2"/>
      <c r="E242" s="2"/>
    </row>
    <row r="243" spans="2:5" ht="15.75" customHeight="1" x14ac:dyDescent="0.3">
      <c r="B243" s="2"/>
      <c r="E243" s="2"/>
    </row>
    <row r="244" spans="2:5" ht="15.75" customHeight="1" x14ac:dyDescent="0.3">
      <c r="B244" s="2"/>
      <c r="E244" s="2"/>
    </row>
    <row r="245" spans="2:5" ht="15.75" customHeight="1" x14ac:dyDescent="0.3">
      <c r="B245" s="2"/>
      <c r="E245" s="2"/>
    </row>
    <row r="246" spans="2:5" ht="15.75" customHeight="1" x14ac:dyDescent="0.3">
      <c r="B246" s="2"/>
      <c r="E246" s="2"/>
    </row>
    <row r="247" spans="2:5" ht="15.75" customHeight="1" x14ac:dyDescent="0.3">
      <c r="B247" s="2"/>
      <c r="E247" s="2"/>
    </row>
    <row r="248" spans="2:5" ht="15.75" customHeight="1" x14ac:dyDescent="0.3">
      <c r="B248" s="2"/>
      <c r="E248" s="2"/>
    </row>
    <row r="249" spans="2:5" ht="15.75" customHeight="1" x14ac:dyDescent="0.3">
      <c r="B249" s="2"/>
      <c r="E249" s="2"/>
    </row>
    <row r="250" spans="2:5" ht="15.75" customHeight="1" x14ac:dyDescent="0.3">
      <c r="B250" s="2"/>
      <c r="E250" s="2"/>
    </row>
    <row r="251" spans="2:5" ht="15.75" customHeight="1" x14ac:dyDescent="0.3">
      <c r="B251" s="2"/>
      <c r="E251" s="2"/>
    </row>
    <row r="252" spans="2:5" ht="15.75" customHeight="1" x14ac:dyDescent="0.3">
      <c r="B252" s="2"/>
      <c r="E252" s="2"/>
    </row>
    <row r="253" spans="2:5" ht="15.75" customHeight="1" x14ac:dyDescent="0.3">
      <c r="B253" s="2"/>
      <c r="E253" s="2"/>
    </row>
    <row r="254" spans="2:5" ht="15.75" customHeight="1" x14ac:dyDescent="0.3">
      <c r="B254" s="2"/>
      <c r="E254" s="2"/>
    </row>
    <row r="255" spans="2:5" ht="15.75" customHeight="1" x14ac:dyDescent="0.3">
      <c r="B255" s="2"/>
      <c r="E255" s="2"/>
    </row>
    <row r="256" spans="2:5" ht="15.75" customHeight="1" x14ac:dyDescent="0.3">
      <c r="B256" s="2"/>
      <c r="E256" s="2"/>
    </row>
    <row r="257" spans="2:5" ht="15.75" customHeight="1" x14ac:dyDescent="0.3">
      <c r="B257" s="2"/>
      <c r="E257" s="2"/>
    </row>
    <row r="258" spans="2:5" ht="15.75" customHeight="1" x14ac:dyDescent="0.3">
      <c r="B258" s="2"/>
      <c r="E258" s="2"/>
    </row>
    <row r="259" spans="2:5" ht="15.75" customHeight="1" x14ac:dyDescent="0.3">
      <c r="B259" s="2"/>
      <c r="E259" s="2"/>
    </row>
    <row r="260" spans="2:5" ht="15.75" customHeight="1" x14ac:dyDescent="0.3">
      <c r="B260" s="2"/>
      <c r="E260" s="2"/>
    </row>
    <row r="261" spans="2:5" ht="15.75" customHeight="1" x14ac:dyDescent="0.3">
      <c r="B261" s="2"/>
      <c r="E261" s="2"/>
    </row>
    <row r="262" spans="2:5" ht="15.75" customHeight="1" x14ac:dyDescent="0.3">
      <c r="B262" s="2"/>
      <c r="E262" s="2"/>
    </row>
    <row r="263" spans="2:5" ht="15.75" customHeight="1" x14ac:dyDescent="0.3"/>
    <row r="264" spans="2:5" ht="15.75" customHeight="1" x14ac:dyDescent="0.3"/>
    <row r="265" spans="2:5" ht="15.75" customHeight="1" x14ac:dyDescent="0.3"/>
    <row r="266" spans="2:5" ht="15.75" customHeight="1" x14ac:dyDescent="0.3"/>
    <row r="267" spans="2:5" ht="15.75" customHeight="1" x14ac:dyDescent="0.3"/>
    <row r="268" spans="2:5" ht="15.75" customHeight="1" x14ac:dyDescent="0.3"/>
    <row r="269" spans="2:5" ht="15.75" customHeight="1" x14ac:dyDescent="0.3"/>
    <row r="270" spans="2:5" ht="15.75" customHeight="1" x14ac:dyDescent="0.3"/>
    <row r="271" spans="2:5" ht="15.75" customHeight="1" x14ac:dyDescent="0.3"/>
    <row r="272" spans="2:5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C44:D44"/>
    <mergeCell ref="G44:AB44"/>
    <mergeCell ref="C1:D1"/>
    <mergeCell ref="G1:AB1"/>
    <mergeCell ref="A2:A5"/>
    <mergeCell ref="C6:D6"/>
    <mergeCell ref="G6:AB6"/>
    <mergeCell ref="C25:D25"/>
    <mergeCell ref="G25:AB25"/>
  </mergeCells>
  <conditionalFormatting sqref="D8:D24">
    <cfRule type="cellIs" dxfId="851" priority="22" operator="greaterThanOrEqual">
      <formula>$D$4</formula>
    </cfRule>
    <cfRule type="cellIs" dxfId="850" priority="24" operator="between">
      <formula>$D$3</formula>
      <formula>$D$4</formula>
    </cfRule>
    <cfRule type="cellIs" dxfId="849" priority="23" operator="lessThanOrEqual">
      <formula>$D$2</formula>
    </cfRule>
  </conditionalFormatting>
  <conditionalFormatting sqref="D27:D43 G27:AB43">
    <cfRule type="cellIs" dxfId="848" priority="21" operator="greaterThanOrEqual">
      <formula>365</formula>
    </cfRule>
  </conditionalFormatting>
  <conditionalFormatting sqref="D46:D62 G46:AB62">
    <cfRule type="cellIs" dxfId="847" priority="20" operator="lessThanOrEqual">
      <formula>1</formula>
    </cfRule>
  </conditionalFormatting>
  <conditionalFormatting sqref="G8:G24">
    <cfRule type="cellIs" dxfId="846" priority="1" operator="greaterThanOrEqual">
      <formula>$G$4</formula>
    </cfRule>
    <cfRule type="cellIs" dxfId="845" priority="19" operator="lessThanOrEqual">
      <formula>$G$2</formula>
    </cfRule>
    <cfRule type="cellIs" dxfId="844" priority="10" operator="between">
      <formula>$G$3</formula>
      <formula>$G$4</formula>
    </cfRule>
  </conditionalFormatting>
  <conditionalFormatting sqref="H8:H24">
    <cfRule type="cellIs" dxfId="843" priority="2" operator="greaterThanOrEqual">
      <formula>$H$4</formula>
    </cfRule>
    <cfRule type="cellIs" dxfId="842" priority="11" operator="between">
      <formula>$H$3</formula>
      <formula>$H$4</formula>
    </cfRule>
    <cfRule type="cellIs" dxfId="841" priority="26" operator="lessThanOrEqual">
      <formula>$H$2</formula>
    </cfRule>
  </conditionalFormatting>
  <conditionalFormatting sqref="I8:I24">
    <cfRule type="cellIs" dxfId="840" priority="3" operator="greaterThanOrEqual">
      <formula>$I$4</formula>
    </cfRule>
    <cfRule type="cellIs" dxfId="839" priority="12" operator="between">
      <formula>I$3</formula>
      <formula>I$4</formula>
    </cfRule>
    <cfRule type="cellIs" dxfId="838" priority="27" operator="lessThanOrEqual">
      <formula>$I$2</formula>
    </cfRule>
  </conditionalFormatting>
  <conditionalFormatting sqref="J8:J24">
    <cfRule type="cellIs" dxfId="837" priority="4" operator="greaterThanOrEqual">
      <formula>$J$4</formula>
    </cfRule>
    <cfRule type="cellIs" dxfId="836" priority="13" operator="between">
      <formula>$J$3</formula>
      <formula>$J$4</formula>
    </cfRule>
    <cfRule type="cellIs" dxfId="835" priority="28" operator="lessThanOrEqual">
      <formula>$J$2</formula>
    </cfRule>
  </conditionalFormatting>
  <conditionalFormatting sqref="K8:K24">
    <cfRule type="cellIs" dxfId="834" priority="5" operator="greaterThanOrEqual">
      <formula>$K$4</formula>
    </cfRule>
    <cfRule type="cellIs" dxfId="833" priority="14" operator="between">
      <formula>$K$3</formula>
      <formula>$K$4</formula>
    </cfRule>
    <cfRule type="cellIs" dxfId="832" priority="29" operator="lessThanOrEqual">
      <formula>$K$2</formula>
    </cfRule>
  </conditionalFormatting>
  <conditionalFormatting sqref="L8:L24">
    <cfRule type="cellIs" dxfId="831" priority="6" operator="greaterThanOrEqual">
      <formula>$L$4</formula>
    </cfRule>
    <cfRule type="cellIs" dxfId="830" priority="15" operator="between">
      <formula>$L$3</formula>
      <formula>$L$4</formula>
    </cfRule>
    <cfRule type="cellIs" dxfId="829" priority="30" operator="lessThanOrEqual">
      <formula>$L$2</formula>
    </cfRule>
  </conditionalFormatting>
  <conditionalFormatting sqref="M8:M24">
    <cfRule type="cellIs" dxfId="828" priority="7" operator="greaterThanOrEqual">
      <formula>$M$4</formula>
    </cfRule>
    <cfRule type="cellIs" dxfId="827" priority="16" operator="between">
      <formula>$M$3</formula>
      <formula>$M$4</formula>
    </cfRule>
    <cfRule type="cellIs" dxfId="826" priority="31" operator="lessThanOrEqual">
      <formula>$M$2</formula>
    </cfRule>
  </conditionalFormatting>
  <conditionalFormatting sqref="N8:N24">
    <cfRule type="cellIs" dxfId="825" priority="8" operator="greaterThanOrEqual">
      <formula>$N$4</formula>
    </cfRule>
    <cfRule type="cellIs" dxfId="824" priority="17" operator="between">
      <formula>$N$3</formula>
      <formula>$N$4</formula>
    </cfRule>
    <cfRule type="cellIs" dxfId="823" priority="32" operator="lessThanOrEqual">
      <formula>$N$2</formula>
    </cfRule>
  </conditionalFormatting>
  <conditionalFormatting sqref="O8:O24">
    <cfRule type="cellIs" dxfId="822" priority="18" operator="between">
      <formula>$O$3</formula>
      <formula>$O$4</formula>
    </cfRule>
    <cfRule type="cellIs" dxfId="821" priority="9" operator="greaterThanOrEqual">
      <formula>$O$4</formula>
    </cfRule>
    <cfRule type="cellIs" dxfId="820" priority="33" operator="lessThanOrEqual">
      <formula>$O$2</formula>
    </cfRule>
  </conditionalFormatting>
  <conditionalFormatting sqref="P7:P24">
    <cfRule type="cellIs" dxfId="819" priority="46" operator="between">
      <formula>$P$3</formula>
      <formula>$P$4</formula>
    </cfRule>
  </conditionalFormatting>
  <conditionalFormatting sqref="P8:P24">
    <cfRule type="cellIs" dxfId="818" priority="25" operator="lessThanOrEqual">
      <formula>$P$2</formula>
    </cfRule>
    <cfRule type="cellIs" dxfId="817" priority="59" operator="greaterThanOrEqual">
      <formula>$P$4</formula>
    </cfRule>
  </conditionalFormatting>
  <conditionalFormatting sqref="Q8:Q24">
    <cfRule type="cellIs" dxfId="816" priority="34" operator="lessThanOrEqual">
      <formula>$Q$2</formula>
    </cfRule>
    <cfRule type="cellIs" dxfId="815" priority="47" operator="between">
      <formula>$Q$3</formula>
      <formula>$Q$4</formula>
    </cfRule>
    <cfRule type="cellIs" dxfId="814" priority="60" operator="greaterThanOrEqual">
      <formula>$Q$4</formula>
    </cfRule>
  </conditionalFormatting>
  <conditionalFormatting sqref="R8:R24">
    <cfRule type="cellIs" dxfId="813" priority="48" operator="between">
      <formula>$R$3</formula>
      <formula>$R$4</formula>
    </cfRule>
    <cfRule type="cellIs" dxfId="812" priority="35" operator="lessThanOrEqual">
      <formula>$R$2</formula>
    </cfRule>
    <cfRule type="cellIs" dxfId="811" priority="61" operator="greaterThanOrEqual">
      <formula>$R$4</formula>
    </cfRule>
  </conditionalFormatting>
  <conditionalFormatting sqref="S8:S24">
    <cfRule type="cellIs" dxfId="810" priority="49" operator="between">
      <formula>$S$3</formula>
      <formula>$S$4</formula>
    </cfRule>
    <cfRule type="cellIs" dxfId="809" priority="36" operator="lessThanOrEqual">
      <formula>$S$2</formula>
    </cfRule>
    <cfRule type="cellIs" dxfId="808" priority="62" operator="greaterThanOrEqual">
      <formula>$S$4</formula>
    </cfRule>
  </conditionalFormatting>
  <conditionalFormatting sqref="T8:T24">
    <cfRule type="cellIs" dxfId="807" priority="37" operator="lessThanOrEqual">
      <formula>$T$2</formula>
    </cfRule>
    <cfRule type="cellIs" dxfId="806" priority="50" operator="between">
      <formula>$T$3</formula>
      <formula>$T$4</formula>
    </cfRule>
    <cfRule type="cellIs" dxfId="805" priority="63" operator="greaterThanOrEqual">
      <formula>$T$4</formula>
    </cfRule>
  </conditionalFormatting>
  <conditionalFormatting sqref="U8:U24">
    <cfRule type="cellIs" dxfId="804" priority="38" operator="lessThanOrEqual">
      <formula>$U$2</formula>
    </cfRule>
    <cfRule type="cellIs" dxfId="803" priority="51" operator="between">
      <formula>$U$3</formula>
      <formula>$U$4</formula>
    </cfRule>
    <cfRule type="cellIs" dxfId="802" priority="64" operator="greaterThanOrEqual">
      <formula>$U$4</formula>
    </cfRule>
  </conditionalFormatting>
  <conditionalFormatting sqref="V8:V24">
    <cfRule type="cellIs" dxfId="801" priority="39" operator="lessThanOrEqual">
      <formula>$V$2</formula>
    </cfRule>
    <cfRule type="cellIs" dxfId="800" priority="52" operator="between">
      <formula>$V$3</formula>
      <formula>$V$4</formula>
    </cfRule>
    <cfRule type="cellIs" dxfId="799" priority="65" operator="greaterThanOrEqual">
      <formula>$V$4</formula>
    </cfRule>
  </conditionalFormatting>
  <conditionalFormatting sqref="W8:W24">
    <cfRule type="cellIs" dxfId="798" priority="40" operator="lessThanOrEqual">
      <formula>$W$2</formula>
    </cfRule>
    <cfRule type="cellIs" dxfId="797" priority="53" operator="between">
      <formula>$W$3</formula>
      <formula>$W$4</formula>
    </cfRule>
    <cfRule type="cellIs" dxfId="796" priority="66" operator="greaterThanOrEqual">
      <formula>$W$4</formula>
    </cfRule>
  </conditionalFormatting>
  <conditionalFormatting sqref="X8:X24">
    <cfRule type="cellIs" dxfId="795" priority="54" operator="between">
      <formula>$X$3</formula>
      <formula>$X$4</formula>
    </cfRule>
    <cfRule type="cellIs" dxfId="794" priority="41" operator="lessThanOrEqual">
      <formula>$X$2</formula>
    </cfRule>
    <cfRule type="cellIs" dxfId="793" priority="67" operator="greaterThanOrEqual">
      <formula>$X$4</formula>
    </cfRule>
  </conditionalFormatting>
  <conditionalFormatting sqref="Y8:Y24">
    <cfRule type="cellIs" dxfId="792" priority="42" operator="lessThanOrEqual">
      <formula>$Y$2</formula>
    </cfRule>
    <cfRule type="cellIs" dxfId="791" priority="55" operator="between">
      <formula>$Y$3</formula>
      <formula>$Y$4</formula>
    </cfRule>
    <cfRule type="cellIs" dxfId="790" priority="68" operator="greaterThanOrEqual">
      <formula>$Y$4</formula>
    </cfRule>
  </conditionalFormatting>
  <conditionalFormatting sqref="Z8:Z24">
    <cfRule type="cellIs" dxfId="789" priority="56" operator="between">
      <formula>$Z$3</formula>
      <formula>$Z$4</formula>
    </cfRule>
    <cfRule type="cellIs" dxfId="788" priority="43" operator="lessThanOrEqual">
      <formula>$Z$2</formula>
    </cfRule>
    <cfRule type="cellIs" dxfId="787" priority="69" operator="greaterThanOrEqual">
      <formula>$Z$4</formula>
    </cfRule>
  </conditionalFormatting>
  <conditionalFormatting sqref="AA8:AA24">
    <cfRule type="cellIs" dxfId="786" priority="57" operator="between">
      <formula>$AA$3</formula>
      <formula>$AA$4</formula>
    </cfRule>
    <cfRule type="cellIs" dxfId="785" priority="44" operator="lessThanOrEqual">
      <formula>$AA$2</formula>
    </cfRule>
    <cfRule type="cellIs" dxfId="784" priority="70" operator="greaterThanOrEqual">
      <formula>$AA$4</formula>
    </cfRule>
  </conditionalFormatting>
  <conditionalFormatting sqref="AB8:AB24">
    <cfRule type="cellIs" dxfId="783" priority="45" operator="lessThanOrEqual">
      <formula>$AB$2</formula>
    </cfRule>
    <cfRule type="cellIs" dxfId="782" priority="58" operator="between">
      <formula>$AB$3</formula>
      <formula>$AB$4</formula>
    </cfRule>
    <cfRule type="cellIs" dxfId="781" priority="71" operator="greaterThanOrEqual">
      <formula>$AB$4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0"/>
  <sheetViews>
    <sheetView topLeftCell="A26" workbookViewId="0">
      <selection activeCell="A46" sqref="A46:A62"/>
    </sheetView>
  </sheetViews>
  <sheetFormatPr defaultColWidth="12.61328125" defaultRowHeight="15" customHeight="1" x14ac:dyDescent="0.3"/>
  <cols>
    <col min="1" max="1" width="10.4609375" customWidth="1"/>
    <col min="2" max="2" width="2.3828125" customWidth="1"/>
    <col min="3" max="3" width="10.4609375" customWidth="1"/>
    <col min="4" max="4" width="12.61328125" customWidth="1"/>
    <col min="5" max="5" width="2.3828125" customWidth="1"/>
    <col min="6" max="6" width="10.4609375" customWidth="1"/>
    <col min="9" max="10" width="14.61328125" customWidth="1"/>
  </cols>
  <sheetData>
    <row r="1" spans="1:28" ht="15.75" customHeight="1" x14ac:dyDescent="0.3">
      <c r="A1" s="1"/>
      <c r="B1" s="2"/>
      <c r="C1" s="32" t="s">
        <v>0</v>
      </c>
      <c r="D1" s="30"/>
      <c r="E1" s="2"/>
      <c r="F1" s="3"/>
      <c r="G1" s="32" t="s">
        <v>1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ht="15.75" customHeight="1" x14ac:dyDescent="0.3">
      <c r="A2" s="33" t="s">
        <v>2</v>
      </c>
      <c r="B2" s="2"/>
      <c r="C2" s="4" t="s">
        <v>3</v>
      </c>
      <c r="D2" s="5">
        <f>D3/12</f>
        <v>1.893939393939394E-2</v>
      </c>
      <c r="E2" s="2"/>
      <c r="F2" s="4" t="s">
        <v>3</v>
      </c>
      <c r="G2" s="5">
        <f t="shared" ref="G2:AB2" si="0">G3/12</f>
        <v>2.4621212121212119</v>
      </c>
      <c r="H2" s="5">
        <f t="shared" si="0"/>
        <v>2.083333333333333</v>
      </c>
      <c r="I2" s="5">
        <f t="shared" si="0"/>
        <v>1.893939393939394E-2</v>
      </c>
      <c r="J2" s="5">
        <f t="shared" si="0"/>
        <v>1.893939393939394E-2</v>
      </c>
      <c r="K2" s="5">
        <f t="shared" si="0"/>
        <v>1.893939393939394E-2</v>
      </c>
      <c r="L2" s="5">
        <f t="shared" si="0"/>
        <v>1.893939393939394E-2</v>
      </c>
      <c r="M2" s="5">
        <f t="shared" si="0"/>
        <v>1.893939393939394E-2</v>
      </c>
      <c r="N2" s="5">
        <f t="shared" si="0"/>
        <v>1.893939393939394E-2</v>
      </c>
      <c r="O2" s="5">
        <f t="shared" si="0"/>
        <v>1.893939393939394E-2</v>
      </c>
      <c r="P2" s="5">
        <f t="shared" si="0"/>
        <v>1.893939393939394E-2</v>
      </c>
      <c r="Q2" s="5">
        <f t="shared" si="0"/>
        <v>1.893939393939394E-2</v>
      </c>
      <c r="R2" s="5">
        <f t="shared" si="0"/>
        <v>1.893939393939394E-2</v>
      </c>
      <c r="S2" s="5">
        <f t="shared" si="0"/>
        <v>1.893939393939394E-2</v>
      </c>
      <c r="T2" s="5">
        <f t="shared" si="0"/>
        <v>1.893939393939394E-2</v>
      </c>
      <c r="U2" s="5">
        <f t="shared" si="0"/>
        <v>1.893939393939394E-2</v>
      </c>
      <c r="V2" s="5">
        <f t="shared" si="0"/>
        <v>1.893939393939394E-2</v>
      </c>
      <c r="W2" s="5">
        <f t="shared" si="0"/>
        <v>1.893939393939394E-2</v>
      </c>
      <c r="X2" s="5">
        <f t="shared" si="0"/>
        <v>1.893939393939394E-2</v>
      </c>
      <c r="Y2" s="5">
        <f t="shared" si="0"/>
        <v>1.893939393939394E-2</v>
      </c>
      <c r="Z2" s="5">
        <f t="shared" si="0"/>
        <v>1.893939393939394E-2</v>
      </c>
      <c r="AA2" s="5">
        <f t="shared" si="0"/>
        <v>1.893939393939394E-2</v>
      </c>
      <c r="AB2" s="5">
        <f t="shared" si="0"/>
        <v>1.893939393939394E-2</v>
      </c>
    </row>
    <row r="3" spans="1:28" ht="15.75" customHeight="1" x14ac:dyDescent="0.3">
      <c r="A3" s="30"/>
      <c r="B3" s="2"/>
      <c r="C3" s="4" t="s">
        <v>4</v>
      </c>
      <c r="D3" s="5">
        <f>D4/4.4</f>
        <v>0.22727272727272727</v>
      </c>
      <c r="E3" s="2"/>
      <c r="F3" s="4" t="s">
        <v>4</v>
      </c>
      <c r="G3" s="5">
        <f t="shared" ref="G3:AB3" si="1">G4/4.4</f>
        <v>29.545454545454543</v>
      </c>
      <c r="H3" s="5">
        <f t="shared" si="1"/>
        <v>24.999999999999996</v>
      </c>
      <c r="I3" s="5">
        <f t="shared" si="1"/>
        <v>0.22727272727272727</v>
      </c>
      <c r="J3" s="5">
        <f t="shared" si="1"/>
        <v>0.22727272727272727</v>
      </c>
      <c r="K3" s="5">
        <f t="shared" si="1"/>
        <v>0.22727272727272727</v>
      </c>
      <c r="L3" s="5">
        <f t="shared" si="1"/>
        <v>0.22727272727272727</v>
      </c>
      <c r="M3" s="5">
        <f t="shared" si="1"/>
        <v>0.22727272727272727</v>
      </c>
      <c r="N3" s="5">
        <f t="shared" si="1"/>
        <v>0.22727272727272727</v>
      </c>
      <c r="O3" s="5">
        <f t="shared" si="1"/>
        <v>0.22727272727272727</v>
      </c>
      <c r="P3" s="5">
        <f t="shared" si="1"/>
        <v>0.22727272727272727</v>
      </c>
      <c r="Q3" s="5">
        <f t="shared" si="1"/>
        <v>0.22727272727272727</v>
      </c>
      <c r="R3" s="5">
        <f t="shared" si="1"/>
        <v>0.22727272727272727</v>
      </c>
      <c r="S3" s="5">
        <f t="shared" si="1"/>
        <v>0.22727272727272727</v>
      </c>
      <c r="T3" s="5">
        <f t="shared" si="1"/>
        <v>0.22727272727272727</v>
      </c>
      <c r="U3" s="5">
        <f t="shared" si="1"/>
        <v>0.22727272727272727</v>
      </c>
      <c r="V3" s="5">
        <f t="shared" si="1"/>
        <v>0.22727272727272727</v>
      </c>
      <c r="W3" s="5">
        <f t="shared" si="1"/>
        <v>0.22727272727272727</v>
      </c>
      <c r="X3" s="5">
        <f t="shared" si="1"/>
        <v>0.22727272727272727</v>
      </c>
      <c r="Y3" s="5">
        <f t="shared" si="1"/>
        <v>0.22727272727272727</v>
      </c>
      <c r="Z3" s="5">
        <f t="shared" si="1"/>
        <v>0.22727272727272727</v>
      </c>
      <c r="AA3" s="5">
        <f t="shared" si="1"/>
        <v>0.22727272727272727</v>
      </c>
      <c r="AB3" s="5">
        <f t="shared" si="1"/>
        <v>0.22727272727272727</v>
      </c>
    </row>
    <row r="4" spans="1:28" ht="15.75" customHeight="1" x14ac:dyDescent="0.3">
      <c r="A4" s="30"/>
      <c r="B4" s="2"/>
      <c r="C4" s="4" t="s">
        <v>5</v>
      </c>
      <c r="D4" s="6">
        <v>1</v>
      </c>
      <c r="E4" s="2"/>
      <c r="F4" s="4" t="s">
        <v>5</v>
      </c>
      <c r="G4" s="25">
        <v>130</v>
      </c>
      <c r="H4" s="26">
        <v>110</v>
      </c>
      <c r="I4" s="26">
        <v>1</v>
      </c>
      <c r="J4" s="26">
        <v>1</v>
      </c>
      <c r="K4" s="25">
        <v>1</v>
      </c>
      <c r="L4" s="26">
        <v>1</v>
      </c>
      <c r="M4" s="26">
        <v>1</v>
      </c>
      <c r="N4" s="26">
        <v>1</v>
      </c>
      <c r="O4" s="25">
        <v>1</v>
      </c>
      <c r="P4" s="26">
        <v>1</v>
      </c>
      <c r="Q4" s="26">
        <v>1</v>
      </c>
      <c r="R4" s="25">
        <v>1</v>
      </c>
      <c r="S4" s="26">
        <v>1</v>
      </c>
      <c r="T4" s="26">
        <v>1</v>
      </c>
      <c r="U4" s="26">
        <v>1</v>
      </c>
      <c r="V4" s="25">
        <v>1</v>
      </c>
      <c r="W4" s="26">
        <v>1</v>
      </c>
      <c r="X4" s="25">
        <v>1</v>
      </c>
      <c r="Y4" s="25">
        <v>1</v>
      </c>
      <c r="Z4" s="26">
        <v>1</v>
      </c>
      <c r="AA4" s="26">
        <v>1</v>
      </c>
      <c r="AB4" s="26">
        <v>1</v>
      </c>
    </row>
    <row r="5" spans="1:28" ht="25.5" customHeight="1" x14ac:dyDescent="0.3">
      <c r="A5" s="30"/>
      <c r="B5" s="2"/>
      <c r="C5" s="7" t="s">
        <v>6</v>
      </c>
      <c r="D5" s="8">
        <v>1</v>
      </c>
      <c r="E5" s="2"/>
      <c r="F5" s="7" t="s">
        <v>6</v>
      </c>
      <c r="G5" s="27">
        <v>10</v>
      </c>
      <c r="H5" s="28">
        <v>12</v>
      </c>
      <c r="I5" s="28">
        <v>1</v>
      </c>
      <c r="J5" s="28">
        <v>1</v>
      </c>
      <c r="K5" s="27">
        <v>1</v>
      </c>
      <c r="L5" s="28">
        <v>1</v>
      </c>
      <c r="M5" s="28">
        <v>1</v>
      </c>
      <c r="N5" s="28">
        <v>1</v>
      </c>
      <c r="O5" s="27">
        <v>1</v>
      </c>
      <c r="P5" s="28">
        <v>1</v>
      </c>
      <c r="Q5" s="28">
        <v>1</v>
      </c>
      <c r="R5" s="27">
        <v>1</v>
      </c>
      <c r="S5" s="28">
        <v>1</v>
      </c>
      <c r="T5" s="28">
        <v>1</v>
      </c>
      <c r="U5" s="28">
        <v>1</v>
      </c>
      <c r="V5" s="27">
        <v>1</v>
      </c>
      <c r="W5" s="28">
        <v>1</v>
      </c>
      <c r="X5" s="27">
        <v>1</v>
      </c>
      <c r="Y5" s="27">
        <v>1</v>
      </c>
      <c r="Z5" s="28">
        <v>1</v>
      </c>
      <c r="AA5" s="28">
        <v>1</v>
      </c>
      <c r="AB5" s="28">
        <v>1</v>
      </c>
    </row>
    <row r="6" spans="1:28" ht="15.75" customHeight="1" x14ac:dyDescent="0.3">
      <c r="A6" s="3"/>
      <c r="B6" s="2"/>
      <c r="C6" s="29"/>
      <c r="D6" s="30"/>
      <c r="E6" s="2"/>
      <c r="F6" s="3"/>
      <c r="G6" s="31" t="s">
        <v>7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spans="1:28" ht="15.75" customHeight="1" x14ac:dyDescent="0.3">
      <c r="A7" s="9" t="s">
        <v>8</v>
      </c>
      <c r="B7" s="2"/>
      <c r="C7" s="10" t="s">
        <v>9</v>
      </c>
      <c r="D7" s="10" t="s">
        <v>10</v>
      </c>
      <c r="E7" s="2"/>
      <c r="F7" s="10" t="s">
        <v>9</v>
      </c>
      <c r="G7" s="10" t="s">
        <v>39</v>
      </c>
      <c r="H7" s="10" t="s">
        <v>40</v>
      </c>
      <c r="I7" s="10"/>
      <c r="J7" s="10"/>
      <c r="K7" s="10"/>
      <c r="L7" s="10"/>
      <c r="M7" s="10"/>
      <c r="N7" s="10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5.75" customHeight="1" x14ac:dyDescent="0.3">
      <c r="A8" s="12">
        <f>RAW!$A$6</f>
        <v>400</v>
      </c>
      <c r="B8" s="2"/>
      <c r="C8" s="13" t="s">
        <v>19</v>
      </c>
      <c r="D8" s="14">
        <f t="shared" ref="D8:D24" si="2">($A8/D$5)/365</f>
        <v>1.095890410958904</v>
      </c>
      <c r="E8" s="2"/>
      <c r="F8" s="13" t="s">
        <v>19</v>
      </c>
      <c r="G8" s="14">
        <f t="shared" ref="G8:AB8" si="3">($A8/G$5)/365</f>
        <v>0.1095890410958904</v>
      </c>
      <c r="H8" s="14">
        <f t="shared" si="3"/>
        <v>9.1324200913242018E-2</v>
      </c>
      <c r="I8" s="14">
        <f t="shared" si="3"/>
        <v>1.095890410958904</v>
      </c>
      <c r="J8" s="14">
        <f t="shared" si="3"/>
        <v>1.095890410958904</v>
      </c>
      <c r="K8" s="14">
        <f t="shared" si="3"/>
        <v>1.095890410958904</v>
      </c>
      <c r="L8" s="14">
        <f t="shared" si="3"/>
        <v>1.095890410958904</v>
      </c>
      <c r="M8" s="14">
        <f t="shared" si="3"/>
        <v>1.095890410958904</v>
      </c>
      <c r="N8" s="14">
        <f t="shared" si="3"/>
        <v>1.095890410958904</v>
      </c>
      <c r="O8" s="15">
        <f t="shared" si="3"/>
        <v>1.095890410958904</v>
      </c>
      <c r="P8" s="16">
        <f t="shared" si="3"/>
        <v>1.095890410958904</v>
      </c>
      <c r="Q8" s="16">
        <f t="shared" si="3"/>
        <v>1.095890410958904</v>
      </c>
      <c r="R8" s="16">
        <f t="shared" si="3"/>
        <v>1.095890410958904</v>
      </c>
      <c r="S8" s="16">
        <f t="shared" si="3"/>
        <v>1.095890410958904</v>
      </c>
      <c r="T8" s="16">
        <f t="shared" si="3"/>
        <v>1.095890410958904</v>
      </c>
      <c r="U8" s="16">
        <f t="shared" si="3"/>
        <v>1.095890410958904</v>
      </c>
      <c r="V8" s="16">
        <f t="shared" si="3"/>
        <v>1.095890410958904</v>
      </c>
      <c r="W8" s="16">
        <f t="shared" si="3"/>
        <v>1.095890410958904</v>
      </c>
      <c r="X8" s="16">
        <f t="shared" si="3"/>
        <v>1.095890410958904</v>
      </c>
      <c r="Y8" s="16">
        <f t="shared" si="3"/>
        <v>1.095890410958904</v>
      </c>
      <c r="Z8" s="16">
        <f t="shared" si="3"/>
        <v>1.095890410958904</v>
      </c>
      <c r="AA8" s="16">
        <f t="shared" si="3"/>
        <v>1.095890410958904</v>
      </c>
      <c r="AB8" s="16">
        <f t="shared" si="3"/>
        <v>1.095890410958904</v>
      </c>
    </row>
    <row r="9" spans="1:28" ht="15.75" customHeight="1" x14ac:dyDescent="0.3">
      <c r="A9" s="12">
        <f>RAW!$A$7</f>
        <v>1200</v>
      </c>
      <c r="B9" s="2"/>
      <c r="C9" s="17" t="s">
        <v>20</v>
      </c>
      <c r="D9" s="14">
        <f t="shared" si="2"/>
        <v>3.2876712328767121</v>
      </c>
      <c r="E9" s="2"/>
      <c r="F9" s="17" t="s">
        <v>20</v>
      </c>
      <c r="G9" s="14">
        <f t="shared" ref="G9:AB9" si="4">($A9/G$5)/365</f>
        <v>0.32876712328767121</v>
      </c>
      <c r="H9" s="14">
        <f t="shared" si="4"/>
        <v>0.27397260273972601</v>
      </c>
      <c r="I9" s="14">
        <f t="shared" si="4"/>
        <v>3.2876712328767121</v>
      </c>
      <c r="J9" s="14">
        <f t="shared" si="4"/>
        <v>3.2876712328767121</v>
      </c>
      <c r="K9" s="14">
        <f t="shared" si="4"/>
        <v>3.2876712328767121</v>
      </c>
      <c r="L9" s="14">
        <f t="shared" si="4"/>
        <v>3.2876712328767121</v>
      </c>
      <c r="M9" s="14">
        <f t="shared" si="4"/>
        <v>3.2876712328767121</v>
      </c>
      <c r="N9" s="14">
        <f t="shared" si="4"/>
        <v>3.2876712328767121</v>
      </c>
      <c r="O9" s="15">
        <f t="shared" si="4"/>
        <v>3.2876712328767121</v>
      </c>
      <c r="P9" s="16">
        <f t="shared" si="4"/>
        <v>3.2876712328767121</v>
      </c>
      <c r="Q9" s="16">
        <f t="shared" si="4"/>
        <v>3.2876712328767121</v>
      </c>
      <c r="R9" s="16">
        <f t="shared" si="4"/>
        <v>3.2876712328767121</v>
      </c>
      <c r="S9" s="16">
        <f t="shared" si="4"/>
        <v>3.2876712328767121</v>
      </c>
      <c r="T9" s="16">
        <f t="shared" si="4"/>
        <v>3.2876712328767121</v>
      </c>
      <c r="U9" s="16">
        <f t="shared" si="4"/>
        <v>3.2876712328767121</v>
      </c>
      <c r="V9" s="16">
        <f t="shared" si="4"/>
        <v>3.2876712328767121</v>
      </c>
      <c r="W9" s="16">
        <f t="shared" si="4"/>
        <v>3.2876712328767121</v>
      </c>
      <c r="X9" s="16">
        <f t="shared" si="4"/>
        <v>3.2876712328767121</v>
      </c>
      <c r="Y9" s="16">
        <f t="shared" si="4"/>
        <v>3.2876712328767121</v>
      </c>
      <c r="Z9" s="16">
        <f t="shared" si="4"/>
        <v>3.2876712328767121</v>
      </c>
      <c r="AA9" s="16">
        <f t="shared" si="4"/>
        <v>3.2876712328767121</v>
      </c>
      <c r="AB9" s="16">
        <f t="shared" si="4"/>
        <v>3.2876712328767121</v>
      </c>
    </row>
    <row r="10" spans="1:28" ht="15.75" customHeight="1" x14ac:dyDescent="0.3">
      <c r="A10" s="12">
        <f>RAW!$A$8</f>
        <v>2800</v>
      </c>
      <c r="B10" s="2"/>
      <c r="C10" s="17" t="s">
        <v>21</v>
      </c>
      <c r="D10" s="14">
        <f t="shared" si="2"/>
        <v>7.6712328767123283</v>
      </c>
      <c r="E10" s="2"/>
      <c r="F10" s="17" t="s">
        <v>21</v>
      </c>
      <c r="G10" s="14">
        <f t="shared" ref="G10:AB10" si="5">($A10/G$5)/365</f>
        <v>0.76712328767123283</v>
      </c>
      <c r="H10" s="14">
        <f t="shared" si="5"/>
        <v>0.63926940639269414</v>
      </c>
      <c r="I10" s="14">
        <f t="shared" si="5"/>
        <v>7.6712328767123283</v>
      </c>
      <c r="J10" s="14">
        <f t="shared" si="5"/>
        <v>7.6712328767123283</v>
      </c>
      <c r="K10" s="14">
        <f t="shared" si="5"/>
        <v>7.6712328767123283</v>
      </c>
      <c r="L10" s="14">
        <f t="shared" si="5"/>
        <v>7.6712328767123283</v>
      </c>
      <c r="M10" s="14">
        <f t="shared" si="5"/>
        <v>7.6712328767123283</v>
      </c>
      <c r="N10" s="14">
        <f t="shared" si="5"/>
        <v>7.6712328767123283</v>
      </c>
      <c r="O10" s="15">
        <f t="shared" si="5"/>
        <v>7.6712328767123283</v>
      </c>
      <c r="P10" s="16">
        <f t="shared" si="5"/>
        <v>7.6712328767123283</v>
      </c>
      <c r="Q10" s="16">
        <f t="shared" si="5"/>
        <v>7.6712328767123283</v>
      </c>
      <c r="R10" s="16">
        <f t="shared" si="5"/>
        <v>7.6712328767123283</v>
      </c>
      <c r="S10" s="16">
        <f t="shared" si="5"/>
        <v>7.6712328767123283</v>
      </c>
      <c r="T10" s="16">
        <f t="shared" si="5"/>
        <v>7.6712328767123283</v>
      </c>
      <c r="U10" s="16">
        <f t="shared" si="5"/>
        <v>7.6712328767123283</v>
      </c>
      <c r="V10" s="16">
        <f t="shared" si="5"/>
        <v>7.6712328767123283</v>
      </c>
      <c r="W10" s="16">
        <f t="shared" si="5"/>
        <v>7.6712328767123283</v>
      </c>
      <c r="X10" s="16">
        <f t="shared" si="5"/>
        <v>7.6712328767123283</v>
      </c>
      <c r="Y10" s="16">
        <f t="shared" si="5"/>
        <v>7.6712328767123283</v>
      </c>
      <c r="Z10" s="16">
        <f t="shared" si="5"/>
        <v>7.6712328767123283</v>
      </c>
      <c r="AA10" s="16">
        <f t="shared" si="5"/>
        <v>7.6712328767123283</v>
      </c>
      <c r="AB10" s="16">
        <f t="shared" si="5"/>
        <v>7.6712328767123283</v>
      </c>
    </row>
    <row r="11" spans="1:28" ht="15.75" customHeight="1" x14ac:dyDescent="0.3">
      <c r="A11" s="12">
        <f>RAW!$A$9</f>
        <v>6000</v>
      </c>
      <c r="B11" s="2"/>
      <c r="C11" s="17" t="s">
        <v>22</v>
      </c>
      <c r="D11" s="14">
        <f t="shared" si="2"/>
        <v>16.438356164383563</v>
      </c>
      <c r="E11" s="2"/>
      <c r="F11" s="17" t="s">
        <v>22</v>
      </c>
      <c r="G11" s="14">
        <f t="shared" ref="G11:AB11" si="6">($A11/G$5)/365</f>
        <v>1.6438356164383561</v>
      </c>
      <c r="H11" s="14">
        <f t="shared" si="6"/>
        <v>1.3698630136986301</v>
      </c>
      <c r="I11" s="14">
        <f t="shared" si="6"/>
        <v>16.438356164383563</v>
      </c>
      <c r="J11" s="14">
        <f t="shared" si="6"/>
        <v>16.438356164383563</v>
      </c>
      <c r="K11" s="14">
        <f t="shared" si="6"/>
        <v>16.438356164383563</v>
      </c>
      <c r="L11" s="14">
        <f t="shared" si="6"/>
        <v>16.438356164383563</v>
      </c>
      <c r="M11" s="14">
        <f t="shared" si="6"/>
        <v>16.438356164383563</v>
      </c>
      <c r="N11" s="14">
        <f t="shared" si="6"/>
        <v>16.438356164383563</v>
      </c>
      <c r="O11" s="15">
        <f t="shared" si="6"/>
        <v>16.438356164383563</v>
      </c>
      <c r="P11" s="16">
        <f t="shared" si="6"/>
        <v>16.438356164383563</v>
      </c>
      <c r="Q11" s="16">
        <f t="shared" si="6"/>
        <v>16.438356164383563</v>
      </c>
      <c r="R11" s="16">
        <f t="shared" si="6"/>
        <v>16.438356164383563</v>
      </c>
      <c r="S11" s="16">
        <f t="shared" si="6"/>
        <v>16.438356164383563</v>
      </c>
      <c r="T11" s="16">
        <f t="shared" si="6"/>
        <v>16.438356164383563</v>
      </c>
      <c r="U11" s="16">
        <f t="shared" si="6"/>
        <v>16.438356164383563</v>
      </c>
      <c r="V11" s="16">
        <f t="shared" si="6"/>
        <v>16.438356164383563</v>
      </c>
      <c r="W11" s="16">
        <f t="shared" si="6"/>
        <v>16.438356164383563</v>
      </c>
      <c r="X11" s="16">
        <f t="shared" si="6"/>
        <v>16.438356164383563</v>
      </c>
      <c r="Y11" s="16">
        <f t="shared" si="6"/>
        <v>16.438356164383563</v>
      </c>
      <c r="Z11" s="16">
        <f t="shared" si="6"/>
        <v>16.438356164383563</v>
      </c>
      <c r="AA11" s="16">
        <f t="shared" si="6"/>
        <v>16.438356164383563</v>
      </c>
      <c r="AB11" s="16">
        <f t="shared" si="6"/>
        <v>16.438356164383563</v>
      </c>
    </row>
    <row r="12" spans="1:28" ht="15.75" customHeight="1" x14ac:dyDescent="0.3">
      <c r="A12" s="12">
        <f>RAW!$A$10</f>
        <v>12400</v>
      </c>
      <c r="B12" s="2"/>
      <c r="C12" s="17" t="s">
        <v>23</v>
      </c>
      <c r="D12" s="14">
        <f t="shared" si="2"/>
        <v>33.972602739726028</v>
      </c>
      <c r="E12" s="2"/>
      <c r="F12" s="17" t="s">
        <v>23</v>
      </c>
      <c r="G12" s="14">
        <f t="shared" ref="G12:AB12" si="7">($A12/G$5)/365</f>
        <v>3.3972602739726026</v>
      </c>
      <c r="H12" s="14">
        <f t="shared" si="7"/>
        <v>2.8310502283105019</v>
      </c>
      <c r="I12" s="14">
        <f t="shared" si="7"/>
        <v>33.972602739726028</v>
      </c>
      <c r="J12" s="14">
        <f t="shared" si="7"/>
        <v>33.972602739726028</v>
      </c>
      <c r="K12" s="14">
        <f t="shared" si="7"/>
        <v>33.972602739726028</v>
      </c>
      <c r="L12" s="14">
        <f t="shared" si="7"/>
        <v>33.972602739726028</v>
      </c>
      <c r="M12" s="14">
        <f t="shared" si="7"/>
        <v>33.972602739726028</v>
      </c>
      <c r="N12" s="14">
        <f t="shared" si="7"/>
        <v>33.972602739726028</v>
      </c>
      <c r="O12" s="15">
        <f t="shared" si="7"/>
        <v>33.972602739726028</v>
      </c>
      <c r="P12" s="16">
        <f t="shared" si="7"/>
        <v>33.972602739726028</v>
      </c>
      <c r="Q12" s="16">
        <f t="shared" si="7"/>
        <v>33.972602739726028</v>
      </c>
      <c r="R12" s="16">
        <f t="shared" si="7"/>
        <v>33.972602739726028</v>
      </c>
      <c r="S12" s="16">
        <f t="shared" si="7"/>
        <v>33.972602739726028</v>
      </c>
      <c r="T12" s="16">
        <f t="shared" si="7"/>
        <v>33.972602739726028</v>
      </c>
      <c r="U12" s="16">
        <f t="shared" si="7"/>
        <v>33.972602739726028</v>
      </c>
      <c r="V12" s="16">
        <f t="shared" si="7"/>
        <v>33.972602739726028</v>
      </c>
      <c r="W12" s="16">
        <f t="shared" si="7"/>
        <v>33.972602739726028</v>
      </c>
      <c r="X12" s="16">
        <f t="shared" si="7"/>
        <v>33.972602739726028</v>
      </c>
      <c r="Y12" s="16">
        <f t="shared" si="7"/>
        <v>33.972602739726028</v>
      </c>
      <c r="Z12" s="16">
        <f t="shared" si="7"/>
        <v>33.972602739726028</v>
      </c>
      <c r="AA12" s="16">
        <f t="shared" si="7"/>
        <v>33.972602739726028</v>
      </c>
      <c r="AB12" s="16">
        <f t="shared" si="7"/>
        <v>33.972602739726028</v>
      </c>
    </row>
    <row r="13" spans="1:28" ht="15.75" customHeight="1" x14ac:dyDescent="0.3">
      <c r="A13" s="12">
        <f>RAW!$A$11</f>
        <v>25200</v>
      </c>
      <c r="B13" s="2"/>
      <c r="C13" s="17" t="s">
        <v>24</v>
      </c>
      <c r="D13" s="14">
        <f t="shared" si="2"/>
        <v>69.041095890410958</v>
      </c>
      <c r="E13" s="2"/>
      <c r="F13" s="17" t="s">
        <v>24</v>
      </c>
      <c r="G13" s="14">
        <f t="shared" ref="G13:AB13" si="8">($A13/G$5)/365</f>
        <v>6.904109589041096</v>
      </c>
      <c r="H13" s="14">
        <f t="shared" si="8"/>
        <v>5.7534246575342465</v>
      </c>
      <c r="I13" s="14">
        <f t="shared" si="8"/>
        <v>69.041095890410958</v>
      </c>
      <c r="J13" s="14">
        <f t="shared" si="8"/>
        <v>69.041095890410958</v>
      </c>
      <c r="K13" s="14">
        <f t="shared" si="8"/>
        <v>69.041095890410958</v>
      </c>
      <c r="L13" s="14">
        <f t="shared" si="8"/>
        <v>69.041095890410958</v>
      </c>
      <c r="M13" s="14">
        <f t="shared" si="8"/>
        <v>69.041095890410958</v>
      </c>
      <c r="N13" s="14">
        <f t="shared" si="8"/>
        <v>69.041095890410958</v>
      </c>
      <c r="O13" s="15">
        <f t="shared" si="8"/>
        <v>69.041095890410958</v>
      </c>
      <c r="P13" s="16">
        <f t="shared" si="8"/>
        <v>69.041095890410958</v>
      </c>
      <c r="Q13" s="16">
        <f t="shared" si="8"/>
        <v>69.041095890410958</v>
      </c>
      <c r="R13" s="16">
        <f t="shared" si="8"/>
        <v>69.041095890410958</v>
      </c>
      <c r="S13" s="16">
        <f t="shared" si="8"/>
        <v>69.041095890410958</v>
      </c>
      <c r="T13" s="16">
        <f t="shared" si="8"/>
        <v>69.041095890410958</v>
      </c>
      <c r="U13" s="16">
        <f t="shared" si="8"/>
        <v>69.041095890410958</v>
      </c>
      <c r="V13" s="16">
        <f t="shared" si="8"/>
        <v>69.041095890410958</v>
      </c>
      <c r="W13" s="16">
        <f t="shared" si="8"/>
        <v>69.041095890410958</v>
      </c>
      <c r="X13" s="16">
        <f t="shared" si="8"/>
        <v>69.041095890410958</v>
      </c>
      <c r="Y13" s="16">
        <f t="shared" si="8"/>
        <v>69.041095890410958</v>
      </c>
      <c r="Z13" s="16">
        <f t="shared" si="8"/>
        <v>69.041095890410958</v>
      </c>
      <c r="AA13" s="16">
        <f t="shared" si="8"/>
        <v>69.041095890410958</v>
      </c>
      <c r="AB13" s="16">
        <f t="shared" si="8"/>
        <v>69.041095890410958</v>
      </c>
    </row>
    <row r="14" spans="1:28" ht="15.75" customHeight="1" x14ac:dyDescent="0.3">
      <c r="A14" s="12">
        <f>RAW!$A$12</f>
        <v>50800</v>
      </c>
      <c r="B14" s="2"/>
      <c r="C14" s="17" t="s">
        <v>25</v>
      </c>
      <c r="D14" s="14">
        <f t="shared" si="2"/>
        <v>139.17808219178082</v>
      </c>
      <c r="E14" s="2"/>
      <c r="F14" s="17" t="s">
        <v>25</v>
      </c>
      <c r="G14" s="14">
        <f t="shared" ref="G14:AB14" si="9">($A14/G$5)/365</f>
        <v>13.917808219178083</v>
      </c>
      <c r="H14" s="14">
        <f t="shared" si="9"/>
        <v>11.598173515981735</v>
      </c>
      <c r="I14" s="14">
        <f t="shared" si="9"/>
        <v>139.17808219178082</v>
      </c>
      <c r="J14" s="14">
        <f t="shared" si="9"/>
        <v>139.17808219178082</v>
      </c>
      <c r="K14" s="14">
        <f t="shared" si="9"/>
        <v>139.17808219178082</v>
      </c>
      <c r="L14" s="14">
        <f t="shared" si="9"/>
        <v>139.17808219178082</v>
      </c>
      <c r="M14" s="14">
        <f t="shared" si="9"/>
        <v>139.17808219178082</v>
      </c>
      <c r="N14" s="14">
        <f t="shared" si="9"/>
        <v>139.17808219178082</v>
      </c>
      <c r="O14" s="15">
        <f t="shared" si="9"/>
        <v>139.17808219178082</v>
      </c>
      <c r="P14" s="16">
        <f t="shared" si="9"/>
        <v>139.17808219178082</v>
      </c>
      <c r="Q14" s="16">
        <f t="shared" si="9"/>
        <v>139.17808219178082</v>
      </c>
      <c r="R14" s="16">
        <f t="shared" si="9"/>
        <v>139.17808219178082</v>
      </c>
      <c r="S14" s="16">
        <f t="shared" si="9"/>
        <v>139.17808219178082</v>
      </c>
      <c r="T14" s="16">
        <f t="shared" si="9"/>
        <v>139.17808219178082</v>
      </c>
      <c r="U14" s="16">
        <f t="shared" si="9"/>
        <v>139.17808219178082</v>
      </c>
      <c r="V14" s="16">
        <f t="shared" si="9"/>
        <v>139.17808219178082</v>
      </c>
      <c r="W14" s="16">
        <f t="shared" si="9"/>
        <v>139.17808219178082</v>
      </c>
      <c r="X14" s="16">
        <f t="shared" si="9"/>
        <v>139.17808219178082</v>
      </c>
      <c r="Y14" s="16">
        <f t="shared" si="9"/>
        <v>139.17808219178082</v>
      </c>
      <c r="Z14" s="16">
        <f t="shared" si="9"/>
        <v>139.17808219178082</v>
      </c>
      <c r="AA14" s="16">
        <f t="shared" si="9"/>
        <v>139.17808219178082</v>
      </c>
      <c r="AB14" s="16">
        <f t="shared" si="9"/>
        <v>139.17808219178082</v>
      </c>
    </row>
    <row r="15" spans="1:28" ht="15.75" customHeight="1" x14ac:dyDescent="0.3">
      <c r="A15" s="12">
        <f>RAW!$A$13</f>
        <v>102000</v>
      </c>
      <c r="B15" s="2"/>
      <c r="C15" s="17" t="s">
        <v>26</v>
      </c>
      <c r="D15" s="14">
        <f t="shared" si="2"/>
        <v>279.45205479452056</v>
      </c>
      <c r="E15" s="2"/>
      <c r="F15" s="17" t="s">
        <v>26</v>
      </c>
      <c r="G15" s="14">
        <f t="shared" ref="G15:AB15" si="10">($A15/G$5)/365</f>
        <v>27.945205479452056</v>
      </c>
      <c r="H15" s="14">
        <f t="shared" si="10"/>
        <v>23.287671232876711</v>
      </c>
      <c r="I15" s="14">
        <f t="shared" si="10"/>
        <v>279.45205479452056</v>
      </c>
      <c r="J15" s="14">
        <f t="shared" si="10"/>
        <v>279.45205479452056</v>
      </c>
      <c r="K15" s="14">
        <f t="shared" si="10"/>
        <v>279.45205479452056</v>
      </c>
      <c r="L15" s="14">
        <f t="shared" si="10"/>
        <v>279.45205479452056</v>
      </c>
      <c r="M15" s="14">
        <f t="shared" si="10"/>
        <v>279.45205479452056</v>
      </c>
      <c r="N15" s="14">
        <f t="shared" si="10"/>
        <v>279.45205479452056</v>
      </c>
      <c r="O15" s="15">
        <f t="shared" si="10"/>
        <v>279.45205479452056</v>
      </c>
      <c r="P15" s="16">
        <f t="shared" si="10"/>
        <v>279.45205479452056</v>
      </c>
      <c r="Q15" s="16">
        <f t="shared" si="10"/>
        <v>279.45205479452056</v>
      </c>
      <c r="R15" s="16">
        <f t="shared" si="10"/>
        <v>279.45205479452056</v>
      </c>
      <c r="S15" s="16">
        <f t="shared" si="10"/>
        <v>279.45205479452056</v>
      </c>
      <c r="T15" s="16">
        <f t="shared" si="10"/>
        <v>279.45205479452056</v>
      </c>
      <c r="U15" s="16">
        <f t="shared" si="10"/>
        <v>279.45205479452056</v>
      </c>
      <c r="V15" s="16">
        <f t="shared" si="10"/>
        <v>279.45205479452056</v>
      </c>
      <c r="W15" s="16">
        <f t="shared" si="10"/>
        <v>279.45205479452056</v>
      </c>
      <c r="X15" s="16">
        <f t="shared" si="10"/>
        <v>279.45205479452056</v>
      </c>
      <c r="Y15" s="16">
        <f t="shared" si="10"/>
        <v>279.45205479452056</v>
      </c>
      <c r="Z15" s="16">
        <f t="shared" si="10"/>
        <v>279.45205479452056</v>
      </c>
      <c r="AA15" s="16">
        <f t="shared" si="10"/>
        <v>279.45205479452056</v>
      </c>
      <c r="AB15" s="16">
        <f t="shared" si="10"/>
        <v>279.45205479452056</v>
      </c>
    </row>
    <row r="16" spans="1:28" ht="15.75" customHeight="1" x14ac:dyDescent="0.3">
      <c r="A16" s="12">
        <f>RAW!$A$14</f>
        <v>204400</v>
      </c>
      <c r="B16" s="2"/>
      <c r="C16" s="17" t="s">
        <v>27</v>
      </c>
      <c r="D16" s="14">
        <f t="shared" si="2"/>
        <v>560</v>
      </c>
      <c r="E16" s="2"/>
      <c r="F16" s="17" t="s">
        <v>27</v>
      </c>
      <c r="G16" s="14">
        <f t="shared" ref="G16:AB16" si="11">($A16/G$5)/365</f>
        <v>56</v>
      </c>
      <c r="H16" s="14">
        <f t="shared" si="11"/>
        <v>46.666666666666664</v>
      </c>
      <c r="I16" s="14">
        <f t="shared" si="11"/>
        <v>560</v>
      </c>
      <c r="J16" s="14">
        <f t="shared" si="11"/>
        <v>560</v>
      </c>
      <c r="K16" s="14">
        <f t="shared" si="11"/>
        <v>560</v>
      </c>
      <c r="L16" s="14">
        <f t="shared" si="11"/>
        <v>560</v>
      </c>
      <c r="M16" s="14">
        <f t="shared" si="11"/>
        <v>560</v>
      </c>
      <c r="N16" s="14">
        <f t="shared" si="11"/>
        <v>560</v>
      </c>
      <c r="O16" s="15">
        <f t="shared" si="11"/>
        <v>560</v>
      </c>
      <c r="P16" s="16">
        <f t="shared" si="11"/>
        <v>560</v>
      </c>
      <c r="Q16" s="16">
        <f t="shared" si="11"/>
        <v>560</v>
      </c>
      <c r="R16" s="16">
        <f t="shared" si="11"/>
        <v>560</v>
      </c>
      <c r="S16" s="16">
        <f t="shared" si="11"/>
        <v>560</v>
      </c>
      <c r="T16" s="16">
        <f t="shared" si="11"/>
        <v>560</v>
      </c>
      <c r="U16" s="16">
        <f t="shared" si="11"/>
        <v>560</v>
      </c>
      <c r="V16" s="16">
        <f t="shared" si="11"/>
        <v>560</v>
      </c>
      <c r="W16" s="16">
        <f t="shared" si="11"/>
        <v>560</v>
      </c>
      <c r="X16" s="16">
        <f t="shared" si="11"/>
        <v>560</v>
      </c>
      <c r="Y16" s="16">
        <f t="shared" si="11"/>
        <v>560</v>
      </c>
      <c r="Z16" s="16">
        <f t="shared" si="11"/>
        <v>560</v>
      </c>
      <c r="AA16" s="16">
        <f t="shared" si="11"/>
        <v>560</v>
      </c>
      <c r="AB16" s="16">
        <f t="shared" si="11"/>
        <v>560</v>
      </c>
    </row>
    <row r="17" spans="1:28" ht="15.75" customHeight="1" x14ac:dyDescent="0.3">
      <c r="A17" s="12">
        <f>RAW!$A$15</f>
        <v>409200</v>
      </c>
      <c r="B17" s="2"/>
      <c r="C17" s="17" t="s">
        <v>28</v>
      </c>
      <c r="D17" s="14">
        <f t="shared" si="2"/>
        <v>1121.0958904109589</v>
      </c>
      <c r="E17" s="2"/>
      <c r="F17" s="17" t="s">
        <v>28</v>
      </c>
      <c r="G17" s="14">
        <f t="shared" ref="G17:AB17" si="12">($A17/G$5)/365</f>
        <v>112.10958904109589</v>
      </c>
      <c r="H17" s="14">
        <f t="shared" si="12"/>
        <v>93.424657534246577</v>
      </c>
      <c r="I17" s="14">
        <f t="shared" si="12"/>
        <v>1121.0958904109589</v>
      </c>
      <c r="J17" s="14">
        <f t="shared" si="12"/>
        <v>1121.0958904109589</v>
      </c>
      <c r="K17" s="14">
        <f t="shared" si="12"/>
        <v>1121.0958904109589</v>
      </c>
      <c r="L17" s="14">
        <f t="shared" si="12"/>
        <v>1121.0958904109589</v>
      </c>
      <c r="M17" s="14">
        <f t="shared" si="12"/>
        <v>1121.0958904109589</v>
      </c>
      <c r="N17" s="14">
        <f t="shared" si="12"/>
        <v>1121.0958904109589</v>
      </c>
      <c r="O17" s="15">
        <f t="shared" si="12"/>
        <v>1121.0958904109589</v>
      </c>
      <c r="P17" s="16">
        <f t="shared" si="12"/>
        <v>1121.0958904109589</v>
      </c>
      <c r="Q17" s="16">
        <f t="shared" si="12"/>
        <v>1121.0958904109589</v>
      </c>
      <c r="R17" s="16">
        <f t="shared" si="12"/>
        <v>1121.0958904109589</v>
      </c>
      <c r="S17" s="16">
        <f t="shared" si="12"/>
        <v>1121.0958904109589</v>
      </c>
      <c r="T17" s="16">
        <f t="shared" si="12"/>
        <v>1121.0958904109589</v>
      </c>
      <c r="U17" s="16">
        <f t="shared" si="12"/>
        <v>1121.0958904109589</v>
      </c>
      <c r="V17" s="16">
        <f t="shared" si="12"/>
        <v>1121.0958904109589</v>
      </c>
      <c r="W17" s="16">
        <f t="shared" si="12"/>
        <v>1121.0958904109589</v>
      </c>
      <c r="X17" s="16">
        <f t="shared" si="12"/>
        <v>1121.0958904109589</v>
      </c>
      <c r="Y17" s="16">
        <f t="shared" si="12"/>
        <v>1121.0958904109589</v>
      </c>
      <c r="Z17" s="16">
        <f t="shared" si="12"/>
        <v>1121.0958904109589</v>
      </c>
      <c r="AA17" s="16">
        <f t="shared" si="12"/>
        <v>1121.0958904109589</v>
      </c>
      <c r="AB17" s="16">
        <f t="shared" si="12"/>
        <v>1121.0958904109589</v>
      </c>
    </row>
    <row r="18" spans="1:28" ht="15.75" customHeight="1" x14ac:dyDescent="0.3">
      <c r="A18" s="12">
        <f>RAW!$A$16</f>
        <v>818800</v>
      </c>
      <c r="B18" s="2"/>
      <c r="C18" s="17" t="s">
        <v>29</v>
      </c>
      <c r="D18" s="14">
        <f t="shared" si="2"/>
        <v>2243.2876712328766</v>
      </c>
      <c r="E18" s="2"/>
      <c r="F18" s="17" t="s">
        <v>29</v>
      </c>
      <c r="G18" s="14">
        <f t="shared" ref="G18:AB18" si="13">($A18/G$5)/365</f>
        <v>224.32876712328766</v>
      </c>
      <c r="H18" s="14">
        <f t="shared" si="13"/>
        <v>186.94063926940638</v>
      </c>
      <c r="I18" s="14">
        <f t="shared" si="13"/>
        <v>2243.2876712328766</v>
      </c>
      <c r="J18" s="14">
        <f t="shared" si="13"/>
        <v>2243.2876712328766</v>
      </c>
      <c r="K18" s="14">
        <f t="shared" si="13"/>
        <v>2243.2876712328766</v>
      </c>
      <c r="L18" s="14">
        <f t="shared" si="13"/>
        <v>2243.2876712328766</v>
      </c>
      <c r="M18" s="14">
        <f t="shared" si="13"/>
        <v>2243.2876712328766</v>
      </c>
      <c r="N18" s="14">
        <f t="shared" si="13"/>
        <v>2243.2876712328766</v>
      </c>
      <c r="O18" s="15">
        <f t="shared" si="13"/>
        <v>2243.2876712328766</v>
      </c>
      <c r="P18" s="16">
        <f t="shared" si="13"/>
        <v>2243.2876712328766</v>
      </c>
      <c r="Q18" s="16">
        <f t="shared" si="13"/>
        <v>2243.2876712328766</v>
      </c>
      <c r="R18" s="16">
        <f t="shared" si="13"/>
        <v>2243.2876712328766</v>
      </c>
      <c r="S18" s="16">
        <f t="shared" si="13"/>
        <v>2243.2876712328766</v>
      </c>
      <c r="T18" s="16">
        <f t="shared" si="13"/>
        <v>2243.2876712328766</v>
      </c>
      <c r="U18" s="16">
        <f t="shared" si="13"/>
        <v>2243.2876712328766</v>
      </c>
      <c r="V18" s="16">
        <f t="shared" si="13"/>
        <v>2243.2876712328766</v>
      </c>
      <c r="W18" s="16">
        <f t="shared" si="13"/>
        <v>2243.2876712328766</v>
      </c>
      <c r="X18" s="16">
        <f t="shared" si="13"/>
        <v>2243.2876712328766</v>
      </c>
      <c r="Y18" s="16">
        <f t="shared" si="13"/>
        <v>2243.2876712328766</v>
      </c>
      <c r="Z18" s="16">
        <f t="shared" si="13"/>
        <v>2243.2876712328766</v>
      </c>
      <c r="AA18" s="16">
        <f t="shared" si="13"/>
        <v>2243.2876712328766</v>
      </c>
      <c r="AB18" s="16">
        <f t="shared" si="13"/>
        <v>2243.2876712328766</v>
      </c>
    </row>
    <row r="19" spans="1:28" ht="15.75" customHeight="1" x14ac:dyDescent="0.3">
      <c r="A19" s="12">
        <f>RAW!$A$17</f>
        <v>1638000</v>
      </c>
      <c r="B19" s="2"/>
      <c r="C19" s="17" t="s">
        <v>30</v>
      </c>
      <c r="D19" s="14">
        <f t="shared" si="2"/>
        <v>4487.6712328767126</v>
      </c>
      <c r="E19" s="2"/>
      <c r="F19" s="17" t="s">
        <v>30</v>
      </c>
      <c r="G19" s="14">
        <f t="shared" ref="G19:AB19" si="14">($A19/G$5)/365</f>
        <v>448.76712328767121</v>
      </c>
      <c r="H19" s="14">
        <f t="shared" si="14"/>
        <v>373.97260273972603</v>
      </c>
      <c r="I19" s="14">
        <f t="shared" si="14"/>
        <v>4487.6712328767126</v>
      </c>
      <c r="J19" s="14">
        <f t="shared" si="14"/>
        <v>4487.6712328767126</v>
      </c>
      <c r="K19" s="14">
        <f t="shared" si="14"/>
        <v>4487.6712328767126</v>
      </c>
      <c r="L19" s="14">
        <f t="shared" si="14"/>
        <v>4487.6712328767126</v>
      </c>
      <c r="M19" s="14">
        <f t="shared" si="14"/>
        <v>4487.6712328767126</v>
      </c>
      <c r="N19" s="14">
        <f t="shared" si="14"/>
        <v>4487.6712328767126</v>
      </c>
      <c r="O19" s="15">
        <f t="shared" si="14"/>
        <v>4487.6712328767126</v>
      </c>
      <c r="P19" s="16">
        <f t="shared" si="14"/>
        <v>4487.6712328767126</v>
      </c>
      <c r="Q19" s="16">
        <f t="shared" si="14"/>
        <v>4487.6712328767126</v>
      </c>
      <c r="R19" s="16">
        <f t="shared" si="14"/>
        <v>4487.6712328767126</v>
      </c>
      <c r="S19" s="16">
        <f t="shared" si="14"/>
        <v>4487.6712328767126</v>
      </c>
      <c r="T19" s="16">
        <f t="shared" si="14"/>
        <v>4487.6712328767126</v>
      </c>
      <c r="U19" s="16">
        <f t="shared" si="14"/>
        <v>4487.6712328767126</v>
      </c>
      <c r="V19" s="16">
        <f t="shared" si="14"/>
        <v>4487.6712328767126</v>
      </c>
      <c r="W19" s="16">
        <f t="shared" si="14"/>
        <v>4487.6712328767126</v>
      </c>
      <c r="X19" s="16">
        <f t="shared" si="14"/>
        <v>4487.6712328767126</v>
      </c>
      <c r="Y19" s="16">
        <f t="shared" si="14"/>
        <v>4487.6712328767126</v>
      </c>
      <c r="Z19" s="16">
        <f t="shared" si="14"/>
        <v>4487.6712328767126</v>
      </c>
      <c r="AA19" s="16">
        <f t="shared" si="14"/>
        <v>4487.6712328767126</v>
      </c>
      <c r="AB19" s="16">
        <f t="shared" si="14"/>
        <v>4487.6712328767126</v>
      </c>
    </row>
    <row r="20" spans="1:28" ht="15.75" customHeight="1" x14ac:dyDescent="0.3">
      <c r="A20" s="12">
        <f>RAW!$A$18</f>
        <v>3276400</v>
      </c>
      <c r="B20" s="2"/>
      <c r="C20" s="17" t="s">
        <v>31</v>
      </c>
      <c r="D20" s="14">
        <f t="shared" si="2"/>
        <v>8976.4383561643845</v>
      </c>
      <c r="E20" s="2"/>
      <c r="F20" s="17" t="s">
        <v>31</v>
      </c>
      <c r="G20" s="14">
        <f t="shared" ref="G20:AB20" si="15">($A20/G$5)/365</f>
        <v>897.64383561643831</v>
      </c>
      <c r="H20" s="14">
        <f t="shared" si="15"/>
        <v>748.03652968036522</v>
      </c>
      <c r="I20" s="14">
        <f t="shared" si="15"/>
        <v>8976.4383561643845</v>
      </c>
      <c r="J20" s="14">
        <f t="shared" si="15"/>
        <v>8976.4383561643845</v>
      </c>
      <c r="K20" s="14">
        <f t="shared" si="15"/>
        <v>8976.4383561643845</v>
      </c>
      <c r="L20" s="14">
        <f t="shared" si="15"/>
        <v>8976.4383561643845</v>
      </c>
      <c r="M20" s="14">
        <f t="shared" si="15"/>
        <v>8976.4383561643845</v>
      </c>
      <c r="N20" s="14">
        <f t="shared" si="15"/>
        <v>8976.4383561643845</v>
      </c>
      <c r="O20" s="15">
        <f t="shared" si="15"/>
        <v>8976.4383561643845</v>
      </c>
      <c r="P20" s="16">
        <f t="shared" si="15"/>
        <v>8976.4383561643845</v>
      </c>
      <c r="Q20" s="16">
        <f t="shared" si="15"/>
        <v>8976.4383561643845</v>
      </c>
      <c r="R20" s="16">
        <f t="shared" si="15"/>
        <v>8976.4383561643845</v>
      </c>
      <c r="S20" s="16">
        <f t="shared" si="15"/>
        <v>8976.4383561643845</v>
      </c>
      <c r="T20" s="16">
        <f t="shared" si="15"/>
        <v>8976.4383561643845</v>
      </c>
      <c r="U20" s="16">
        <f t="shared" si="15"/>
        <v>8976.4383561643845</v>
      </c>
      <c r="V20" s="16">
        <f t="shared" si="15"/>
        <v>8976.4383561643845</v>
      </c>
      <c r="W20" s="16">
        <f t="shared" si="15"/>
        <v>8976.4383561643845</v>
      </c>
      <c r="X20" s="16">
        <f t="shared" si="15"/>
        <v>8976.4383561643845</v>
      </c>
      <c r="Y20" s="16">
        <f t="shared" si="15"/>
        <v>8976.4383561643845</v>
      </c>
      <c r="Z20" s="16">
        <f t="shared" si="15"/>
        <v>8976.4383561643845</v>
      </c>
      <c r="AA20" s="16">
        <f t="shared" si="15"/>
        <v>8976.4383561643845</v>
      </c>
      <c r="AB20" s="16">
        <f t="shared" si="15"/>
        <v>8976.4383561643845</v>
      </c>
    </row>
    <row r="21" spans="1:28" ht="15.75" customHeight="1" x14ac:dyDescent="0.3">
      <c r="A21" s="12">
        <f>RAW!$A$19</f>
        <v>6553200</v>
      </c>
      <c r="B21" s="2"/>
      <c r="C21" s="17" t="s">
        <v>32</v>
      </c>
      <c r="D21" s="14">
        <f t="shared" si="2"/>
        <v>17953.972602739726</v>
      </c>
      <c r="E21" s="2"/>
      <c r="F21" s="17" t="s">
        <v>32</v>
      </c>
      <c r="G21" s="14">
        <f t="shared" ref="G21:AB21" si="16">($A21/G$5)/365</f>
        <v>1795.3972602739725</v>
      </c>
      <c r="H21" s="14">
        <f t="shared" si="16"/>
        <v>1496.1643835616439</v>
      </c>
      <c r="I21" s="14">
        <f t="shared" si="16"/>
        <v>17953.972602739726</v>
      </c>
      <c r="J21" s="14">
        <f t="shared" si="16"/>
        <v>17953.972602739726</v>
      </c>
      <c r="K21" s="14">
        <f t="shared" si="16"/>
        <v>17953.972602739726</v>
      </c>
      <c r="L21" s="14">
        <f t="shared" si="16"/>
        <v>17953.972602739726</v>
      </c>
      <c r="M21" s="14">
        <f t="shared" si="16"/>
        <v>17953.972602739726</v>
      </c>
      <c r="N21" s="14">
        <f t="shared" si="16"/>
        <v>17953.972602739726</v>
      </c>
      <c r="O21" s="15">
        <f t="shared" si="16"/>
        <v>17953.972602739726</v>
      </c>
      <c r="P21" s="16">
        <f t="shared" si="16"/>
        <v>17953.972602739726</v>
      </c>
      <c r="Q21" s="16">
        <f t="shared" si="16"/>
        <v>17953.972602739726</v>
      </c>
      <c r="R21" s="16">
        <f t="shared" si="16"/>
        <v>17953.972602739726</v>
      </c>
      <c r="S21" s="16">
        <f t="shared" si="16"/>
        <v>17953.972602739726</v>
      </c>
      <c r="T21" s="16">
        <f t="shared" si="16"/>
        <v>17953.972602739726</v>
      </c>
      <c r="U21" s="16">
        <f t="shared" si="16"/>
        <v>17953.972602739726</v>
      </c>
      <c r="V21" s="16">
        <f t="shared" si="16"/>
        <v>17953.972602739726</v>
      </c>
      <c r="W21" s="16">
        <f t="shared" si="16"/>
        <v>17953.972602739726</v>
      </c>
      <c r="X21" s="16">
        <f t="shared" si="16"/>
        <v>17953.972602739726</v>
      </c>
      <c r="Y21" s="16">
        <f t="shared" si="16"/>
        <v>17953.972602739726</v>
      </c>
      <c r="Z21" s="16">
        <f t="shared" si="16"/>
        <v>17953.972602739726</v>
      </c>
      <c r="AA21" s="16">
        <f t="shared" si="16"/>
        <v>17953.972602739726</v>
      </c>
      <c r="AB21" s="16">
        <f t="shared" si="16"/>
        <v>17953.972602739726</v>
      </c>
    </row>
    <row r="22" spans="1:28" ht="15.75" customHeight="1" x14ac:dyDescent="0.3">
      <c r="A22" s="12">
        <f>RAW!$A$20</f>
        <v>13106800</v>
      </c>
      <c r="B22" s="2"/>
      <c r="C22" s="17" t="s">
        <v>33</v>
      </c>
      <c r="D22" s="14">
        <f t="shared" si="2"/>
        <v>35909.04109589041</v>
      </c>
      <c r="E22" s="2"/>
      <c r="F22" s="17" t="s">
        <v>33</v>
      </c>
      <c r="G22" s="14">
        <f t="shared" ref="G22:AB22" si="17">($A22/G$5)/365</f>
        <v>3590.9041095890411</v>
      </c>
      <c r="H22" s="14">
        <f t="shared" si="17"/>
        <v>2992.4200913242007</v>
      </c>
      <c r="I22" s="14">
        <f t="shared" si="17"/>
        <v>35909.04109589041</v>
      </c>
      <c r="J22" s="14">
        <f t="shared" si="17"/>
        <v>35909.04109589041</v>
      </c>
      <c r="K22" s="14">
        <f t="shared" si="17"/>
        <v>35909.04109589041</v>
      </c>
      <c r="L22" s="14">
        <f t="shared" si="17"/>
        <v>35909.04109589041</v>
      </c>
      <c r="M22" s="14">
        <f t="shared" si="17"/>
        <v>35909.04109589041</v>
      </c>
      <c r="N22" s="14">
        <f t="shared" si="17"/>
        <v>35909.04109589041</v>
      </c>
      <c r="O22" s="15">
        <f t="shared" si="17"/>
        <v>35909.04109589041</v>
      </c>
      <c r="P22" s="16">
        <f t="shared" si="17"/>
        <v>35909.04109589041</v>
      </c>
      <c r="Q22" s="16">
        <f t="shared" si="17"/>
        <v>35909.04109589041</v>
      </c>
      <c r="R22" s="16">
        <f t="shared" si="17"/>
        <v>35909.04109589041</v>
      </c>
      <c r="S22" s="16">
        <f t="shared" si="17"/>
        <v>35909.04109589041</v>
      </c>
      <c r="T22" s="16">
        <f t="shared" si="17"/>
        <v>35909.04109589041</v>
      </c>
      <c r="U22" s="16">
        <f t="shared" si="17"/>
        <v>35909.04109589041</v>
      </c>
      <c r="V22" s="16">
        <f t="shared" si="17"/>
        <v>35909.04109589041</v>
      </c>
      <c r="W22" s="16">
        <f t="shared" si="17"/>
        <v>35909.04109589041</v>
      </c>
      <c r="X22" s="16">
        <f t="shared" si="17"/>
        <v>35909.04109589041</v>
      </c>
      <c r="Y22" s="16">
        <f t="shared" si="17"/>
        <v>35909.04109589041</v>
      </c>
      <c r="Z22" s="16">
        <f t="shared" si="17"/>
        <v>35909.04109589041</v>
      </c>
      <c r="AA22" s="16">
        <f t="shared" si="17"/>
        <v>35909.04109589041</v>
      </c>
      <c r="AB22" s="16">
        <f t="shared" si="17"/>
        <v>35909.04109589041</v>
      </c>
    </row>
    <row r="23" spans="1:28" ht="15.75" customHeight="1" x14ac:dyDescent="0.3">
      <c r="A23" s="12">
        <f>RAW!$A$21</f>
        <v>26214000</v>
      </c>
      <c r="B23" s="2"/>
      <c r="C23" s="17" t="s">
        <v>34</v>
      </c>
      <c r="D23" s="14">
        <f t="shared" si="2"/>
        <v>71819.178082191778</v>
      </c>
      <c r="E23" s="2"/>
      <c r="F23" s="17" t="s">
        <v>34</v>
      </c>
      <c r="G23" s="14">
        <f t="shared" ref="G23:AB23" si="18">($A23/G$5)/365</f>
        <v>7181.9178082191784</v>
      </c>
      <c r="H23" s="14">
        <f t="shared" si="18"/>
        <v>5984.9315068493152</v>
      </c>
      <c r="I23" s="14">
        <f t="shared" si="18"/>
        <v>71819.178082191778</v>
      </c>
      <c r="J23" s="14">
        <f t="shared" si="18"/>
        <v>71819.178082191778</v>
      </c>
      <c r="K23" s="14">
        <f t="shared" si="18"/>
        <v>71819.178082191778</v>
      </c>
      <c r="L23" s="14">
        <f t="shared" si="18"/>
        <v>71819.178082191778</v>
      </c>
      <c r="M23" s="14">
        <f t="shared" si="18"/>
        <v>71819.178082191778</v>
      </c>
      <c r="N23" s="14">
        <f t="shared" si="18"/>
        <v>71819.178082191778</v>
      </c>
      <c r="O23" s="15">
        <f t="shared" si="18"/>
        <v>71819.178082191778</v>
      </c>
      <c r="P23" s="16">
        <f t="shared" si="18"/>
        <v>71819.178082191778</v>
      </c>
      <c r="Q23" s="16">
        <f t="shared" si="18"/>
        <v>71819.178082191778</v>
      </c>
      <c r="R23" s="16">
        <f t="shared" si="18"/>
        <v>71819.178082191778</v>
      </c>
      <c r="S23" s="16">
        <f t="shared" si="18"/>
        <v>71819.178082191778</v>
      </c>
      <c r="T23" s="16">
        <f t="shared" si="18"/>
        <v>71819.178082191778</v>
      </c>
      <c r="U23" s="16">
        <f t="shared" si="18"/>
        <v>71819.178082191778</v>
      </c>
      <c r="V23" s="16">
        <f t="shared" si="18"/>
        <v>71819.178082191778</v>
      </c>
      <c r="W23" s="16">
        <f t="shared" si="18"/>
        <v>71819.178082191778</v>
      </c>
      <c r="X23" s="16">
        <f t="shared" si="18"/>
        <v>71819.178082191778</v>
      </c>
      <c r="Y23" s="16">
        <f t="shared" si="18"/>
        <v>71819.178082191778</v>
      </c>
      <c r="Z23" s="16">
        <f t="shared" si="18"/>
        <v>71819.178082191778</v>
      </c>
      <c r="AA23" s="16">
        <f t="shared" si="18"/>
        <v>71819.178082191778</v>
      </c>
      <c r="AB23" s="16">
        <f t="shared" si="18"/>
        <v>71819.178082191778</v>
      </c>
    </row>
    <row r="24" spans="1:28" ht="15.75" customHeight="1" x14ac:dyDescent="0.3">
      <c r="A24" s="12">
        <f>RAW!$A$22</f>
        <v>52428400</v>
      </c>
      <c r="B24" s="2"/>
      <c r="C24" s="17" t="s">
        <v>35</v>
      </c>
      <c r="D24" s="14">
        <f t="shared" si="2"/>
        <v>143639.45205479453</v>
      </c>
      <c r="E24" s="2"/>
      <c r="F24" s="17" t="s">
        <v>35</v>
      </c>
      <c r="G24" s="14">
        <f t="shared" ref="G24:AB24" si="19">($A24/G$5)/365</f>
        <v>14363.945205479453</v>
      </c>
      <c r="H24" s="14">
        <f t="shared" si="19"/>
        <v>11969.954337899542</v>
      </c>
      <c r="I24" s="14">
        <f t="shared" si="19"/>
        <v>143639.45205479453</v>
      </c>
      <c r="J24" s="14">
        <f t="shared" si="19"/>
        <v>143639.45205479453</v>
      </c>
      <c r="K24" s="14">
        <f t="shared" si="19"/>
        <v>143639.45205479453</v>
      </c>
      <c r="L24" s="14">
        <f t="shared" si="19"/>
        <v>143639.45205479453</v>
      </c>
      <c r="M24" s="14">
        <f t="shared" si="19"/>
        <v>143639.45205479453</v>
      </c>
      <c r="N24" s="14">
        <f t="shared" si="19"/>
        <v>143639.45205479453</v>
      </c>
      <c r="O24" s="15">
        <f t="shared" si="19"/>
        <v>143639.45205479453</v>
      </c>
      <c r="P24" s="16">
        <f t="shared" si="19"/>
        <v>143639.45205479453</v>
      </c>
      <c r="Q24" s="16">
        <f t="shared" si="19"/>
        <v>143639.45205479453</v>
      </c>
      <c r="R24" s="16">
        <f t="shared" si="19"/>
        <v>143639.45205479453</v>
      </c>
      <c r="S24" s="16">
        <f t="shared" si="19"/>
        <v>143639.45205479453</v>
      </c>
      <c r="T24" s="16">
        <f t="shared" si="19"/>
        <v>143639.45205479453</v>
      </c>
      <c r="U24" s="16">
        <f t="shared" si="19"/>
        <v>143639.45205479453</v>
      </c>
      <c r="V24" s="16">
        <f t="shared" si="19"/>
        <v>143639.45205479453</v>
      </c>
      <c r="W24" s="16">
        <f t="shared" si="19"/>
        <v>143639.45205479453</v>
      </c>
      <c r="X24" s="16">
        <f t="shared" si="19"/>
        <v>143639.45205479453</v>
      </c>
      <c r="Y24" s="16">
        <f t="shared" si="19"/>
        <v>143639.45205479453</v>
      </c>
      <c r="Z24" s="16">
        <f t="shared" si="19"/>
        <v>143639.45205479453</v>
      </c>
      <c r="AA24" s="16">
        <f t="shared" si="19"/>
        <v>143639.45205479453</v>
      </c>
      <c r="AB24" s="16">
        <f t="shared" si="19"/>
        <v>143639.45205479453</v>
      </c>
    </row>
    <row r="25" spans="1:28" ht="15.75" customHeight="1" x14ac:dyDescent="0.3">
      <c r="A25" s="3"/>
      <c r="B25" s="2"/>
      <c r="C25" s="29"/>
      <c r="D25" s="30"/>
      <c r="E25" s="2"/>
      <c r="F25" s="3"/>
      <c r="G25" s="31" t="s">
        <v>36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28" ht="15.75" customHeight="1" x14ac:dyDescent="0.3">
      <c r="A26" s="19" t="s">
        <v>37</v>
      </c>
      <c r="B26" s="2"/>
      <c r="C26" s="10" t="s">
        <v>9</v>
      </c>
      <c r="D26" s="10" t="s">
        <v>10</v>
      </c>
      <c r="E26" s="2"/>
      <c r="F26" s="20" t="s">
        <v>9</v>
      </c>
      <c r="G26" s="11" t="str">
        <f t="shared" ref="G26:AB26" si="20">G7</f>
        <v>Akemi</v>
      </c>
      <c r="H26" s="11" t="str">
        <f t="shared" si="20"/>
        <v>Jonem</v>
      </c>
      <c r="I26" s="11">
        <f t="shared" si="20"/>
        <v>0</v>
      </c>
      <c r="J26" s="11">
        <f t="shared" si="20"/>
        <v>0</v>
      </c>
      <c r="K26" s="11">
        <f t="shared" si="20"/>
        <v>0</v>
      </c>
      <c r="L26" s="11">
        <f t="shared" si="20"/>
        <v>0</v>
      </c>
      <c r="M26" s="11">
        <f t="shared" si="20"/>
        <v>0</v>
      </c>
      <c r="N26" s="11">
        <f t="shared" si="20"/>
        <v>0</v>
      </c>
      <c r="O26" s="11">
        <f t="shared" si="20"/>
        <v>0</v>
      </c>
      <c r="P26" s="11">
        <f t="shared" si="20"/>
        <v>0</v>
      </c>
      <c r="Q26" s="11">
        <f t="shared" si="20"/>
        <v>0</v>
      </c>
      <c r="R26" s="11">
        <f t="shared" si="20"/>
        <v>0</v>
      </c>
      <c r="S26" s="11">
        <f t="shared" si="20"/>
        <v>0</v>
      </c>
      <c r="T26" s="11">
        <f t="shared" si="20"/>
        <v>0</v>
      </c>
      <c r="U26" s="11">
        <f t="shared" si="20"/>
        <v>0</v>
      </c>
      <c r="V26" s="11">
        <f t="shared" si="20"/>
        <v>0</v>
      </c>
      <c r="W26" s="11">
        <f t="shared" si="20"/>
        <v>0</v>
      </c>
      <c r="X26" s="11">
        <f t="shared" si="20"/>
        <v>0</v>
      </c>
      <c r="Y26" s="11">
        <f t="shared" si="20"/>
        <v>0</v>
      </c>
      <c r="Z26" s="11">
        <f t="shared" si="20"/>
        <v>0</v>
      </c>
      <c r="AA26" s="11">
        <f t="shared" si="20"/>
        <v>0</v>
      </c>
      <c r="AB26" s="11">
        <f t="shared" si="20"/>
        <v>0</v>
      </c>
    </row>
    <row r="27" spans="1:28" ht="15.75" customHeight="1" x14ac:dyDescent="0.3">
      <c r="A27" s="12">
        <f>RAW!$A$6</f>
        <v>400</v>
      </c>
      <c r="B27" s="2"/>
      <c r="C27" s="21" t="s">
        <v>19</v>
      </c>
      <c r="D27" s="22">
        <f t="shared" ref="D27:D43" si="21">$A27/D$5</f>
        <v>400</v>
      </c>
      <c r="E27" s="2"/>
      <c r="F27" s="21" t="s">
        <v>19</v>
      </c>
      <c r="G27" s="23">
        <f t="shared" ref="G27:AB27" si="22">$A27/G$5</f>
        <v>40</v>
      </c>
      <c r="H27" s="23">
        <f t="shared" si="22"/>
        <v>33.333333333333336</v>
      </c>
      <c r="I27" s="23">
        <f t="shared" si="22"/>
        <v>400</v>
      </c>
      <c r="J27" s="23">
        <f t="shared" si="22"/>
        <v>400</v>
      </c>
      <c r="K27" s="23">
        <f t="shared" si="22"/>
        <v>400</v>
      </c>
      <c r="L27" s="23">
        <f t="shared" si="22"/>
        <v>400</v>
      </c>
      <c r="M27" s="23">
        <f t="shared" si="22"/>
        <v>400</v>
      </c>
      <c r="N27" s="23">
        <f t="shared" si="22"/>
        <v>400</v>
      </c>
      <c r="O27" s="23">
        <f t="shared" si="22"/>
        <v>400</v>
      </c>
      <c r="P27" s="23">
        <f t="shared" si="22"/>
        <v>400</v>
      </c>
      <c r="Q27" s="23">
        <f t="shared" si="22"/>
        <v>400</v>
      </c>
      <c r="R27" s="23">
        <f t="shared" si="22"/>
        <v>400</v>
      </c>
      <c r="S27" s="23">
        <f t="shared" si="22"/>
        <v>400</v>
      </c>
      <c r="T27" s="23">
        <f t="shared" si="22"/>
        <v>400</v>
      </c>
      <c r="U27" s="23">
        <f t="shared" si="22"/>
        <v>400</v>
      </c>
      <c r="V27" s="23">
        <f t="shared" si="22"/>
        <v>400</v>
      </c>
      <c r="W27" s="23">
        <f t="shared" si="22"/>
        <v>400</v>
      </c>
      <c r="X27" s="23">
        <f t="shared" si="22"/>
        <v>400</v>
      </c>
      <c r="Y27" s="23">
        <f t="shared" si="22"/>
        <v>400</v>
      </c>
      <c r="Z27" s="23">
        <f t="shared" si="22"/>
        <v>400</v>
      </c>
      <c r="AA27" s="23">
        <f t="shared" si="22"/>
        <v>400</v>
      </c>
      <c r="AB27" s="23">
        <f t="shared" si="22"/>
        <v>400</v>
      </c>
    </row>
    <row r="28" spans="1:28" ht="15.75" customHeight="1" x14ac:dyDescent="0.3">
      <c r="A28" s="12">
        <f>RAW!$A$7</f>
        <v>1200</v>
      </c>
      <c r="B28" s="2"/>
      <c r="C28" s="24" t="s">
        <v>20</v>
      </c>
      <c r="D28" s="23">
        <f t="shared" si="21"/>
        <v>1200</v>
      </c>
      <c r="E28" s="2"/>
      <c r="F28" s="24" t="s">
        <v>20</v>
      </c>
      <c r="G28" s="23">
        <f t="shared" ref="G28:AB28" si="23">$A28/G$5</f>
        <v>120</v>
      </c>
      <c r="H28" s="23">
        <f t="shared" si="23"/>
        <v>100</v>
      </c>
      <c r="I28" s="23">
        <f t="shared" si="23"/>
        <v>1200</v>
      </c>
      <c r="J28" s="23">
        <f t="shared" si="23"/>
        <v>1200</v>
      </c>
      <c r="K28" s="23">
        <f t="shared" si="23"/>
        <v>1200</v>
      </c>
      <c r="L28" s="23">
        <f t="shared" si="23"/>
        <v>1200</v>
      </c>
      <c r="M28" s="23">
        <f t="shared" si="23"/>
        <v>1200</v>
      </c>
      <c r="N28" s="23">
        <f t="shared" si="23"/>
        <v>1200</v>
      </c>
      <c r="O28" s="23">
        <f t="shared" si="23"/>
        <v>1200</v>
      </c>
      <c r="P28" s="23">
        <f t="shared" si="23"/>
        <v>1200</v>
      </c>
      <c r="Q28" s="23">
        <f t="shared" si="23"/>
        <v>1200</v>
      </c>
      <c r="R28" s="23">
        <f t="shared" si="23"/>
        <v>1200</v>
      </c>
      <c r="S28" s="23">
        <f t="shared" si="23"/>
        <v>1200</v>
      </c>
      <c r="T28" s="23">
        <f t="shared" si="23"/>
        <v>1200</v>
      </c>
      <c r="U28" s="23">
        <f t="shared" si="23"/>
        <v>1200</v>
      </c>
      <c r="V28" s="23">
        <f t="shared" si="23"/>
        <v>1200</v>
      </c>
      <c r="W28" s="23">
        <f t="shared" si="23"/>
        <v>1200</v>
      </c>
      <c r="X28" s="23">
        <f t="shared" si="23"/>
        <v>1200</v>
      </c>
      <c r="Y28" s="23">
        <f t="shared" si="23"/>
        <v>1200</v>
      </c>
      <c r="Z28" s="23">
        <f t="shared" si="23"/>
        <v>1200</v>
      </c>
      <c r="AA28" s="23">
        <f t="shared" si="23"/>
        <v>1200</v>
      </c>
      <c r="AB28" s="23">
        <f t="shared" si="23"/>
        <v>1200</v>
      </c>
    </row>
    <row r="29" spans="1:28" ht="15.75" customHeight="1" x14ac:dyDescent="0.3">
      <c r="A29" s="12">
        <f>RAW!$A$8</f>
        <v>2800</v>
      </c>
      <c r="B29" s="2"/>
      <c r="C29" s="24" t="s">
        <v>21</v>
      </c>
      <c r="D29" s="23">
        <f t="shared" si="21"/>
        <v>2800</v>
      </c>
      <c r="E29" s="2"/>
      <c r="F29" s="24" t="s">
        <v>21</v>
      </c>
      <c r="G29" s="23">
        <f t="shared" ref="G29:AB29" si="24">$A29/G$5</f>
        <v>280</v>
      </c>
      <c r="H29" s="23">
        <f t="shared" si="24"/>
        <v>233.33333333333334</v>
      </c>
      <c r="I29" s="23">
        <f t="shared" si="24"/>
        <v>2800</v>
      </c>
      <c r="J29" s="23">
        <f t="shared" si="24"/>
        <v>2800</v>
      </c>
      <c r="K29" s="23">
        <f t="shared" si="24"/>
        <v>2800</v>
      </c>
      <c r="L29" s="23">
        <f t="shared" si="24"/>
        <v>2800</v>
      </c>
      <c r="M29" s="23">
        <f t="shared" si="24"/>
        <v>2800</v>
      </c>
      <c r="N29" s="23">
        <f t="shared" si="24"/>
        <v>2800</v>
      </c>
      <c r="O29" s="23">
        <f t="shared" si="24"/>
        <v>2800</v>
      </c>
      <c r="P29" s="23">
        <f t="shared" si="24"/>
        <v>2800</v>
      </c>
      <c r="Q29" s="23">
        <f t="shared" si="24"/>
        <v>2800</v>
      </c>
      <c r="R29" s="23">
        <f t="shared" si="24"/>
        <v>2800</v>
      </c>
      <c r="S29" s="23">
        <f t="shared" si="24"/>
        <v>2800</v>
      </c>
      <c r="T29" s="23">
        <f t="shared" si="24"/>
        <v>2800</v>
      </c>
      <c r="U29" s="23">
        <f t="shared" si="24"/>
        <v>2800</v>
      </c>
      <c r="V29" s="23">
        <f t="shared" si="24"/>
        <v>2800</v>
      </c>
      <c r="W29" s="23">
        <f t="shared" si="24"/>
        <v>2800</v>
      </c>
      <c r="X29" s="23">
        <f t="shared" si="24"/>
        <v>2800</v>
      </c>
      <c r="Y29" s="23">
        <f t="shared" si="24"/>
        <v>2800</v>
      </c>
      <c r="Z29" s="23">
        <f t="shared" si="24"/>
        <v>2800</v>
      </c>
      <c r="AA29" s="23">
        <f t="shared" si="24"/>
        <v>2800</v>
      </c>
      <c r="AB29" s="23">
        <f t="shared" si="24"/>
        <v>2800</v>
      </c>
    </row>
    <row r="30" spans="1:28" ht="15.75" customHeight="1" x14ac:dyDescent="0.3">
      <c r="A30" s="12">
        <f>RAW!$A$9</f>
        <v>6000</v>
      </c>
      <c r="B30" s="2"/>
      <c r="C30" s="24" t="s">
        <v>22</v>
      </c>
      <c r="D30" s="23">
        <f t="shared" si="21"/>
        <v>6000</v>
      </c>
      <c r="E30" s="2"/>
      <c r="F30" s="24" t="s">
        <v>22</v>
      </c>
      <c r="G30" s="23">
        <f t="shared" ref="G30:AB30" si="25">$A30/G$5</f>
        <v>600</v>
      </c>
      <c r="H30" s="23">
        <f t="shared" si="25"/>
        <v>500</v>
      </c>
      <c r="I30" s="23">
        <f t="shared" si="25"/>
        <v>6000</v>
      </c>
      <c r="J30" s="23">
        <f t="shared" si="25"/>
        <v>6000</v>
      </c>
      <c r="K30" s="23">
        <f t="shared" si="25"/>
        <v>6000</v>
      </c>
      <c r="L30" s="23">
        <f t="shared" si="25"/>
        <v>6000</v>
      </c>
      <c r="M30" s="23">
        <f t="shared" si="25"/>
        <v>6000</v>
      </c>
      <c r="N30" s="23">
        <f t="shared" si="25"/>
        <v>6000</v>
      </c>
      <c r="O30" s="23">
        <f t="shared" si="25"/>
        <v>6000</v>
      </c>
      <c r="P30" s="23">
        <f t="shared" si="25"/>
        <v>6000</v>
      </c>
      <c r="Q30" s="23">
        <f t="shared" si="25"/>
        <v>6000</v>
      </c>
      <c r="R30" s="23">
        <f t="shared" si="25"/>
        <v>6000</v>
      </c>
      <c r="S30" s="23">
        <f t="shared" si="25"/>
        <v>6000</v>
      </c>
      <c r="T30" s="23">
        <f t="shared" si="25"/>
        <v>6000</v>
      </c>
      <c r="U30" s="23">
        <f t="shared" si="25"/>
        <v>6000</v>
      </c>
      <c r="V30" s="23">
        <f t="shared" si="25"/>
        <v>6000</v>
      </c>
      <c r="W30" s="23">
        <f t="shared" si="25"/>
        <v>6000</v>
      </c>
      <c r="X30" s="23">
        <f t="shared" si="25"/>
        <v>6000</v>
      </c>
      <c r="Y30" s="23">
        <f t="shared" si="25"/>
        <v>6000</v>
      </c>
      <c r="Z30" s="23">
        <f t="shared" si="25"/>
        <v>6000</v>
      </c>
      <c r="AA30" s="23">
        <f t="shared" si="25"/>
        <v>6000</v>
      </c>
      <c r="AB30" s="23">
        <f t="shared" si="25"/>
        <v>6000</v>
      </c>
    </row>
    <row r="31" spans="1:28" ht="15.75" customHeight="1" x14ac:dyDescent="0.3">
      <c r="A31" s="12">
        <f>RAW!$A$10</f>
        <v>12400</v>
      </c>
      <c r="B31" s="2"/>
      <c r="C31" s="24" t="s">
        <v>23</v>
      </c>
      <c r="D31" s="23">
        <f t="shared" si="21"/>
        <v>12400</v>
      </c>
      <c r="E31" s="2"/>
      <c r="F31" s="24" t="s">
        <v>23</v>
      </c>
      <c r="G31" s="23">
        <f t="shared" ref="G31:AB31" si="26">$A31/G$5</f>
        <v>1240</v>
      </c>
      <c r="H31" s="23">
        <f t="shared" si="26"/>
        <v>1033.3333333333333</v>
      </c>
      <c r="I31" s="23">
        <f t="shared" si="26"/>
        <v>12400</v>
      </c>
      <c r="J31" s="23">
        <f t="shared" si="26"/>
        <v>12400</v>
      </c>
      <c r="K31" s="23">
        <f t="shared" si="26"/>
        <v>12400</v>
      </c>
      <c r="L31" s="23">
        <f t="shared" si="26"/>
        <v>12400</v>
      </c>
      <c r="M31" s="23">
        <f t="shared" si="26"/>
        <v>12400</v>
      </c>
      <c r="N31" s="23">
        <f t="shared" si="26"/>
        <v>12400</v>
      </c>
      <c r="O31" s="23">
        <f t="shared" si="26"/>
        <v>12400</v>
      </c>
      <c r="P31" s="23">
        <f t="shared" si="26"/>
        <v>12400</v>
      </c>
      <c r="Q31" s="23">
        <f t="shared" si="26"/>
        <v>12400</v>
      </c>
      <c r="R31" s="23">
        <f t="shared" si="26"/>
        <v>12400</v>
      </c>
      <c r="S31" s="23">
        <f t="shared" si="26"/>
        <v>12400</v>
      </c>
      <c r="T31" s="23">
        <f t="shared" si="26"/>
        <v>12400</v>
      </c>
      <c r="U31" s="23">
        <f t="shared" si="26"/>
        <v>12400</v>
      </c>
      <c r="V31" s="23">
        <f t="shared" si="26"/>
        <v>12400</v>
      </c>
      <c r="W31" s="23">
        <f t="shared" si="26"/>
        <v>12400</v>
      </c>
      <c r="X31" s="23">
        <f t="shared" si="26"/>
        <v>12400</v>
      </c>
      <c r="Y31" s="23">
        <f t="shared" si="26"/>
        <v>12400</v>
      </c>
      <c r="Z31" s="23">
        <f t="shared" si="26"/>
        <v>12400</v>
      </c>
      <c r="AA31" s="23">
        <f t="shared" si="26"/>
        <v>12400</v>
      </c>
      <c r="AB31" s="23">
        <f t="shared" si="26"/>
        <v>12400</v>
      </c>
    </row>
    <row r="32" spans="1:28" ht="15.75" customHeight="1" x14ac:dyDescent="0.3">
      <c r="A32" s="12">
        <f>RAW!$A$11</f>
        <v>25200</v>
      </c>
      <c r="B32" s="2"/>
      <c r="C32" s="24" t="s">
        <v>24</v>
      </c>
      <c r="D32" s="23">
        <f t="shared" si="21"/>
        <v>25200</v>
      </c>
      <c r="E32" s="2"/>
      <c r="F32" s="24" t="s">
        <v>24</v>
      </c>
      <c r="G32" s="23">
        <f t="shared" ref="G32:AB32" si="27">$A32/G$5</f>
        <v>2520</v>
      </c>
      <c r="H32" s="23">
        <f t="shared" si="27"/>
        <v>2100</v>
      </c>
      <c r="I32" s="23">
        <f t="shared" si="27"/>
        <v>25200</v>
      </c>
      <c r="J32" s="23">
        <f t="shared" si="27"/>
        <v>25200</v>
      </c>
      <c r="K32" s="23">
        <f t="shared" si="27"/>
        <v>25200</v>
      </c>
      <c r="L32" s="23">
        <f t="shared" si="27"/>
        <v>25200</v>
      </c>
      <c r="M32" s="23">
        <f t="shared" si="27"/>
        <v>25200</v>
      </c>
      <c r="N32" s="23">
        <f t="shared" si="27"/>
        <v>25200</v>
      </c>
      <c r="O32" s="23">
        <f t="shared" si="27"/>
        <v>25200</v>
      </c>
      <c r="P32" s="23">
        <f t="shared" si="27"/>
        <v>25200</v>
      </c>
      <c r="Q32" s="23">
        <f t="shared" si="27"/>
        <v>25200</v>
      </c>
      <c r="R32" s="23">
        <f t="shared" si="27"/>
        <v>25200</v>
      </c>
      <c r="S32" s="23">
        <f t="shared" si="27"/>
        <v>25200</v>
      </c>
      <c r="T32" s="23">
        <f t="shared" si="27"/>
        <v>25200</v>
      </c>
      <c r="U32" s="23">
        <f t="shared" si="27"/>
        <v>25200</v>
      </c>
      <c r="V32" s="23">
        <f t="shared" si="27"/>
        <v>25200</v>
      </c>
      <c r="W32" s="23">
        <f t="shared" si="27"/>
        <v>25200</v>
      </c>
      <c r="X32" s="23">
        <f t="shared" si="27"/>
        <v>25200</v>
      </c>
      <c r="Y32" s="23">
        <f t="shared" si="27"/>
        <v>25200</v>
      </c>
      <c r="Z32" s="23">
        <f t="shared" si="27"/>
        <v>25200</v>
      </c>
      <c r="AA32" s="23">
        <f t="shared" si="27"/>
        <v>25200</v>
      </c>
      <c r="AB32" s="23">
        <f t="shared" si="27"/>
        <v>25200</v>
      </c>
    </row>
    <row r="33" spans="1:28" ht="15.75" customHeight="1" x14ac:dyDescent="0.3">
      <c r="A33" s="12">
        <f>RAW!$A$12</f>
        <v>50800</v>
      </c>
      <c r="B33" s="2"/>
      <c r="C33" s="24" t="s">
        <v>25</v>
      </c>
      <c r="D33" s="23">
        <f t="shared" si="21"/>
        <v>50800</v>
      </c>
      <c r="E33" s="2"/>
      <c r="F33" s="24" t="s">
        <v>25</v>
      </c>
      <c r="G33" s="23">
        <f t="shared" ref="G33:AB33" si="28">$A33/G$5</f>
        <v>5080</v>
      </c>
      <c r="H33" s="23">
        <f t="shared" si="28"/>
        <v>4233.333333333333</v>
      </c>
      <c r="I33" s="23">
        <f t="shared" si="28"/>
        <v>50800</v>
      </c>
      <c r="J33" s="23">
        <f t="shared" si="28"/>
        <v>50800</v>
      </c>
      <c r="K33" s="23">
        <f t="shared" si="28"/>
        <v>50800</v>
      </c>
      <c r="L33" s="23">
        <f t="shared" si="28"/>
        <v>50800</v>
      </c>
      <c r="M33" s="23">
        <f t="shared" si="28"/>
        <v>50800</v>
      </c>
      <c r="N33" s="23">
        <f t="shared" si="28"/>
        <v>50800</v>
      </c>
      <c r="O33" s="23">
        <f t="shared" si="28"/>
        <v>50800</v>
      </c>
      <c r="P33" s="23">
        <f t="shared" si="28"/>
        <v>50800</v>
      </c>
      <c r="Q33" s="23">
        <f t="shared" si="28"/>
        <v>50800</v>
      </c>
      <c r="R33" s="23">
        <f t="shared" si="28"/>
        <v>50800</v>
      </c>
      <c r="S33" s="23">
        <f t="shared" si="28"/>
        <v>50800</v>
      </c>
      <c r="T33" s="23">
        <f t="shared" si="28"/>
        <v>50800</v>
      </c>
      <c r="U33" s="23">
        <f t="shared" si="28"/>
        <v>50800</v>
      </c>
      <c r="V33" s="23">
        <f t="shared" si="28"/>
        <v>50800</v>
      </c>
      <c r="W33" s="23">
        <f t="shared" si="28"/>
        <v>50800</v>
      </c>
      <c r="X33" s="23">
        <f t="shared" si="28"/>
        <v>50800</v>
      </c>
      <c r="Y33" s="23">
        <f t="shared" si="28"/>
        <v>50800</v>
      </c>
      <c r="Z33" s="23">
        <f t="shared" si="28"/>
        <v>50800</v>
      </c>
      <c r="AA33" s="23">
        <f t="shared" si="28"/>
        <v>50800</v>
      </c>
      <c r="AB33" s="23">
        <f t="shared" si="28"/>
        <v>50800</v>
      </c>
    </row>
    <row r="34" spans="1:28" ht="15.75" customHeight="1" x14ac:dyDescent="0.3">
      <c r="A34" s="12">
        <f>RAW!$A$13</f>
        <v>102000</v>
      </c>
      <c r="B34" s="2"/>
      <c r="C34" s="24" t="s">
        <v>26</v>
      </c>
      <c r="D34" s="23">
        <f t="shared" si="21"/>
        <v>102000</v>
      </c>
      <c r="E34" s="2"/>
      <c r="F34" s="24" t="s">
        <v>26</v>
      </c>
      <c r="G34" s="23">
        <f t="shared" ref="G34:AB34" si="29">$A34/G$5</f>
        <v>10200</v>
      </c>
      <c r="H34" s="23">
        <f t="shared" si="29"/>
        <v>8500</v>
      </c>
      <c r="I34" s="23">
        <f t="shared" si="29"/>
        <v>102000</v>
      </c>
      <c r="J34" s="23">
        <f t="shared" si="29"/>
        <v>102000</v>
      </c>
      <c r="K34" s="23">
        <f t="shared" si="29"/>
        <v>102000</v>
      </c>
      <c r="L34" s="23">
        <f t="shared" si="29"/>
        <v>102000</v>
      </c>
      <c r="M34" s="23">
        <f t="shared" si="29"/>
        <v>102000</v>
      </c>
      <c r="N34" s="23">
        <f t="shared" si="29"/>
        <v>102000</v>
      </c>
      <c r="O34" s="23">
        <f t="shared" si="29"/>
        <v>102000</v>
      </c>
      <c r="P34" s="23">
        <f t="shared" si="29"/>
        <v>102000</v>
      </c>
      <c r="Q34" s="23">
        <f t="shared" si="29"/>
        <v>102000</v>
      </c>
      <c r="R34" s="23">
        <f t="shared" si="29"/>
        <v>102000</v>
      </c>
      <c r="S34" s="23">
        <f t="shared" si="29"/>
        <v>102000</v>
      </c>
      <c r="T34" s="23">
        <f t="shared" si="29"/>
        <v>102000</v>
      </c>
      <c r="U34" s="23">
        <f t="shared" si="29"/>
        <v>102000</v>
      </c>
      <c r="V34" s="23">
        <f t="shared" si="29"/>
        <v>102000</v>
      </c>
      <c r="W34" s="23">
        <f t="shared" si="29"/>
        <v>102000</v>
      </c>
      <c r="X34" s="23">
        <f t="shared" si="29"/>
        <v>102000</v>
      </c>
      <c r="Y34" s="23">
        <f t="shared" si="29"/>
        <v>102000</v>
      </c>
      <c r="Z34" s="23">
        <f t="shared" si="29"/>
        <v>102000</v>
      </c>
      <c r="AA34" s="23">
        <f t="shared" si="29"/>
        <v>102000</v>
      </c>
      <c r="AB34" s="23">
        <f t="shared" si="29"/>
        <v>102000</v>
      </c>
    </row>
    <row r="35" spans="1:28" ht="15.75" customHeight="1" x14ac:dyDescent="0.3">
      <c r="A35" s="12">
        <f>RAW!$A$14</f>
        <v>204400</v>
      </c>
      <c r="B35" s="2"/>
      <c r="C35" s="24" t="s">
        <v>27</v>
      </c>
      <c r="D35" s="23">
        <f t="shared" si="21"/>
        <v>204400</v>
      </c>
      <c r="E35" s="2"/>
      <c r="F35" s="24" t="s">
        <v>27</v>
      </c>
      <c r="G35" s="23">
        <f t="shared" ref="G35:AB35" si="30">$A35/G$5</f>
        <v>20440</v>
      </c>
      <c r="H35" s="23">
        <f t="shared" si="30"/>
        <v>17033.333333333332</v>
      </c>
      <c r="I35" s="23">
        <f t="shared" si="30"/>
        <v>204400</v>
      </c>
      <c r="J35" s="23">
        <f t="shared" si="30"/>
        <v>204400</v>
      </c>
      <c r="K35" s="23">
        <f t="shared" si="30"/>
        <v>204400</v>
      </c>
      <c r="L35" s="23">
        <f t="shared" si="30"/>
        <v>204400</v>
      </c>
      <c r="M35" s="23">
        <f t="shared" si="30"/>
        <v>204400</v>
      </c>
      <c r="N35" s="23">
        <f t="shared" si="30"/>
        <v>204400</v>
      </c>
      <c r="O35" s="23">
        <f t="shared" si="30"/>
        <v>204400</v>
      </c>
      <c r="P35" s="23">
        <f t="shared" si="30"/>
        <v>204400</v>
      </c>
      <c r="Q35" s="23">
        <f t="shared" si="30"/>
        <v>204400</v>
      </c>
      <c r="R35" s="23">
        <f t="shared" si="30"/>
        <v>204400</v>
      </c>
      <c r="S35" s="23">
        <f t="shared" si="30"/>
        <v>204400</v>
      </c>
      <c r="T35" s="23">
        <f t="shared" si="30"/>
        <v>204400</v>
      </c>
      <c r="U35" s="23">
        <f t="shared" si="30"/>
        <v>204400</v>
      </c>
      <c r="V35" s="23">
        <f t="shared" si="30"/>
        <v>204400</v>
      </c>
      <c r="W35" s="23">
        <f t="shared" si="30"/>
        <v>204400</v>
      </c>
      <c r="X35" s="23">
        <f t="shared" si="30"/>
        <v>204400</v>
      </c>
      <c r="Y35" s="23">
        <f t="shared" si="30"/>
        <v>204400</v>
      </c>
      <c r="Z35" s="23">
        <f t="shared" si="30"/>
        <v>204400</v>
      </c>
      <c r="AA35" s="23">
        <f t="shared" si="30"/>
        <v>204400</v>
      </c>
      <c r="AB35" s="23">
        <f t="shared" si="30"/>
        <v>204400</v>
      </c>
    </row>
    <row r="36" spans="1:28" ht="15.75" customHeight="1" x14ac:dyDescent="0.3">
      <c r="A36" s="12">
        <f>RAW!$A$15</f>
        <v>409200</v>
      </c>
      <c r="B36" s="2"/>
      <c r="C36" s="24" t="s">
        <v>28</v>
      </c>
      <c r="D36" s="23">
        <f t="shared" si="21"/>
        <v>409200</v>
      </c>
      <c r="E36" s="2"/>
      <c r="F36" s="24" t="s">
        <v>28</v>
      </c>
      <c r="G36" s="23">
        <f t="shared" ref="G36:AB36" si="31">$A36/G$5</f>
        <v>40920</v>
      </c>
      <c r="H36" s="23">
        <f t="shared" si="31"/>
        <v>34100</v>
      </c>
      <c r="I36" s="23">
        <f t="shared" si="31"/>
        <v>409200</v>
      </c>
      <c r="J36" s="23">
        <f t="shared" si="31"/>
        <v>409200</v>
      </c>
      <c r="K36" s="23">
        <f t="shared" si="31"/>
        <v>409200</v>
      </c>
      <c r="L36" s="23">
        <f t="shared" si="31"/>
        <v>409200</v>
      </c>
      <c r="M36" s="23">
        <f t="shared" si="31"/>
        <v>409200</v>
      </c>
      <c r="N36" s="23">
        <f t="shared" si="31"/>
        <v>409200</v>
      </c>
      <c r="O36" s="23">
        <f t="shared" si="31"/>
        <v>409200</v>
      </c>
      <c r="P36" s="23">
        <f t="shared" si="31"/>
        <v>409200</v>
      </c>
      <c r="Q36" s="23">
        <f t="shared" si="31"/>
        <v>409200</v>
      </c>
      <c r="R36" s="23">
        <f t="shared" si="31"/>
        <v>409200</v>
      </c>
      <c r="S36" s="23">
        <f t="shared" si="31"/>
        <v>409200</v>
      </c>
      <c r="T36" s="23">
        <f t="shared" si="31"/>
        <v>409200</v>
      </c>
      <c r="U36" s="23">
        <f t="shared" si="31"/>
        <v>409200</v>
      </c>
      <c r="V36" s="23">
        <f t="shared" si="31"/>
        <v>409200</v>
      </c>
      <c r="W36" s="23">
        <f t="shared" si="31"/>
        <v>409200</v>
      </c>
      <c r="X36" s="23">
        <f t="shared" si="31"/>
        <v>409200</v>
      </c>
      <c r="Y36" s="23">
        <f t="shared" si="31"/>
        <v>409200</v>
      </c>
      <c r="Z36" s="23">
        <f t="shared" si="31"/>
        <v>409200</v>
      </c>
      <c r="AA36" s="23">
        <f t="shared" si="31"/>
        <v>409200</v>
      </c>
      <c r="AB36" s="23">
        <f t="shared" si="31"/>
        <v>409200</v>
      </c>
    </row>
    <row r="37" spans="1:28" ht="15.75" customHeight="1" x14ac:dyDescent="0.3">
      <c r="A37" s="12">
        <f>RAW!$A$16</f>
        <v>818800</v>
      </c>
      <c r="B37" s="2"/>
      <c r="C37" s="24" t="s">
        <v>29</v>
      </c>
      <c r="D37" s="23">
        <f t="shared" si="21"/>
        <v>818800</v>
      </c>
      <c r="E37" s="2"/>
      <c r="F37" s="24" t="s">
        <v>29</v>
      </c>
      <c r="G37" s="23">
        <f t="shared" ref="G37:AB37" si="32">$A37/G$5</f>
        <v>81880</v>
      </c>
      <c r="H37" s="23">
        <f t="shared" si="32"/>
        <v>68233.333333333328</v>
      </c>
      <c r="I37" s="23">
        <f t="shared" si="32"/>
        <v>818800</v>
      </c>
      <c r="J37" s="23">
        <f t="shared" si="32"/>
        <v>818800</v>
      </c>
      <c r="K37" s="23">
        <f t="shared" si="32"/>
        <v>818800</v>
      </c>
      <c r="L37" s="23">
        <f t="shared" si="32"/>
        <v>818800</v>
      </c>
      <c r="M37" s="23">
        <f t="shared" si="32"/>
        <v>818800</v>
      </c>
      <c r="N37" s="23">
        <f t="shared" si="32"/>
        <v>818800</v>
      </c>
      <c r="O37" s="23">
        <f t="shared" si="32"/>
        <v>818800</v>
      </c>
      <c r="P37" s="23">
        <f t="shared" si="32"/>
        <v>818800</v>
      </c>
      <c r="Q37" s="23">
        <f t="shared" si="32"/>
        <v>818800</v>
      </c>
      <c r="R37" s="23">
        <f t="shared" si="32"/>
        <v>818800</v>
      </c>
      <c r="S37" s="23">
        <f t="shared" si="32"/>
        <v>818800</v>
      </c>
      <c r="T37" s="23">
        <f t="shared" si="32"/>
        <v>818800</v>
      </c>
      <c r="U37" s="23">
        <f t="shared" si="32"/>
        <v>818800</v>
      </c>
      <c r="V37" s="23">
        <f t="shared" si="32"/>
        <v>818800</v>
      </c>
      <c r="W37" s="23">
        <f t="shared" si="32"/>
        <v>818800</v>
      </c>
      <c r="X37" s="23">
        <f t="shared" si="32"/>
        <v>818800</v>
      </c>
      <c r="Y37" s="23">
        <f t="shared" si="32"/>
        <v>818800</v>
      </c>
      <c r="Z37" s="23">
        <f t="shared" si="32"/>
        <v>818800</v>
      </c>
      <c r="AA37" s="23">
        <f t="shared" si="32"/>
        <v>818800</v>
      </c>
      <c r="AB37" s="23">
        <f t="shared" si="32"/>
        <v>818800</v>
      </c>
    </row>
    <row r="38" spans="1:28" ht="15.75" customHeight="1" x14ac:dyDescent="0.3">
      <c r="A38" s="12">
        <f>RAW!$A$17</f>
        <v>1638000</v>
      </c>
      <c r="B38" s="2"/>
      <c r="C38" s="24" t="s">
        <v>30</v>
      </c>
      <c r="D38" s="23">
        <f t="shared" si="21"/>
        <v>1638000</v>
      </c>
      <c r="E38" s="2"/>
      <c r="F38" s="24" t="s">
        <v>30</v>
      </c>
      <c r="G38" s="23">
        <f t="shared" ref="G38:AB38" si="33">$A38/G$5</f>
        <v>163800</v>
      </c>
      <c r="H38" s="23">
        <f t="shared" si="33"/>
        <v>136500</v>
      </c>
      <c r="I38" s="23">
        <f t="shared" si="33"/>
        <v>1638000</v>
      </c>
      <c r="J38" s="23">
        <f t="shared" si="33"/>
        <v>1638000</v>
      </c>
      <c r="K38" s="23">
        <f t="shared" si="33"/>
        <v>1638000</v>
      </c>
      <c r="L38" s="23">
        <f t="shared" si="33"/>
        <v>1638000</v>
      </c>
      <c r="M38" s="23">
        <f t="shared" si="33"/>
        <v>1638000</v>
      </c>
      <c r="N38" s="23">
        <f t="shared" si="33"/>
        <v>1638000</v>
      </c>
      <c r="O38" s="23">
        <f t="shared" si="33"/>
        <v>1638000</v>
      </c>
      <c r="P38" s="23">
        <f t="shared" si="33"/>
        <v>1638000</v>
      </c>
      <c r="Q38" s="23">
        <f t="shared" si="33"/>
        <v>1638000</v>
      </c>
      <c r="R38" s="23">
        <f t="shared" si="33"/>
        <v>1638000</v>
      </c>
      <c r="S38" s="23">
        <f t="shared" si="33"/>
        <v>1638000</v>
      </c>
      <c r="T38" s="23">
        <f t="shared" si="33"/>
        <v>1638000</v>
      </c>
      <c r="U38" s="23">
        <f t="shared" si="33"/>
        <v>1638000</v>
      </c>
      <c r="V38" s="23">
        <f t="shared" si="33"/>
        <v>1638000</v>
      </c>
      <c r="W38" s="23">
        <f t="shared" si="33"/>
        <v>1638000</v>
      </c>
      <c r="X38" s="23">
        <f t="shared" si="33"/>
        <v>1638000</v>
      </c>
      <c r="Y38" s="23">
        <f t="shared" si="33"/>
        <v>1638000</v>
      </c>
      <c r="Z38" s="23">
        <f t="shared" si="33"/>
        <v>1638000</v>
      </c>
      <c r="AA38" s="23">
        <f t="shared" si="33"/>
        <v>1638000</v>
      </c>
      <c r="AB38" s="23">
        <f t="shared" si="33"/>
        <v>1638000</v>
      </c>
    </row>
    <row r="39" spans="1:28" ht="15.75" customHeight="1" x14ac:dyDescent="0.3">
      <c r="A39" s="12">
        <f>RAW!$A$18</f>
        <v>3276400</v>
      </c>
      <c r="B39" s="2"/>
      <c r="C39" s="24" t="s">
        <v>31</v>
      </c>
      <c r="D39" s="23">
        <f t="shared" si="21"/>
        <v>3276400</v>
      </c>
      <c r="E39" s="2"/>
      <c r="F39" s="24" t="s">
        <v>31</v>
      </c>
      <c r="G39" s="23">
        <f t="shared" ref="G39:AB39" si="34">$A39/G$5</f>
        <v>327640</v>
      </c>
      <c r="H39" s="23">
        <f t="shared" si="34"/>
        <v>273033.33333333331</v>
      </c>
      <c r="I39" s="23">
        <f t="shared" si="34"/>
        <v>3276400</v>
      </c>
      <c r="J39" s="23">
        <f t="shared" si="34"/>
        <v>3276400</v>
      </c>
      <c r="K39" s="23">
        <f t="shared" si="34"/>
        <v>3276400</v>
      </c>
      <c r="L39" s="23">
        <f t="shared" si="34"/>
        <v>3276400</v>
      </c>
      <c r="M39" s="23">
        <f t="shared" si="34"/>
        <v>3276400</v>
      </c>
      <c r="N39" s="23">
        <f t="shared" si="34"/>
        <v>3276400</v>
      </c>
      <c r="O39" s="23">
        <f t="shared" si="34"/>
        <v>3276400</v>
      </c>
      <c r="P39" s="23">
        <f t="shared" si="34"/>
        <v>3276400</v>
      </c>
      <c r="Q39" s="23">
        <f t="shared" si="34"/>
        <v>3276400</v>
      </c>
      <c r="R39" s="23">
        <f t="shared" si="34"/>
        <v>3276400</v>
      </c>
      <c r="S39" s="23">
        <f t="shared" si="34"/>
        <v>3276400</v>
      </c>
      <c r="T39" s="23">
        <f t="shared" si="34"/>
        <v>3276400</v>
      </c>
      <c r="U39" s="23">
        <f t="shared" si="34"/>
        <v>3276400</v>
      </c>
      <c r="V39" s="23">
        <f t="shared" si="34"/>
        <v>3276400</v>
      </c>
      <c r="W39" s="23">
        <f t="shared" si="34"/>
        <v>3276400</v>
      </c>
      <c r="X39" s="23">
        <f t="shared" si="34"/>
        <v>3276400</v>
      </c>
      <c r="Y39" s="23">
        <f t="shared" si="34"/>
        <v>3276400</v>
      </c>
      <c r="Z39" s="23">
        <f t="shared" si="34"/>
        <v>3276400</v>
      </c>
      <c r="AA39" s="23">
        <f t="shared" si="34"/>
        <v>3276400</v>
      </c>
      <c r="AB39" s="23">
        <f t="shared" si="34"/>
        <v>3276400</v>
      </c>
    </row>
    <row r="40" spans="1:28" ht="15.75" customHeight="1" x14ac:dyDescent="0.3">
      <c r="A40" s="12">
        <f>RAW!$A$19</f>
        <v>6553200</v>
      </c>
      <c r="B40" s="2"/>
      <c r="C40" s="24" t="s">
        <v>32</v>
      </c>
      <c r="D40" s="23">
        <f t="shared" si="21"/>
        <v>6553200</v>
      </c>
      <c r="E40" s="2"/>
      <c r="F40" s="24" t="s">
        <v>32</v>
      </c>
      <c r="G40" s="23">
        <f t="shared" ref="G40:AB40" si="35">$A40/G$5</f>
        <v>655320</v>
      </c>
      <c r="H40" s="23">
        <f t="shared" si="35"/>
        <v>546100</v>
      </c>
      <c r="I40" s="23">
        <f t="shared" si="35"/>
        <v>6553200</v>
      </c>
      <c r="J40" s="23">
        <f t="shared" si="35"/>
        <v>6553200</v>
      </c>
      <c r="K40" s="23">
        <f t="shared" si="35"/>
        <v>6553200</v>
      </c>
      <c r="L40" s="23">
        <f t="shared" si="35"/>
        <v>6553200</v>
      </c>
      <c r="M40" s="23">
        <f t="shared" si="35"/>
        <v>6553200</v>
      </c>
      <c r="N40" s="23">
        <f t="shared" si="35"/>
        <v>6553200</v>
      </c>
      <c r="O40" s="23">
        <f t="shared" si="35"/>
        <v>6553200</v>
      </c>
      <c r="P40" s="23">
        <f t="shared" si="35"/>
        <v>6553200</v>
      </c>
      <c r="Q40" s="23">
        <f t="shared" si="35"/>
        <v>6553200</v>
      </c>
      <c r="R40" s="23">
        <f t="shared" si="35"/>
        <v>6553200</v>
      </c>
      <c r="S40" s="23">
        <f t="shared" si="35"/>
        <v>6553200</v>
      </c>
      <c r="T40" s="23">
        <f t="shared" si="35"/>
        <v>6553200</v>
      </c>
      <c r="U40" s="23">
        <f t="shared" si="35"/>
        <v>6553200</v>
      </c>
      <c r="V40" s="23">
        <f t="shared" si="35"/>
        <v>6553200</v>
      </c>
      <c r="W40" s="23">
        <f t="shared" si="35"/>
        <v>6553200</v>
      </c>
      <c r="X40" s="23">
        <f t="shared" si="35"/>
        <v>6553200</v>
      </c>
      <c r="Y40" s="23">
        <f t="shared" si="35"/>
        <v>6553200</v>
      </c>
      <c r="Z40" s="23">
        <f t="shared" si="35"/>
        <v>6553200</v>
      </c>
      <c r="AA40" s="23">
        <f t="shared" si="35"/>
        <v>6553200</v>
      </c>
      <c r="AB40" s="23">
        <f t="shared" si="35"/>
        <v>6553200</v>
      </c>
    </row>
    <row r="41" spans="1:28" ht="15.75" customHeight="1" x14ac:dyDescent="0.3">
      <c r="A41" s="12">
        <f>RAW!$A$20</f>
        <v>13106800</v>
      </c>
      <c r="B41" s="2"/>
      <c r="C41" s="24" t="s">
        <v>33</v>
      </c>
      <c r="D41" s="23">
        <f t="shared" si="21"/>
        <v>13106800</v>
      </c>
      <c r="E41" s="2"/>
      <c r="F41" s="24" t="s">
        <v>33</v>
      </c>
      <c r="G41" s="23">
        <f t="shared" ref="G41:AB41" si="36">$A41/G$5</f>
        <v>1310680</v>
      </c>
      <c r="H41" s="23">
        <f t="shared" si="36"/>
        <v>1092233.3333333333</v>
      </c>
      <c r="I41" s="23">
        <f t="shared" si="36"/>
        <v>13106800</v>
      </c>
      <c r="J41" s="23">
        <f t="shared" si="36"/>
        <v>13106800</v>
      </c>
      <c r="K41" s="23">
        <f t="shared" si="36"/>
        <v>13106800</v>
      </c>
      <c r="L41" s="23">
        <f t="shared" si="36"/>
        <v>13106800</v>
      </c>
      <c r="M41" s="23">
        <f t="shared" si="36"/>
        <v>13106800</v>
      </c>
      <c r="N41" s="23">
        <f t="shared" si="36"/>
        <v>13106800</v>
      </c>
      <c r="O41" s="23">
        <f t="shared" si="36"/>
        <v>13106800</v>
      </c>
      <c r="P41" s="23">
        <f t="shared" si="36"/>
        <v>13106800</v>
      </c>
      <c r="Q41" s="23">
        <f t="shared" si="36"/>
        <v>13106800</v>
      </c>
      <c r="R41" s="23">
        <f t="shared" si="36"/>
        <v>13106800</v>
      </c>
      <c r="S41" s="23">
        <f t="shared" si="36"/>
        <v>13106800</v>
      </c>
      <c r="T41" s="23">
        <f t="shared" si="36"/>
        <v>13106800</v>
      </c>
      <c r="U41" s="23">
        <f t="shared" si="36"/>
        <v>13106800</v>
      </c>
      <c r="V41" s="23">
        <f t="shared" si="36"/>
        <v>13106800</v>
      </c>
      <c r="W41" s="23">
        <f t="shared" si="36"/>
        <v>13106800</v>
      </c>
      <c r="X41" s="23">
        <f t="shared" si="36"/>
        <v>13106800</v>
      </c>
      <c r="Y41" s="23">
        <f t="shared" si="36"/>
        <v>13106800</v>
      </c>
      <c r="Z41" s="23">
        <f t="shared" si="36"/>
        <v>13106800</v>
      </c>
      <c r="AA41" s="23">
        <f t="shared" si="36"/>
        <v>13106800</v>
      </c>
      <c r="AB41" s="23">
        <f t="shared" si="36"/>
        <v>13106800</v>
      </c>
    </row>
    <row r="42" spans="1:28" ht="15.75" customHeight="1" x14ac:dyDescent="0.3">
      <c r="A42" s="12">
        <f>RAW!$A$21</f>
        <v>26214000</v>
      </c>
      <c r="B42" s="2"/>
      <c r="C42" s="24" t="s">
        <v>34</v>
      </c>
      <c r="D42" s="23">
        <f t="shared" si="21"/>
        <v>26214000</v>
      </c>
      <c r="E42" s="2"/>
      <c r="F42" s="24" t="s">
        <v>34</v>
      </c>
      <c r="G42" s="23">
        <f t="shared" ref="G42:AB42" si="37">$A42/G$5</f>
        <v>2621400</v>
      </c>
      <c r="H42" s="23">
        <f t="shared" si="37"/>
        <v>2184500</v>
      </c>
      <c r="I42" s="23">
        <f t="shared" si="37"/>
        <v>26214000</v>
      </c>
      <c r="J42" s="23">
        <f t="shared" si="37"/>
        <v>26214000</v>
      </c>
      <c r="K42" s="23">
        <f t="shared" si="37"/>
        <v>26214000</v>
      </c>
      <c r="L42" s="23">
        <f t="shared" si="37"/>
        <v>26214000</v>
      </c>
      <c r="M42" s="23">
        <f t="shared" si="37"/>
        <v>26214000</v>
      </c>
      <c r="N42" s="23">
        <f t="shared" si="37"/>
        <v>26214000</v>
      </c>
      <c r="O42" s="23">
        <f t="shared" si="37"/>
        <v>26214000</v>
      </c>
      <c r="P42" s="23">
        <f t="shared" si="37"/>
        <v>26214000</v>
      </c>
      <c r="Q42" s="23">
        <f t="shared" si="37"/>
        <v>26214000</v>
      </c>
      <c r="R42" s="23">
        <f t="shared" si="37"/>
        <v>26214000</v>
      </c>
      <c r="S42" s="23">
        <f t="shared" si="37"/>
        <v>26214000</v>
      </c>
      <c r="T42" s="23">
        <f t="shared" si="37"/>
        <v>26214000</v>
      </c>
      <c r="U42" s="23">
        <f t="shared" si="37"/>
        <v>26214000</v>
      </c>
      <c r="V42" s="23">
        <f t="shared" si="37"/>
        <v>26214000</v>
      </c>
      <c r="W42" s="23">
        <f t="shared" si="37"/>
        <v>26214000</v>
      </c>
      <c r="X42" s="23">
        <f t="shared" si="37"/>
        <v>26214000</v>
      </c>
      <c r="Y42" s="23">
        <f t="shared" si="37"/>
        <v>26214000</v>
      </c>
      <c r="Z42" s="23">
        <f t="shared" si="37"/>
        <v>26214000</v>
      </c>
      <c r="AA42" s="23">
        <f t="shared" si="37"/>
        <v>26214000</v>
      </c>
      <c r="AB42" s="23">
        <f t="shared" si="37"/>
        <v>26214000</v>
      </c>
    </row>
    <row r="43" spans="1:28" ht="15.75" customHeight="1" x14ac:dyDescent="0.3">
      <c r="A43" s="12">
        <f>RAW!$A$22</f>
        <v>52428400</v>
      </c>
      <c r="B43" s="2"/>
      <c r="C43" s="24" t="s">
        <v>35</v>
      </c>
      <c r="D43" s="23">
        <f t="shared" si="21"/>
        <v>52428400</v>
      </c>
      <c r="E43" s="2"/>
      <c r="F43" s="24" t="s">
        <v>35</v>
      </c>
      <c r="G43" s="23">
        <f t="shared" ref="G43:AB43" si="38">$A43/G$5</f>
        <v>5242840</v>
      </c>
      <c r="H43" s="23">
        <f t="shared" si="38"/>
        <v>4369033.333333333</v>
      </c>
      <c r="I43" s="23">
        <f t="shared" si="38"/>
        <v>52428400</v>
      </c>
      <c r="J43" s="23">
        <f t="shared" si="38"/>
        <v>52428400</v>
      </c>
      <c r="K43" s="23">
        <f t="shared" si="38"/>
        <v>52428400</v>
      </c>
      <c r="L43" s="23">
        <f t="shared" si="38"/>
        <v>52428400</v>
      </c>
      <c r="M43" s="23">
        <f t="shared" si="38"/>
        <v>52428400</v>
      </c>
      <c r="N43" s="23">
        <f t="shared" si="38"/>
        <v>52428400</v>
      </c>
      <c r="O43" s="23">
        <f t="shared" si="38"/>
        <v>52428400</v>
      </c>
      <c r="P43" s="23">
        <f t="shared" si="38"/>
        <v>52428400</v>
      </c>
      <c r="Q43" s="23">
        <f t="shared" si="38"/>
        <v>52428400</v>
      </c>
      <c r="R43" s="23">
        <f t="shared" si="38"/>
        <v>52428400</v>
      </c>
      <c r="S43" s="23">
        <f t="shared" si="38"/>
        <v>52428400</v>
      </c>
      <c r="T43" s="23">
        <f t="shared" si="38"/>
        <v>52428400</v>
      </c>
      <c r="U43" s="23">
        <f t="shared" si="38"/>
        <v>52428400</v>
      </c>
      <c r="V43" s="23">
        <f t="shared" si="38"/>
        <v>52428400</v>
      </c>
      <c r="W43" s="23">
        <f t="shared" si="38"/>
        <v>52428400</v>
      </c>
      <c r="X43" s="23">
        <f t="shared" si="38"/>
        <v>52428400</v>
      </c>
      <c r="Y43" s="23">
        <f t="shared" si="38"/>
        <v>52428400</v>
      </c>
      <c r="Z43" s="23">
        <f t="shared" si="38"/>
        <v>52428400</v>
      </c>
      <c r="AA43" s="23">
        <f t="shared" si="38"/>
        <v>52428400</v>
      </c>
      <c r="AB43" s="23">
        <f t="shared" si="38"/>
        <v>52428400</v>
      </c>
    </row>
    <row r="44" spans="1:28" ht="15.75" customHeight="1" x14ac:dyDescent="0.3">
      <c r="A44" s="3"/>
      <c r="B44" s="2"/>
      <c r="C44" s="29"/>
      <c r="D44" s="30"/>
      <c r="E44" s="2"/>
      <c r="F44" s="3"/>
      <c r="G44" s="31" t="s">
        <v>38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15.75" customHeight="1" x14ac:dyDescent="0.3">
      <c r="A45" s="19" t="s">
        <v>37</v>
      </c>
      <c r="B45" s="2"/>
      <c r="C45" s="10" t="s">
        <v>9</v>
      </c>
      <c r="D45" s="10" t="s">
        <v>10</v>
      </c>
      <c r="E45" s="2"/>
      <c r="F45" s="20" t="s">
        <v>9</v>
      </c>
      <c r="G45" s="11" t="str">
        <f t="shared" ref="G45:AB45" si="39">G26</f>
        <v>Akemi</v>
      </c>
      <c r="H45" s="11" t="str">
        <f t="shared" si="39"/>
        <v>Jonem</v>
      </c>
      <c r="I45" s="11">
        <f t="shared" si="39"/>
        <v>0</v>
      </c>
      <c r="J45" s="11">
        <f t="shared" si="39"/>
        <v>0</v>
      </c>
      <c r="K45" s="11">
        <f t="shared" si="39"/>
        <v>0</v>
      </c>
      <c r="L45" s="11">
        <f t="shared" si="39"/>
        <v>0</v>
      </c>
      <c r="M45" s="11">
        <f t="shared" si="39"/>
        <v>0</v>
      </c>
      <c r="N45" s="11">
        <f t="shared" si="39"/>
        <v>0</v>
      </c>
      <c r="O45" s="11">
        <f t="shared" si="39"/>
        <v>0</v>
      </c>
      <c r="P45" s="11">
        <f t="shared" si="39"/>
        <v>0</v>
      </c>
      <c r="Q45" s="11">
        <f t="shared" si="39"/>
        <v>0</v>
      </c>
      <c r="R45" s="11">
        <f t="shared" si="39"/>
        <v>0</v>
      </c>
      <c r="S45" s="11">
        <f t="shared" si="39"/>
        <v>0</v>
      </c>
      <c r="T45" s="11">
        <f t="shared" si="39"/>
        <v>0</v>
      </c>
      <c r="U45" s="11">
        <f t="shared" si="39"/>
        <v>0</v>
      </c>
      <c r="V45" s="11">
        <f t="shared" si="39"/>
        <v>0</v>
      </c>
      <c r="W45" s="11">
        <f t="shared" si="39"/>
        <v>0</v>
      </c>
      <c r="X45" s="11">
        <f t="shared" si="39"/>
        <v>0</v>
      </c>
      <c r="Y45" s="11">
        <f t="shared" si="39"/>
        <v>0</v>
      </c>
      <c r="Z45" s="11">
        <f t="shared" si="39"/>
        <v>0</v>
      </c>
      <c r="AA45" s="11">
        <f t="shared" si="39"/>
        <v>0</v>
      </c>
      <c r="AB45" s="11">
        <f t="shared" si="39"/>
        <v>0</v>
      </c>
    </row>
    <row r="46" spans="1:28" ht="15.75" customHeight="1" x14ac:dyDescent="0.3">
      <c r="A46" s="12">
        <f>RAW!$A$6</f>
        <v>400</v>
      </c>
      <c r="B46" s="2"/>
      <c r="C46" s="21" t="s">
        <v>19</v>
      </c>
      <c r="D46" s="22">
        <f t="shared" ref="D46:D62" si="40">($A46/D$5)/365</f>
        <v>1.095890410958904</v>
      </c>
      <c r="E46" s="2"/>
      <c r="F46" s="21" t="s">
        <v>19</v>
      </c>
      <c r="G46" s="23">
        <f t="shared" ref="G46:AB46" si="41">($A46/G$5)/365</f>
        <v>0.1095890410958904</v>
      </c>
      <c r="H46" s="23">
        <f t="shared" si="41"/>
        <v>9.1324200913242018E-2</v>
      </c>
      <c r="I46" s="23">
        <f t="shared" si="41"/>
        <v>1.095890410958904</v>
      </c>
      <c r="J46" s="23">
        <f t="shared" si="41"/>
        <v>1.095890410958904</v>
      </c>
      <c r="K46" s="23">
        <f t="shared" si="41"/>
        <v>1.095890410958904</v>
      </c>
      <c r="L46" s="23">
        <f t="shared" si="41"/>
        <v>1.095890410958904</v>
      </c>
      <c r="M46" s="23">
        <f t="shared" si="41"/>
        <v>1.095890410958904</v>
      </c>
      <c r="N46" s="23">
        <f t="shared" si="41"/>
        <v>1.095890410958904</v>
      </c>
      <c r="O46" s="23">
        <f t="shared" si="41"/>
        <v>1.095890410958904</v>
      </c>
      <c r="P46" s="23">
        <f t="shared" si="41"/>
        <v>1.095890410958904</v>
      </c>
      <c r="Q46" s="23">
        <f t="shared" si="41"/>
        <v>1.095890410958904</v>
      </c>
      <c r="R46" s="23">
        <f t="shared" si="41"/>
        <v>1.095890410958904</v>
      </c>
      <c r="S46" s="23">
        <f t="shared" si="41"/>
        <v>1.095890410958904</v>
      </c>
      <c r="T46" s="23">
        <f t="shared" si="41"/>
        <v>1.095890410958904</v>
      </c>
      <c r="U46" s="23">
        <f t="shared" si="41"/>
        <v>1.095890410958904</v>
      </c>
      <c r="V46" s="23">
        <f t="shared" si="41"/>
        <v>1.095890410958904</v>
      </c>
      <c r="W46" s="23">
        <f t="shared" si="41"/>
        <v>1.095890410958904</v>
      </c>
      <c r="X46" s="23">
        <f t="shared" si="41"/>
        <v>1.095890410958904</v>
      </c>
      <c r="Y46" s="23">
        <f t="shared" si="41"/>
        <v>1.095890410958904</v>
      </c>
      <c r="Z46" s="23">
        <f t="shared" si="41"/>
        <v>1.095890410958904</v>
      </c>
      <c r="AA46" s="23">
        <f t="shared" si="41"/>
        <v>1.095890410958904</v>
      </c>
      <c r="AB46" s="23">
        <f t="shared" si="41"/>
        <v>1.095890410958904</v>
      </c>
    </row>
    <row r="47" spans="1:28" ht="15.75" customHeight="1" x14ac:dyDescent="0.3">
      <c r="A47" s="12">
        <f>RAW!$A$7</f>
        <v>1200</v>
      </c>
      <c r="B47" s="2"/>
      <c r="C47" s="24" t="s">
        <v>20</v>
      </c>
      <c r="D47" s="23">
        <f t="shared" si="40"/>
        <v>3.2876712328767121</v>
      </c>
      <c r="E47" s="2"/>
      <c r="F47" s="24" t="s">
        <v>20</v>
      </c>
      <c r="G47" s="23">
        <f t="shared" ref="G47:AB47" si="42">($A47/G$5)/365</f>
        <v>0.32876712328767121</v>
      </c>
      <c r="H47" s="23">
        <f t="shared" si="42"/>
        <v>0.27397260273972601</v>
      </c>
      <c r="I47" s="23">
        <f t="shared" si="42"/>
        <v>3.2876712328767121</v>
      </c>
      <c r="J47" s="23">
        <f t="shared" si="42"/>
        <v>3.2876712328767121</v>
      </c>
      <c r="K47" s="23">
        <f t="shared" si="42"/>
        <v>3.2876712328767121</v>
      </c>
      <c r="L47" s="23">
        <f t="shared" si="42"/>
        <v>3.2876712328767121</v>
      </c>
      <c r="M47" s="23">
        <f t="shared" si="42"/>
        <v>3.2876712328767121</v>
      </c>
      <c r="N47" s="23">
        <f t="shared" si="42"/>
        <v>3.2876712328767121</v>
      </c>
      <c r="O47" s="23">
        <f t="shared" si="42"/>
        <v>3.2876712328767121</v>
      </c>
      <c r="P47" s="23">
        <f t="shared" si="42"/>
        <v>3.2876712328767121</v>
      </c>
      <c r="Q47" s="23">
        <f t="shared" si="42"/>
        <v>3.2876712328767121</v>
      </c>
      <c r="R47" s="23">
        <f t="shared" si="42"/>
        <v>3.2876712328767121</v>
      </c>
      <c r="S47" s="23">
        <f t="shared" si="42"/>
        <v>3.2876712328767121</v>
      </c>
      <c r="T47" s="23">
        <f t="shared" si="42"/>
        <v>3.2876712328767121</v>
      </c>
      <c r="U47" s="23">
        <f t="shared" si="42"/>
        <v>3.2876712328767121</v>
      </c>
      <c r="V47" s="23">
        <f t="shared" si="42"/>
        <v>3.2876712328767121</v>
      </c>
      <c r="W47" s="23">
        <f t="shared" si="42"/>
        <v>3.2876712328767121</v>
      </c>
      <c r="X47" s="23">
        <f t="shared" si="42"/>
        <v>3.2876712328767121</v>
      </c>
      <c r="Y47" s="23">
        <f t="shared" si="42"/>
        <v>3.2876712328767121</v>
      </c>
      <c r="Z47" s="23">
        <f t="shared" si="42"/>
        <v>3.2876712328767121</v>
      </c>
      <c r="AA47" s="23">
        <f t="shared" si="42"/>
        <v>3.2876712328767121</v>
      </c>
      <c r="AB47" s="23">
        <f t="shared" si="42"/>
        <v>3.2876712328767121</v>
      </c>
    </row>
    <row r="48" spans="1:28" ht="15.75" customHeight="1" x14ac:dyDescent="0.3">
      <c r="A48" s="12">
        <f>RAW!$A$8</f>
        <v>2800</v>
      </c>
      <c r="B48" s="2"/>
      <c r="C48" s="24" t="s">
        <v>21</v>
      </c>
      <c r="D48" s="23">
        <f t="shared" si="40"/>
        <v>7.6712328767123283</v>
      </c>
      <c r="E48" s="2"/>
      <c r="F48" s="24" t="s">
        <v>21</v>
      </c>
      <c r="G48" s="23">
        <f t="shared" ref="G48:AB48" si="43">($A48/G$5)/365</f>
        <v>0.76712328767123283</v>
      </c>
      <c r="H48" s="23">
        <f t="shared" si="43"/>
        <v>0.63926940639269414</v>
      </c>
      <c r="I48" s="23">
        <f t="shared" si="43"/>
        <v>7.6712328767123283</v>
      </c>
      <c r="J48" s="23">
        <f t="shared" si="43"/>
        <v>7.6712328767123283</v>
      </c>
      <c r="K48" s="23">
        <f t="shared" si="43"/>
        <v>7.6712328767123283</v>
      </c>
      <c r="L48" s="23">
        <f t="shared" si="43"/>
        <v>7.6712328767123283</v>
      </c>
      <c r="M48" s="23">
        <f t="shared" si="43"/>
        <v>7.6712328767123283</v>
      </c>
      <c r="N48" s="23">
        <f t="shared" si="43"/>
        <v>7.6712328767123283</v>
      </c>
      <c r="O48" s="23">
        <f t="shared" si="43"/>
        <v>7.6712328767123283</v>
      </c>
      <c r="P48" s="23">
        <f t="shared" si="43"/>
        <v>7.6712328767123283</v>
      </c>
      <c r="Q48" s="23">
        <f t="shared" si="43"/>
        <v>7.6712328767123283</v>
      </c>
      <c r="R48" s="23">
        <f t="shared" si="43"/>
        <v>7.6712328767123283</v>
      </c>
      <c r="S48" s="23">
        <f t="shared" si="43"/>
        <v>7.6712328767123283</v>
      </c>
      <c r="T48" s="23">
        <f t="shared" si="43"/>
        <v>7.6712328767123283</v>
      </c>
      <c r="U48" s="23">
        <f t="shared" si="43"/>
        <v>7.6712328767123283</v>
      </c>
      <c r="V48" s="23">
        <f t="shared" si="43"/>
        <v>7.6712328767123283</v>
      </c>
      <c r="W48" s="23">
        <f t="shared" si="43"/>
        <v>7.6712328767123283</v>
      </c>
      <c r="X48" s="23">
        <f t="shared" si="43"/>
        <v>7.6712328767123283</v>
      </c>
      <c r="Y48" s="23">
        <f t="shared" si="43"/>
        <v>7.6712328767123283</v>
      </c>
      <c r="Z48" s="23">
        <f t="shared" si="43"/>
        <v>7.6712328767123283</v>
      </c>
      <c r="AA48" s="23">
        <f t="shared" si="43"/>
        <v>7.6712328767123283</v>
      </c>
      <c r="AB48" s="23">
        <f t="shared" si="43"/>
        <v>7.6712328767123283</v>
      </c>
    </row>
    <row r="49" spans="1:28" ht="15.75" customHeight="1" x14ac:dyDescent="0.3">
      <c r="A49" s="12">
        <f>RAW!$A$9</f>
        <v>6000</v>
      </c>
      <c r="B49" s="2"/>
      <c r="C49" s="24" t="s">
        <v>22</v>
      </c>
      <c r="D49" s="23">
        <f t="shared" si="40"/>
        <v>16.438356164383563</v>
      </c>
      <c r="E49" s="2"/>
      <c r="F49" s="24" t="s">
        <v>22</v>
      </c>
      <c r="G49" s="23">
        <f t="shared" ref="G49:AB49" si="44">($A49/G$5)/365</f>
        <v>1.6438356164383561</v>
      </c>
      <c r="H49" s="23">
        <f t="shared" si="44"/>
        <v>1.3698630136986301</v>
      </c>
      <c r="I49" s="23">
        <f t="shared" si="44"/>
        <v>16.438356164383563</v>
      </c>
      <c r="J49" s="23">
        <f t="shared" si="44"/>
        <v>16.438356164383563</v>
      </c>
      <c r="K49" s="23">
        <f t="shared" si="44"/>
        <v>16.438356164383563</v>
      </c>
      <c r="L49" s="23">
        <f t="shared" si="44"/>
        <v>16.438356164383563</v>
      </c>
      <c r="M49" s="23">
        <f t="shared" si="44"/>
        <v>16.438356164383563</v>
      </c>
      <c r="N49" s="23">
        <f t="shared" si="44"/>
        <v>16.438356164383563</v>
      </c>
      <c r="O49" s="23">
        <f t="shared" si="44"/>
        <v>16.438356164383563</v>
      </c>
      <c r="P49" s="23">
        <f t="shared" si="44"/>
        <v>16.438356164383563</v>
      </c>
      <c r="Q49" s="23">
        <f t="shared" si="44"/>
        <v>16.438356164383563</v>
      </c>
      <c r="R49" s="23">
        <f t="shared" si="44"/>
        <v>16.438356164383563</v>
      </c>
      <c r="S49" s="23">
        <f t="shared" si="44"/>
        <v>16.438356164383563</v>
      </c>
      <c r="T49" s="23">
        <f t="shared" si="44"/>
        <v>16.438356164383563</v>
      </c>
      <c r="U49" s="23">
        <f t="shared" si="44"/>
        <v>16.438356164383563</v>
      </c>
      <c r="V49" s="23">
        <f t="shared" si="44"/>
        <v>16.438356164383563</v>
      </c>
      <c r="W49" s="23">
        <f t="shared" si="44"/>
        <v>16.438356164383563</v>
      </c>
      <c r="X49" s="23">
        <f t="shared" si="44"/>
        <v>16.438356164383563</v>
      </c>
      <c r="Y49" s="23">
        <f t="shared" si="44"/>
        <v>16.438356164383563</v>
      </c>
      <c r="Z49" s="23">
        <f t="shared" si="44"/>
        <v>16.438356164383563</v>
      </c>
      <c r="AA49" s="23">
        <f t="shared" si="44"/>
        <v>16.438356164383563</v>
      </c>
      <c r="AB49" s="23">
        <f t="shared" si="44"/>
        <v>16.438356164383563</v>
      </c>
    </row>
    <row r="50" spans="1:28" ht="15.75" customHeight="1" x14ac:dyDescent="0.3">
      <c r="A50" s="12">
        <f>RAW!$A$10</f>
        <v>12400</v>
      </c>
      <c r="B50" s="2"/>
      <c r="C50" s="24" t="s">
        <v>23</v>
      </c>
      <c r="D50" s="23">
        <f t="shared" si="40"/>
        <v>33.972602739726028</v>
      </c>
      <c r="E50" s="2"/>
      <c r="F50" s="24" t="s">
        <v>23</v>
      </c>
      <c r="G50" s="23">
        <f t="shared" ref="G50:AB50" si="45">($A50/G$5)/365</f>
        <v>3.3972602739726026</v>
      </c>
      <c r="H50" s="23">
        <f t="shared" si="45"/>
        <v>2.8310502283105019</v>
      </c>
      <c r="I50" s="23">
        <f t="shared" si="45"/>
        <v>33.972602739726028</v>
      </c>
      <c r="J50" s="23">
        <f t="shared" si="45"/>
        <v>33.972602739726028</v>
      </c>
      <c r="K50" s="23">
        <f t="shared" si="45"/>
        <v>33.972602739726028</v>
      </c>
      <c r="L50" s="23">
        <f t="shared" si="45"/>
        <v>33.972602739726028</v>
      </c>
      <c r="M50" s="23">
        <f t="shared" si="45"/>
        <v>33.972602739726028</v>
      </c>
      <c r="N50" s="23">
        <f t="shared" si="45"/>
        <v>33.972602739726028</v>
      </c>
      <c r="O50" s="23">
        <f t="shared" si="45"/>
        <v>33.972602739726028</v>
      </c>
      <c r="P50" s="23">
        <f t="shared" si="45"/>
        <v>33.972602739726028</v>
      </c>
      <c r="Q50" s="23">
        <f t="shared" si="45"/>
        <v>33.972602739726028</v>
      </c>
      <c r="R50" s="23">
        <f t="shared" si="45"/>
        <v>33.972602739726028</v>
      </c>
      <c r="S50" s="23">
        <f t="shared" si="45"/>
        <v>33.972602739726028</v>
      </c>
      <c r="T50" s="23">
        <f t="shared" si="45"/>
        <v>33.972602739726028</v>
      </c>
      <c r="U50" s="23">
        <f t="shared" si="45"/>
        <v>33.972602739726028</v>
      </c>
      <c r="V50" s="23">
        <f t="shared" si="45"/>
        <v>33.972602739726028</v>
      </c>
      <c r="W50" s="23">
        <f t="shared" si="45"/>
        <v>33.972602739726028</v>
      </c>
      <c r="X50" s="23">
        <f t="shared" si="45"/>
        <v>33.972602739726028</v>
      </c>
      <c r="Y50" s="23">
        <f t="shared" si="45"/>
        <v>33.972602739726028</v>
      </c>
      <c r="Z50" s="23">
        <f t="shared" si="45"/>
        <v>33.972602739726028</v>
      </c>
      <c r="AA50" s="23">
        <f t="shared" si="45"/>
        <v>33.972602739726028</v>
      </c>
      <c r="AB50" s="23">
        <f t="shared" si="45"/>
        <v>33.972602739726028</v>
      </c>
    </row>
    <row r="51" spans="1:28" ht="15.75" customHeight="1" x14ac:dyDescent="0.3">
      <c r="A51" s="12">
        <f>RAW!$A$11</f>
        <v>25200</v>
      </c>
      <c r="B51" s="2"/>
      <c r="C51" s="24" t="s">
        <v>24</v>
      </c>
      <c r="D51" s="23">
        <f t="shared" si="40"/>
        <v>69.041095890410958</v>
      </c>
      <c r="E51" s="2"/>
      <c r="F51" s="24" t="s">
        <v>24</v>
      </c>
      <c r="G51" s="23">
        <f t="shared" ref="G51:AB51" si="46">($A51/G$5)/365</f>
        <v>6.904109589041096</v>
      </c>
      <c r="H51" s="23">
        <f t="shared" si="46"/>
        <v>5.7534246575342465</v>
      </c>
      <c r="I51" s="23">
        <f t="shared" si="46"/>
        <v>69.041095890410958</v>
      </c>
      <c r="J51" s="23">
        <f t="shared" si="46"/>
        <v>69.041095890410958</v>
      </c>
      <c r="K51" s="23">
        <f t="shared" si="46"/>
        <v>69.041095890410958</v>
      </c>
      <c r="L51" s="23">
        <f t="shared" si="46"/>
        <v>69.041095890410958</v>
      </c>
      <c r="M51" s="23">
        <f t="shared" si="46"/>
        <v>69.041095890410958</v>
      </c>
      <c r="N51" s="23">
        <f t="shared" si="46"/>
        <v>69.041095890410958</v>
      </c>
      <c r="O51" s="23">
        <f t="shared" si="46"/>
        <v>69.041095890410958</v>
      </c>
      <c r="P51" s="23">
        <f t="shared" si="46"/>
        <v>69.041095890410958</v>
      </c>
      <c r="Q51" s="23">
        <f t="shared" si="46"/>
        <v>69.041095890410958</v>
      </c>
      <c r="R51" s="23">
        <f t="shared" si="46"/>
        <v>69.041095890410958</v>
      </c>
      <c r="S51" s="23">
        <f t="shared" si="46"/>
        <v>69.041095890410958</v>
      </c>
      <c r="T51" s="23">
        <f t="shared" si="46"/>
        <v>69.041095890410958</v>
      </c>
      <c r="U51" s="23">
        <f t="shared" si="46"/>
        <v>69.041095890410958</v>
      </c>
      <c r="V51" s="23">
        <f t="shared" si="46"/>
        <v>69.041095890410958</v>
      </c>
      <c r="W51" s="23">
        <f t="shared" si="46"/>
        <v>69.041095890410958</v>
      </c>
      <c r="X51" s="23">
        <f t="shared" si="46"/>
        <v>69.041095890410958</v>
      </c>
      <c r="Y51" s="23">
        <f t="shared" si="46"/>
        <v>69.041095890410958</v>
      </c>
      <c r="Z51" s="23">
        <f t="shared" si="46"/>
        <v>69.041095890410958</v>
      </c>
      <c r="AA51" s="23">
        <f t="shared" si="46"/>
        <v>69.041095890410958</v>
      </c>
      <c r="AB51" s="23">
        <f t="shared" si="46"/>
        <v>69.041095890410958</v>
      </c>
    </row>
    <row r="52" spans="1:28" ht="15.75" customHeight="1" x14ac:dyDescent="0.3">
      <c r="A52" s="12">
        <f>RAW!$A$12</f>
        <v>50800</v>
      </c>
      <c r="B52" s="2"/>
      <c r="C52" s="24" t="s">
        <v>25</v>
      </c>
      <c r="D52" s="23">
        <f t="shared" si="40"/>
        <v>139.17808219178082</v>
      </c>
      <c r="E52" s="2"/>
      <c r="F52" s="24" t="s">
        <v>25</v>
      </c>
      <c r="G52" s="23">
        <f t="shared" ref="G52:AB52" si="47">($A52/G$5)/365</f>
        <v>13.917808219178083</v>
      </c>
      <c r="H52" s="23">
        <f t="shared" si="47"/>
        <v>11.598173515981735</v>
      </c>
      <c r="I52" s="23">
        <f t="shared" si="47"/>
        <v>139.17808219178082</v>
      </c>
      <c r="J52" s="23">
        <f t="shared" si="47"/>
        <v>139.17808219178082</v>
      </c>
      <c r="K52" s="23">
        <f t="shared" si="47"/>
        <v>139.17808219178082</v>
      </c>
      <c r="L52" s="23">
        <f t="shared" si="47"/>
        <v>139.17808219178082</v>
      </c>
      <c r="M52" s="23">
        <f t="shared" si="47"/>
        <v>139.17808219178082</v>
      </c>
      <c r="N52" s="23">
        <f t="shared" si="47"/>
        <v>139.17808219178082</v>
      </c>
      <c r="O52" s="23">
        <f t="shared" si="47"/>
        <v>139.17808219178082</v>
      </c>
      <c r="P52" s="23">
        <f t="shared" si="47"/>
        <v>139.17808219178082</v>
      </c>
      <c r="Q52" s="23">
        <f t="shared" si="47"/>
        <v>139.17808219178082</v>
      </c>
      <c r="R52" s="23">
        <f t="shared" si="47"/>
        <v>139.17808219178082</v>
      </c>
      <c r="S52" s="23">
        <f t="shared" si="47"/>
        <v>139.17808219178082</v>
      </c>
      <c r="T52" s="23">
        <f t="shared" si="47"/>
        <v>139.17808219178082</v>
      </c>
      <c r="U52" s="23">
        <f t="shared" si="47"/>
        <v>139.17808219178082</v>
      </c>
      <c r="V52" s="23">
        <f t="shared" si="47"/>
        <v>139.17808219178082</v>
      </c>
      <c r="W52" s="23">
        <f t="shared" si="47"/>
        <v>139.17808219178082</v>
      </c>
      <c r="X52" s="23">
        <f t="shared" si="47"/>
        <v>139.17808219178082</v>
      </c>
      <c r="Y52" s="23">
        <f t="shared" si="47"/>
        <v>139.17808219178082</v>
      </c>
      <c r="Z52" s="23">
        <f t="shared" si="47"/>
        <v>139.17808219178082</v>
      </c>
      <c r="AA52" s="23">
        <f t="shared" si="47"/>
        <v>139.17808219178082</v>
      </c>
      <c r="AB52" s="23">
        <f t="shared" si="47"/>
        <v>139.17808219178082</v>
      </c>
    </row>
    <row r="53" spans="1:28" ht="15.75" customHeight="1" x14ac:dyDescent="0.3">
      <c r="A53" s="12">
        <f>RAW!$A$13</f>
        <v>102000</v>
      </c>
      <c r="B53" s="2"/>
      <c r="C53" s="24" t="s">
        <v>26</v>
      </c>
      <c r="D53" s="23">
        <f t="shared" si="40"/>
        <v>279.45205479452056</v>
      </c>
      <c r="E53" s="2"/>
      <c r="F53" s="24" t="s">
        <v>26</v>
      </c>
      <c r="G53" s="23">
        <f t="shared" ref="G53:AB53" si="48">($A53/G$5)/365</f>
        <v>27.945205479452056</v>
      </c>
      <c r="H53" s="23">
        <f t="shared" si="48"/>
        <v>23.287671232876711</v>
      </c>
      <c r="I53" s="23">
        <f t="shared" si="48"/>
        <v>279.45205479452056</v>
      </c>
      <c r="J53" s="23">
        <f t="shared" si="48"/>
        <v>279.45205479452056</v>
      </c>
      <c r="K53" s="23">
        <f t="shared" si="48"/>
        <v>279.45205479452056</v>
      </c>
      <c r="L53" s="23">
        <f t="shared" si="48"/>
        <v>279.45205479452056</v>
      </c>
      <c r="M53" s="23">
        <f t="shared" si="48"/>
        <v>279.45205479452056</v>
      </c>
      <c r="N53" s="23">
        <f t="shared" si="48"/>
        <v>279.45205479452056</v>
      </c>
      <c r="O53" s="23">
        <f t="shared" si="48"/>
        <v>279.45205479452056</v>
      </c>
      <c r="P53" s="23">
        <f t="shared" si="48"/>
        <v>279.45205479452056</v>
      </c>
      <c r="Q53" s="23">
        <f t="shared" si="48"/>
        <v>279.45205479452056</v>
      </c>
      <c r="R53" s="23">
        <f t="shared" si="48"/>
        <v>279.45205479452056</v>
      </c>
      <c r="S53" s="23">
        <f t="shared" si="48"/>
        <v>279.45205479452056</v>
      </c>
      <c r="T53" s="23">
        <f t="shared" si="48"/>
        <v>279.45205479452056</v>
      </c>
      <c r="U53" s="23">
        <f t="shared" si="48"/>
        <v>279.45205479452056</v>
      </c>
      <c r="V53" s="23">
        <f t="shared" si="48"/>
        <v>279.45205479452056</v>
      </c>
      <c r="W53" s="23">
        <f t="shared" si="48"/>
        <v>279.45205479452056</v>
      </c>
      <c r="X53" s="23">
        <f t="shared" si="48"/>
        <v>279.45205479452056</v>
      </c>
      <c r="Y53" s="23">
        <f t="shared" si="48"/>
        <v>279.45205479452056</v>
      </c>
      <c r="Z53" s="23">
        <f t="shared" si="48"/>
        <v>279.45205479452056</v>
      </c>
      <c r="AA53" s="23">
        <f t="shared" si="48"/>
        <v>279.45205479452056</v>
      </c>
      <c r="AB53" s="23">
        <f t="shared" si="48"/>
        <v>279.45205479452056</v>
      </c>
    </row>
    <row r="54" spans="1:28" ht="15.75" customHeight="1" x14ac:dyDescent="0.3">
      <c r="A54" s="12">
        <f>RAW!$A$14</f>
        <v>204400</v>
      </c>
      <c r="B54" s="2"/>
      <c r="C54" s="24" t="s">
        <v>27</v>
      </c>
      <c r="D54" s="23">
        <f t="shared" si="40"/>
        <v>560</v>
      </c>
      <c r="E54" s="2"/>
      <c r="F54" s="24" t="s">
        <v>27</v>
      </c>
      <c r="G54" s="23">
        <f t="shared" ref="G54:AB54" si="49">($A54/G$5)/365</f>
        <v>56</v>
      </c>
      <c r="H54" s="23">
        <f t="shared" si="49"/>
        <v>46.666666666666664</v>
      </c>
      <c r="I54" s="23">
        <f t="shared" si="49"/>
        <v>560</v>
      </c>
      <c r="J54" s="23">
        <f t="shared" si="49"/>
        <v>560</v>
      </c>
      <c r="K54" s="23">
        <f t="shared" si="49"/>
        <v>560</v>
      </c>
      <c r="L54" s="23">
        <f t="shared" si="49"/>
        <v>560</v>
      </c>
      <c r="M54" s="23">
        <f t="shared" si="49"/>
        <v>560</v>
      </c>
      <c r="N54" s="23">
        <f t="shared" si="49"/>
        <v>560</v>
      </c>
      <c r="O54" s="23">
        <f t="shared" si="49"/>
        <v>560</v>
      </c>
      <c r="P54" s="23">
        <f t="shared" si="49"/>
        <v>560</v>
      </c>
      <c r="Q54" s="23">
        <f t="shared" si="49"/>
        <v>560</v>
      </c>
      <c r="R54" s="23">
        <f t="shared" si="49"/>
        <v>560</v>
      </c>
      <c r="S54" s="23">
        <f t="shared" si="49"/>
        <v>560</v>
      </c>
      <c r="T54" s="23">
        <f t="shared" si="49"/>
        <v>560</v>
      </c>
      <c r="U54" s="23">
        <f t="shared" si="49"/>
        <v>560</v>
      </c>
      <c r="V54" s="23">
        <f t="shared" si="49"/>
        <v>560</v>
      </c>
      <c r="W54" s="23">
        <f t="shared" si="49"/>
        <v>560</v>
      </c>
      <c r="X54" s="23">
        <f t="shared" si="49"/>
        <v>560</v>
      </c>
      <c r="Y54" s="23">
        <f t="shared" si="49"/>
        <v>560</v>
      </c>
      <c r="Z54" s="23">
        <f t="shared" si="49"/>
        <v>560</v>
      </c>
      <c r="AA54" s="23">
        <f t="shared" si="49"/>
        <v>560</v>
      </c>
      <c r="AB54" s="23">
        <f t="shared" si="49"/>
        <v>560</v>
      </c>
    </row>
    <row r="55" spans="1:28" ht="15.75" customHeight="1" x14ac:dyDescent="0.3">
      <c r="A55" s="12">
        <f>RAW!$A$15</f>
        <v>409200</v>
      </c>
      <c r="B55" s="2"/>
      <c r="C55" s="24" t="s">
        <v>28</v>
      </c>
      <c r="D55" s="23">
        <f t="shared" si="40"/>
        <v>1121.0958904109589</v>
      </c>
      <c r="E55" s="2"/>
      <c r="F55" s="24" t="s">
        <v>28</v>
      </c>
      <c r="G55" s="23">
        <f t="shared" ref="G55:AB55" si="50">($A55/G$5)/365</f>
        <v>112.10958904109589</v>
      </c>
      <c r="H55" s="23">
        <f t="shared" si="50"/>
        <v>93.424657534246577</v>
      </c>
      <c r="I55" s="23">
        <f t="shared" si="50"/>
        <v>1121.0958904109589</v>
      </c>
      <c r="J55" s="23">
        <f t="shared" si="50"/>
        <v>1121.0958904109589</v>
      </c>
      <c r="K55" s="23">
        <f t="shared" si="50"/>
        <v>1121.0958904109589</v>
      </c>
      <c r="L55" s="23">
        <f t="shared" si="50"/>
        <v>1121.0958904109589</v>
      </c>
      <c r="M55" s="23">
        <f t="shared" si="50"/>
        <v>1121.0958904109589</v>
      </c>
      <c r="N55" s="23">
        <f t="shared" si="50"/>
        <v>1121.0958904109589</v>
      </c>
      <c r="O55" s="23">
        <f t="shared" si="50"/>
        <v>1121.0958904109589</v>
      </c>
      <c r="P55" s="23">
        <f t="shared" si="50"/>
        <v>1121.0958904109589</v>
      </c>
      <c r="Q55" s="23">
        <f t="shared" si="50"/>
        <v>1121.0958904109589</v>
      </c>
      <c r="R55" s="23">
        <f t="shared" si="50"/>
        <v>1121.0958904109589</v>
      </c>
      <c r="S55" s="23">
        <f t="shared" si="50"/>
        <v>1121.0958904109589</v>
      </c>
      <c r="T55" s="23">
        <f t="shared" si="50"/>
        <v>1121.0958904109589</v>
      </c>
      <c r="U55" s="23">
        <f t="shared" si="50"/>
        <v>1121.0958904109589</v>
      </c>
      <c r="V55" s="23">
        <f t="shared" si="50"/>
        <v>1121.0958904109589</v>
      </c>
      <c r="W55" s="23">
        <f t="shared" si="50"/>
        <v>1121.0958904109589</v>
      </c>
      <c r="X55" s="23">
        <f t="shared" si="50"/>
        <v>1121.0958904109589</v>
      </c>
      <c r="Y55" s="23">
        <f t="shared" si="50"/>
        <v>1121.0958904109589</v>
      </c>
      <c r="Z55" s="23">
        <f t="shared" si="50"/>
        <v>1121.0958904109589</v>
      </c>
      <c r="AA55" s="23">
        <f t="shared" si="50"/>
        <v>1121.0958904109589</v>
      </c>
      <c r="AB55" s="23">
        <f t="shared" si="50"/>
        <v>1121.0958904109589</v>
      </c>
    </row>
    <row r="56" spans="1:28" ht="15.75" customHeight="1" x14ac:dyDescent="0.3">
      <c r="A56" s="12">
        <f>RAW!$A$16</f>
        <v>818800</v>
      </c>
      <c r="B56" s="2"/>
      <c r="C56" s="24" t="s">
        <v>29</v>
      </c>
      <c r="D56" s="23">
        <f t="shared" si="40"/>
        <v>2243.2876712328766</v>
      </c>
      <c r="E56" s="2"/>
      <c r="F56" s="24" t="s">
        <v>29</v>
      </c>
      <c r="G56" s="23">
        <f t="shared" ref="G56:AB56" si="51">($A56/G$5)/365</f>
        <v>224.32876712328766</v>
      </c>
      <c r="H56" s="23">
        <f t="shared" si="51"/>
        <v>186.94063926940638</v>
      </c>
      <c r="I56" s="23">
        <f t="shared" si="51"/>
        <v>2243.2876712328766</v>
      </c>
      <c r="J56" s="23">
        <f t="shared" si="51"/>
        <v>2243.2876712328766</v>
      </c>
      <c r="K56" s="23">
        <f t="shared" si="51"/>
        <v>2243.2876712328766</v>
      </c>
      <c r="L56" s="23">
        <f t="shared" si="51"/>
        <v>2243.2876712328766</v>
      </c>
      <c r="M56" s="23">
        <f t="shared" si="51"/>
        <v>2243.2876712328766</v>
      </c>
      <c r="N56" s="23">
        <f t="shared" si="51"/>
        <v>2243.2876712328766</v>
      </c>
      <c r="O56" s="23">
        <f t="shared" si="51"/>
        <v>2243.2876712328766</v>
      </c>
      <c r="P56" s="23">
        <f t="shared" si="51"/>
        <v>2243.2876712328766</v>
      </c>
      <c r="Q56" s="23">
        <f t="shared" si="51"/>
        <v>2243.2876712328766</v>
      </c>
      <c r="R56" s="23">
        <f t="shared" si="51"/>
        <v>2243.2876712328766</v>
      </c>
      <c r="S56" s="23">
        <f t="shared" si="51"/>
        <v>2243.2876712328766</v>
      </c>
      <c r="T56" s="23">
        <f t="shared" si="51"/>
        <v>2243.2876712328766</v>
      </c>
      <c r="U56" s="23">
        <f t="shared" si="51"/>
        <v>2243.2876712328766</v>
      </c>
      <c r="V56" s="23">
        <f t="shared" si="51"/>
        <v>2243.2876712328766</v>
      </c>
      <c r="W56" s="23">
        <f t="shared" si="51"/>
        <v>2243.2876712328766</v>
      </c>
      <c r="X56" s="23">
        <f t="shared" si="51"/>
        <v>2243.2876712328766</v>
      </c>
      <c r="Y56" s="23">
        <f t="shared" si="51"/>
        <v>2243.2876712328766</v>
      </c>
      <c r="Z56" s="23">
        <f t="shared" si="51"/>
        <v>2243.2876712328766</v>
      </c>
      <c r="AA56" s="23">
        <f t="shared" si="51"/>
        <v>2243.2876712328766</v>
      </c>
      <c r="AB56" s="23">
        <f t="shared" si="51"/>
        <v>2243.2876712328766</v>
      </c>
    </row>
    <row r="57" spans="1:28" ht="15.75" customHeight="1" x14ac:dyDescent="0.3">
      <c r="A57" s="12">
        <f>RAW!$A$17</f>
        <v>1638000</v>
      </c>
      <c r="B57" s="2"/>
      <c r="C57" s="24" t="s">
        <v>30</v>
      </c>
      <c r="D57" s="23">
        <f t="shared" si="40"/>
        <v>4487.6712328767126</v>
      </c>
      <c r="E57" s="2"/>
      <c r="F57" s="24" t="s">
        <v>30</v>
      </c>
      <c r="G57" s="23">
        <f t="shared" ref="G57:AB57" si="52">($A57/G$5)/365</f>
        <v>448.76712328767121</v>
      </c>
      <c r="H57" s="23">
        <f t="shared" si="52"/>
        <v>373.97260273972603</v>
      </c>
      <c r="I57" s="23">
        <f t="shared" si="52"/>
        <v>4487.6712328767126</v>
      </c>
      <c r="J57" s="23">
        <f t="shared" si="52"/>
        <v>4487.6712328767126</v>
      </c>
      <c r="K57" s="23">
        <f t="shared" si="52"/>
        <v>4487.6712328767126</v>
      </c>
      <c r="L57" s="23">
        <f t="shared" si="52"/>
        <v>4487.6712328767126</v>
      </c>
      <c r="M57" s="23">
        <f t="shared" si="52"/>
        <v>4487.6712328767126</v>
      </c>
      <c r="N57" s="23">
        <f t="shared" si="52"/>
        <v>4487.6712328767126</v>
      </c>
      <c r="O57" s="23">
        <f t="shared" si="52"/>
        <v>4487.6712328767126</v>
      </c>
      <c r="P57" s="23">
        <f t="shared" si="52"/>
        <v>4487.6712328767126</v>
      </c>
      <c r="Q57" s="23">
        <f t="shared" si="52"/>
        <v>4487.6712328767126</v>
      </c>
      <c r="R57" s="23">
        <f t="shared" si="52"/>
        <v>4487.6712328767126</v>
      </c>
      <c r="S57" s="23">
        <f t="shared" si="52"/>
        <v>4487.6712328767126</v>
      </c>
      <c r="T57" s="23">
        <f t="shared" si="52"/>
        <v>4487.6712328767126</v>
      </c>
      <c r="U57" s="23">
        <f t="shared" si="52"/>
        <v>4487.6712328767126</v>
      </c>
      <c r="V57" s="23">
        <f t="shared" si="52"/>
        <v>4487.6712328767126</v>
      </c>
      <c r="W57" s="23">
        <f t="shared" si="52"/>
        <v>4487.6712328767126</v>
      </c>
      <c r="X57" s="23">
        <f t="shared" si="52"/>
        <v>4487.6712328767126</v>
      </c>
      <c r="Y57" s="23">
        <f t="shared" si="52"/>
        <v>4487.6712328767126</v>
      </c>
      <c r="Z57" s="23">
        <f t="shared" si="52"/>
        <v>4487.6712328767126</v>
      </c>
      <c r="AA57" s="23">
        <f t="shared" si="52"/>
        <v>4487.6712328767126</v>
      </c>
      <c r="AB57" s="23">
        <f t="shared" si="52"/>
        <v>4487.6712328767126</v>
      </c>
    </row>
    <row r="58" spans="1:28" ht="15.75" customHeight="1" x14ac:dyDescent="0.3">
      <c r="A58" s="12">
        <f>RAW!$A$18</f>
        <v>3276400</v>
      </c>
      <c r="B58" s="2"/>
      <c r="C58" s="24" t="s">
        <v>31</v>
      </c>
      <c r="D58" s="23">
        <f t="shared" si="40"/>
        <v>8976.4383561643845</v>
      </c>
      <c r="E58" s="2"/>
      <c r="F58" s="24" t="s">
        <v>31</v>
      </c>
      <c r="G58" s="23">
        <f t="shared" ref="G58:AB58" si="53">($A58/G$5)/365</f>
        <v>897.64383561643831</v>
      </c>
      <c r="H58" s="23">
        <f t="shared" si="53"/>
        <v>748.03652968036522</v>
      </c>
      <c r="I58" s="23">
        <f t="shared" si="53"/>
        <v>8976.4383561643845</v>
      </c>
      <c r="J58" s="23">
        <f t="shared" si="53"/>
        <v>8976.4383561643845</v>
      </c>
      <c r="K58" s="23">
        <f t="shared" si="53"/>
        <v>8976.4383561643845</v>
      </c>
      <c r="L58" s="23">
        <f t="shared" si="53"/>
        <v>8976.4383561643845</v>
      </c>
      <c r="M58" s="23">
        <f t="shared" si="53"/>
        <v>8976.4383561643845</v>
      </c>
      <c r="N58" s="23">
        <f t="shared" si="53"/>
        <v>8976.4383561643845</v>
      </c>
      <c r="O58" s="23">
        <f t="shared" si="53"/>
        <v>8976.4383561643845</v>
      </c>
      <c r="P58" s="23">
        <f t="shared" si="53"/>
        <v>8976.4383561643845</v>
      </c>
      <c r="Q58" s="23">
        <f t="shared" si="53"/>
        <v>8976.4383561643845</v>
      </c>
      <c r="R58" s="23">
        <f t="shared" si="53"/>
        <v>8976.4383561643845</v>
      </c>
      <c r="S58" s="23">
        <f t="shared" si="53"/>
        <v>8976.4383561643845</v>
      </c>
      <c r="T58" s="23">
        <f t="shared" si="53"/>
        <v>8976.4383561643845</v>
      </c>
      <c r="U58" s="23">
        <f t="shared" si="53"/>
        <v>8976.4383561643845</v>
      </c>
      <c r="V58" s="23">
        <f t="shared" si="53"/>
        <v>8976.4383561643845</v>
      </c>
      <c r="W58" s="23">
        <f t="shared" si="53"/>
        <v>8976.4383561643845</v>
      </c>
      <c r="X58" s="23">
        <f t="shared" si="53"/>
        <v>8976.4383561643845</v>
      </c>
      <c r="Y58" s="23">
        <f t="shared" si="53"/>
        <v>8976.4383561643845</v>
      </c>
      <c r="Z58" s="23">
        <f t="shared" si="53"/>
        <v>8976.4383561643845</v>
      </c>
      <c r="AA58" s="23">
        <f t="shared" si="53"/>
        <v>8976.4383561643845</v>
      </c>
      <c r="AB58" s="23">
        <f t="shared" si="53"/>
        <v>8976.4383561643845</v>
      </c>
    </row>
    <row r="59" spans="1:28" ht="15.75" customHeight="1" x14ac:dyDescent="0.3">
      <c r="A59" s="12">
        <f>RAW!$A$19</f>
        <v>6553200</v>
      </c>
      <c r="B59" s="2"/>
      <c r="C59" s="24" t="s">
        <v>32</v>
      </c>
      <c r="D59" s="23">
        <f t="shared" si="40"/>
        <v>17953.972602739726</v>
      </c>
      <c r="E59" s="2"/>
      <c r="F59" s="24" t="s">
        <v>32</v>
      </c>
      <c r="G59" s="23">
        <f t="shared" ref="G59:AB59" si="54">($A59/G$5)/365</f>
        <v>1795.3972602739725</v>
      </c>
      <c r="H59" s="23">
        <f t="shared" si="54"/>
        <v>1496.1643835616439</v>
      </c>
      <c r="I59" s="23">
        <f t="shared" si="54"/>
        <v>17953.972602739726</v>
      </c>
      <c r="J59" s="23">
        <f t="shared" si="54"/>
        <v>17953.972602739726</v>
      </c>
      <c r="K59" s="23">
        <f t="shared" si="54"/>
        <v>17953.972602739726</v>
      </c>
      <c r="L59" s="23">
        <f t="shared" si="54"/>
        <v>17953.972602739726</v>
      </c>
      <c r="M59" s="23">
        <f t="shared" si="54"/>
        <v>17953.972602739726</v>
      </c>
      <c r="N59" s="23">
        <f t="shared" si="54"/>
        <v>17953.972602739726</v>
      </c>
      <c r="O59" s="23">
        <f t="shared" si="54"/>
        <v>17953.972602739726</v>
      </c>
      <c r="P59" s="23">
        <f t="shared" si="54"/>
        <v>17953.972602739726</v>
      </c>
      <c r="Q59" s="23">
        <f t="shared" si="54"/>
        <v>17953.972602739726</v>
      </c>
      <c r="R59" s="23">
        <f t="shared" si="54"/>
        <v>17953.972602739726</v>
      </c>
      <c r="S59" s="23">
        <f t="shared" si="54"/>
        <v>17953.972602739726</v>
      </c>
      <c r="T59" s="23">
        <f t="shared" si="54"/>
        <v>17953.972602739726</v>
      </c>
      <c r="U59" s="23">
        <f t="shared" si="54"/>
        <v>17953.972602739726</v>
      </c>
      <c r="V59" s="23">
        <f t="shared" si="54"/>
        <v>17953.972602739726</v>
      </c>
      <c r="W59" s="23">
        <f t="shared" si="54"/>
        <v>17953.972602739726</v>
      </c>
      <c r="X59" s="23">
        <f t="shared" si="54"/>
        <v>17953.972602739726</v>
      </c>
      <c r="Y59" s="23">
        <f t="shared" si="54"/>
        <v>17953.972602739726</v>
      </c>
      <c r="Z59" s="23">
        <f t="shared" si="54"/>
        <v>17953.972602739726</v>
      </c>
      <c r="AA59" s="23">
        <f t="shared" si="54"/>
        <v>17953.972602739726</v>
      </c>
      <c r="AB59" s="23">
        <f t="shared" si="54"/>
        <v>17953.972602739726</v>
      </c>
    </row>
    <row r="60" spans="1:28" ht="15.75" customHeight="1" x14ac:dyDescent="0.3">
      <c r="A60" s="12">
        <f>RAW!$A$20</f>
        <v>13106800</v>
      </c>
      <c r="B60" s="2"/>
      <c r="C60" s="24" t="s">
        <v>33</v>
      </c>
      <c r="D60" s="23">
        <f t="shared" si="40"/>
        <v>35909.04109589041</v>
      </c>
      <c r="E60" s="2"/>
      <c r="F60" s="24" t="s">
        <v>33</v>
      </c>
      <c r="G60" s="23">
        <f t="shared" ref="G60:AB60" si="55">($A60/G$5)/365</f>
        <v>3590.9041095890411</v>
      </c>
      <c r="H60" s="23">
        <f t="shared" si="55"/>
        <v>2992.4200913242007</v>
      </c>
      <c r="I60" s="23">
        <f t="shared" si="55"/>
        <v>35909.04109589041</v>
      </c>
      <c r="J60" s="23">
        <f t="shared" si="55"/>
        <v>35909.04109589041</v>
      </c>
      <c r="K60" s="23">
        <f t="shared" si="55"/>
        <v>35909.04109589041</v>
      </c>
      <c r="L60" s="23">
        <f t="shared" si="55"/>
        <v>35909.04109589041</v>
      </c>
      <c r="M60" s="23">
        <f t="shared" si="55"/>
        <v>35909.04109589041</v>
      </c>
      <c r="N60" s="23">
        <f t="shared" si="55"/>
        <v>35909.04109589041</v>
      </c>
      <c r="O60" s="23">
        <f t="shared" si="55"/>
        <v>35909.04109589041</v>
      </c>
      <c r="P60" s="23">
        <f t="shared" si="55"/>
        <v>35909.04109589041</v>
      </c>
      <c r="Q60" s="23">
        <f t="shared" si="55"/>
        <v>35909.04109589041</v>
      </c>
      <c r="R60" s="23">
        <f t="shared" si="55"/>
        <v>35909.04109589041</v>
      </c>
      <c r="S60" s="23">
        <f t="shared" si="55"/>
        <v>35909.04109589041</v>
      </c>
      <c r="T60" s="23">
        <f t="shared" si="55"/>
        <v>35909.04109589041</v>
      </c>
      <c r="U60" s="23">
        <f t="shared" si="55"/>
        <v>35909.04109589041</v>
      </c>
      <c r="V60" s="23">
        <f t="shared" si="55"/>
        <v>35909.04109589041</v>
      </c>
      <c r="W60" s="23">
        <f t="shared" si="55"/>
        <v>35909.04109589041</v>
      </c>
      <c r="X60" s="23">
        <f t="shared" si="55"/>
        <v>35909.04109589041</v>
      </c>
      <c r="Y60" s="23">
        <f t="shared" si="55"/>
        <v>35909.04109589041</v>
      </c>
      <c r="Z60" s="23">
        <f t="shared" si="55"/>
        <v>35909.04109589041</v>
      </c>
      <c r="AA60" s="23">
        <f t="shared" si="55"/>
        <v>35909.04109589041</v>
      </c>
      <c r="AB60" s="23">
        <f t="shared" si="55"/>
        <v>35909.04109589041</v>
      </c>
    </row>
    <row r="61" spans="1:28" ht="15.75" customHeight="1" x14ac:dyDescent="0.3">
      <c r="A61" s="12">
        <f>RAW!$A$21</f>
        <v>26214000</v>
      </c>
      <c r="B61" s="2"/>
      <c r="C61" s="24" t="s">
        <v>34</v>
      </c>
      <c r="D61" s="23">
        <f t="shared" si="40"/>
        <v>71819.178082191778</v>
      </c>
      <c r="E61" s="2"/>
      <c r="F61" s="24" t="s">
        <v>34</v>
      </c>
      <c r="G61" s="23">
        <f t="shared" ref="G61:AB61" si="56">($A61/G$5)/365</f>
        <v>7181.9178082191784</v>
      </c>
      <c r="H61" s="23">
        <f t="shared" si="56"/>
        <v>5984.9315068493152</v>
      </c>
      <c r="I61" s="23">
        <f t="shared" si="56"/>
        <v>71819.178082191778</v>
      </c>
      <c r="J61" s="23">
        <f t="shared" si="56"/>
        <v>71819.178082191778</v>
      </c>
      <c r="K61" s="23">
        <f t="shared" si="56"/>
        <v>71819.178082191778</v>
      </c>
      <c r="L61" s="23">
        <f t="shared" si="56"/>
        <v>71819.178082191778</v>
      </c>
      <c r="M61" s="23">
        <f t="shared" si="56"/>
        <v>71819.178082191778</v>
      </c>
      <c r="N61" s="23">
        <f t="shared" si="56"/>
        <v>71819.178082191778</v>
      </c>
      <c r="O61" s="23">
        <f t="shared" si="56"/>
        <v>71819.178082191778</v>
      </c>
      <c r="P61" s="23">
        <f t="shared" si="56"/>
        <v>71819.178082191778</v>
      </c>
      <c r="Q61" s="23">
        <f t="shared" si="56"/>
        <v>71819.178082191778</v>
      </c>
      <c r="R61" s="23">
        <f t="shared" si="56"/>
        <v>71819.178082191778</v>
      </c>
      <c r="S61" s="23">
        <f t="shared" si="56"/>
        <v>71819.178082191778</v>
      </c>
      <c r="T61" s="23">
        <f t="shared" si="56"/>
        <v>71819.178082191778</v>
      </c>
      <c r="U61" s="23">
        <f t="shared" si="56"/>
        <v>71819.178082191778</v>
      </c>
      <c r="V61" s="23">
        <f t="shared" si="56"/>
        <v>71819.178082191778</v>
      </c>
      <c r="W61" s="23">
        <f t="shared" si="56"/>
        <v>71819.178082191778</v>
      </c>
      <c r="X61" s="23">
        <f t="shared" si="56"/>
        <v>71819.178082191778</v>
      </c>
      <c r="Y61" s="23">
        <f t="shared" si="56"/>
        <v>71819.178082191778</v>
      </c>
      <c r="Z61" s="23">
        <f t="shared" si="56"/>
        <v>71819.178082191778</v>
      </c>
      <c r="AA61" s="23">
        <f t="shared" si="56"/>
        <v>71819.178082191778</v>
      </c>
      <c r="AB61" s="23">
        <f t="shared" si="56"/>
        <v>71819.178082191778</v>
      </c>
    </row>
    <row r="62" spans="1:28" ht="15.75" customHeight="1" x14ac:dyDescent="0.3">
      <c r="A62" s="12">
        <f>RAW!$A$22</f>
        <v>52428400</v>
      </c>
      <c r="B62" s="2"/>
      <c r="C62" s="24" t="s">
        <v>35</v>
      </c>
      <c r="D62" s="23">
        <f t="shared" si="40"/>
        <v>143639.45205479453</v>
      </c>
      <c r="E62" s="2"/>
      <c r="F62" s="24" t="s">
        <v>35</v>
      </c>
      <c r="G62" s="23">
        <f t="shared" ref="G62:AB62" si="57">($A62/G$5)/365</f>
        <v>14363.945205479453</v>
      </c>
      <c r="H62" s="23">
        <f t="shared" si="57"/>
        <v>11969.954337899542</v>
      </c>
      <c r="I62" s="23">
        <f t="shared" si="57"/>
        <v>143639.45205479453</v>
      </c>
      <c r="J62" s="23">
        <f t="shared" si="57"/>
        <v>143639.45205479453</v>
      </c>
      <c r="K62" s="23">
        <f t="shared" si="57"/>
        <v>143639.45205479453</v>
      </c>
      <c r="L62" s="23">
        <f t="shared" si="57"/>
        <v>143639.45205479453</v>
      </c>
      <c r="M62" s="23">
        <f t="shared" si="57"/>
        <v>143639.45205479453</v>
      </c>
      <c r="N62" s="23">
        <f t="shared" si="57"/>
        <v>143639.45205479453</v>
      </c>
      <c r="O62" s="23">
        <f t="shared" si="57"/>
        <v>143639.45205479453</v>
      </c>
      <c r="P62" s="23">
        <f t="shared" si="57"/>
        <v>143639.45205479453</v>
      </c>
      <c r="Q62" s="23">
        <f t="shared" si="57"/>
        <v>143639.45205479453</v>
      </c>
      <c r="R62" s="23">
        <f t="shared" si="57"/>
        <v>143639.45205479453</v>
      </c>
      <c r="S62" s="23">
        <f t="shared" si="57"/>
        <v>143639.45205479453</v>
      </c>
      <c r="T62" s="23">
        <f t="shared" si="57"/>
        <v>143639.45205479453</v>
      </c>
      <c r="U62" s="23">
        <f t="shared" si="57"/>
        <v>143639.45205479453</v>
      </c>
      <c r="V62" s="23">
        <f t="shared" si="57"/>
        <v>143639.45205479453</v>
      </c>
      <c r="W62" s="23">
        <f t="shared" si="57"/>
        <v>143639.45205479453</v>
      </c>
      <c r="X62" s="23">
        <f t="shared" si="57"/>
        <v>143639.45205479453</v>
      </c>
      <c r="Y62" s="23">
        <f t="shared" si="57"/>
        <v>143639.45205479453</v>
      </c>
      <c r="Z62" s="23">
        <f t="shared" si="57"/>
        <v>143639.45205479453</v>
      </c>
      <c r="AA62" s="23">
        <f t="shared" si="57"/>
        <v>143639.45205479453</v>
      </c>
      <c r="AB62" s="23">
        <f t="shared" si="57"/>
        <v>143639.45205479453</v>
      </c>
    </row>
    <row r="63" spans="1:28" ht="15.75" customHeight="1" x14ac:dyDescent="0.3">
      <c r="B63" s="2"/>
      <c r="E63" s="2"/>
    </row>
    <row r="64" spans="1:28" ht="15.75" customHeight="1" x14ac:dyDescent="0.3">
      <c r="B64" s="2"/>
      <c r="E64" s="2"/>
    </row>
    <row r="65" spans="2:5" ht="15.75" customHeight="1" x14ac:dyDescent="0.3">
      <c r="B65" s="2"/>
      <c r="E65" s="2"/>
    </row>
    <row r="66" spans="2:5" ht="15.75" customHeight="1" x14ac:dyDescent="0.3">
      <c r="B66" s="2"/>
      <c r="E66" s="2"/>
    </row>
    <row r="67" spans="2:5" ht="15.75" customHeight="1" x14ac:dyDescent="0.3">
      <c r="B67" s="2"/>
      <c r="E67" s="2"/>
    </row>
    <row r="68" spans="2:5" ht="15.75" customHeight="1" x14ac:dyDescent="0.3">
      <c r="B68" s="2"/>
      <c r="E68" s="2"/>
    </row>
    <row r="69" spans="2:5" ht="15.75" customHeight="1" x14ac:dyDescent="0.3">
      <c r="B69" s="2"/>
      <c r="E69" s="2"/>
    </row>
    <row r="70" spans="2:5" ht="15.75" customHeight="1" x14ac:dyDescent="0.3">
      <c r="B70" s="2"/>
      <c r="E70" s="2"/>
    </row>
    <row r="71" spans="2:5" ht="15.75" customHeight="1" x14ac:dyDescent="0.3">
      <c r="B71" s="2"/>
      <c r="E71" s="2"/>
    </row>
    <row r="72" spans="2:5" ht="15.75" customHeight="1" x14ac:dyDescent="0.3">
      <c r="B72" s="2"/>
      <c r="E72" s="2"/>
    </row>
    <row r="73" spans="2:5" ht="15.75" customHeight="1" x14ac:dyDescent="0.3">
      <c r="B73" s="2"/>
      <c r="E73" s="2"/>
    </row>
    <row r="74" spans="2:5" ht="15.75" customHeight="1" x14ac:dyDescent="0.3">
      <c r="B74" s="2"/>
      <c r="E74" s="2"/>
    </row>
    <row r="75" spans="2:5" ht="15.75" customHeight="1" x14ac:dyDescent="0.3">
      <c r="B75" s="2"/>
      <c r="E75" s="2"/>
    </row>
    <row r="76" spans="2:5" ht="15.75" customHeight="1" x14ac:dyDescent="0.3">
      <c r="B76" s="2"/>
      <c r="E76" s="2"/>
    </row>
    <row r="77" spans="2:5" ht="15.75" customHeight="1" x14ac:dyDescent="0.3">
      <c r="B77" s="2"/>
      <c r="E77" s="2"/>
    </row>
    <row r="78" spans="2:5" ht="15.75" customHeight="1" x14ac:dyDescent="0.3">
      <c r="B78" s="2"/>
      <c r="E78" s="2"/>
    </row>
    <row r="79" spans="2:5" ht="15.75" customHeight="1" x14ac:dyDescent="0.3">
      <c r="B79" s="2"/>
      <c r="E79" s="2"/>
    </row>
    <row r="80" spans="2:5" ht="15.75" customHeight="1" x14ac:dyDescent="0.3">
      <c r="B80" s="2"/>
      <c r="E80" s="2"/>
    </row>
    <row r="81" spans="2:5" ht="15.75" customHeight="1" x14ac:dyDescent="0.3">
      <c r="B81" s="2"/>
      <c r="E81" s="2"/>
    </row>
    <row r="82" spans="2:5" ht="15.75" customHeight="1" x14ac:dyDescent="0.3">
      <c r="B82" s="2"/>
      <c r="E82" s="2"/>
    </row>
    <row r="83" spans="2:5" ht="15.75" customHeight="1" x14ac:dyDescent="0.3">
      <c r="B83" s="2"/>
      <c r="E83" s="2"/>
    </row>
    <row r="84" spans="2:5" ht="15.75" customHeight="1" x14ac:dyDescent="0.3">
      <c r="B84" s="2"/>
      <c r="E84" s="2"/>
    </row>
    <row r="85" spans="2:5" ht="15.75" customHeight="1" x14ac:dyDescent="0.3">
      <c r="B85" s="2"/>
      <c r="E85" s="2"/>
    </row>
    <row r="86" spans="2:5" ht="15.75" customHeight="1" x14ac:dyDescent="0.3">
      <c r="B86" s="2"/>
      <c r="E86" s="2"/>
    </row>
    <row r="87" spans="2:5" ht="15.75" customHeight="1" x14ac:dyDescent="0.3">
      <c r="B87" s="2"/>
      <c r="E87" s="2"/>
    </row>
    <row r="88" spans="2:5" ht="15.75" customHeight="1" x14ac:dyDescent="0.3">
      <c r="B88" s="2"/>
      <c r="E88" s="2"/>
    </row>
    <row r="89" spans="2:5" ht="15.75" customHeight="1" x14ac:dyDescent="0.3">
      <c r="B89" s="2"/>
      <c r="E89" s="2"/>
    </row>
    <row r="90" spans="2:5" ht="15.75" customHeight="1" x14ac:dyDescent="0.3">
      <c r="B90" s="2"/>
      <c r="E90" s="2"/>
    </row>
    <row r="91" spans="2:5" ht="15.75" customHeight="1" x14ac:dyDescent="0.3">
      <c r="B91" s="2"/>
      <c r="E91" s="2"/>
    </row>
    <row r="92" spans="2:5" ht="15.75" customHeight="1" x14ac:dyDescent="0.3">
      <c r="B92" s="2"/>
      <c r="E92" s="2"/>
    </row>
    <row r="93" spans="2:5" ht="15.75" customHeight="1" x14ac:dyDescent="0.3">
      <c r="B93" s="2"/>
      <c r="E93" s="2"/>
    </row>
    <row r="94" spans="2:5" ht="15.75" customHeight="1" x14ac:dyDescent="0.3">
      <c r="B94" s="2"/>
      <c r="E94" s="2"/>
    </row>
    <row r="95" spans="2:5" ht="15.75" customHeight="1" x14ac:dyDescent="0.3">
      <c r="B95" s="2"/>
      <c r="E95" s="2"/>
    </row>
    <row r="96" spans="2:5" ht="15.75" customHeight="1" x14ac:dyDescent="0.3">
      <c r="B96" s="2"/>
      <c r="E96" s="2"/>
    </row>
    <row r="97" spans="2:5" ht="15.75" customHeight="1" x14ac:dyDescent="0.3">
      <c r="B97" s="2"/>
      <c r="E97" s="2"/>
    </row>
    <row r="98" spans="2:5" ht="15.75" customHeight="1" x14ac:dyDescent="0.3">
      <c r="B98" s="2"/>
      <c r="E98" s="2"/>
    </row>
    <row r="99" spans="2:5" ht="15.75" customHeight="1" x14ac:dyDescent="0.3">
      <c r="B99" s="2"/>
      <c r="E99" s="2"/>
    </row>
    <row r="100" spans="2:5" ht="15.75" customHeight="1" x14ac:dyDescent="0.3">
      <c r="B100" s="2"/>
      <c r="E100" s="2"/>
    </row>
    <row r="101" spans="2:5" ht="15.75" customHeight="1" x14ac:dyDescent="0.3">
      <c r="B101" s="2"/>
      <c r="E101" s="2"/>
    </row>
    <row r="102" spans="2:5" ht="15.75" customHeight="1" x14ac:dyDescent="0.3">
      <c r="B102" s="2"/>
      <c r="E102" s="2"/>
    </row>
    <row r="103" spans="2:5" ht="15.75" customHeight="1" x14ac:dyDescent="0.3">
      <c r="B103" s="2"/>
      <c r="E103" s="2"/>
    </row>
    <row r="104" spans="2:5" ht="15.75" customHeight="1" x14ac:dyDescent="0.3">
      <c r="B104" s="2"/>
      <c r="E104" s="2"/>
    </row>
    <row r="105" spans="2:5" ht="15.75" customHeight="1" x14ac:dyDescent="0.3">
      <c r="B105" s="2"/>
      <c r="E105" s="2"/>
    </row>
    <row r="106" spans="2:5" ht="15.75" customHeight="1" x14ac:dyDescent="0.3">
      <c r="B106" s="2"/>
      <c r="E106" s="2"/>
    </row>
    <row r="107" spans="2:5" ht="15.75" customHeight="1" x14ac:dyDescent="0.3">
      <c r="B107" s="2"/>
      <c r="E107" s="2"/>
    </row>
    <row r="108" spans="2:5" ht="15.75" customHeight="1" x14ac:dyDescent="0.3">
      <c r="B108" s="2"/>
      <c r="E108" s="2"/>
    </row>
    <row r="109" spans="2:5" ht="15.75" customHeight="1" x14ac:dyDescent="0.3">
      <c r="B109" s="2"/>
      <c r="E109" s="2"/>
    </row>
    <row r="110" spans="2:5" ht="15.75" customHeight="1" x14ac:dyDescent="0.3">
      <c r="B110" s="2"/>
      <c r="E110" s="2"/>
    </row>
    <row r="111" spans="2:5" ht="15.75" customHeight="1" x14ac:dyDescent="0.3">
      <c r="B111" s="2"/>
      <c r="E111" s="2"/>
    </row>
    <row r="112" spans="2:5" ht="15.75" customHeight="1" x14ac:dyDescent="0.3">
      <c r="B112" s="2"/>
      <c r="E112" s="2"/>
    </row>
    <row r="113" spans="2:5" ht="15.75" customHeight="1" x14ac:dyDescent="0.3">
      <c r="B113" s="2"/>
      <c r="E113" s="2"/>
    </row>
    <row r="114" spans="2:5" ht="15.75" customHeight="1" x14ac:dyDescent="0.3">
      <c r="B114" s="2"/>
      <c r="E114" s="2"/>
    </row>
    <row r="115" spans="2:5" ht="15.75" customHeight="1" x14ac:dyDescent="0.3">
      <c r="B115" s="2"/>
      <c r="E115" s="2"/>
    </row>
    <row r="116" spans="2:5" ht="15.75" customHeight="1" x14ac:dyDescent="0.3">
      <c r="B116" s="2"/>
      <c r="E116" s="2"/>
    </row>
    <row r="117" spans="2:5" ht="15.75" customHeight="1" x14ac:dyDescent="0.3">
      <c r="B117" s="2"/>
      <c r="E117" s="2"/>
    </row>
    <row r="118" spans="2:5" ht="15.75" customHeight="1" x14ac:dyDescent="0.3">
      <c r="B118" s="2"/>
      <c r="E118" s="2"/>
    </row>
    <row r="119" spans="2:5" ht="15.75" customHeight="1" x14ac:dyDescent="0.3">
      <c r="B119" s="2"/>
      <c r="E119" s="2"/>
    </row>
    <row r="120" spans="2:5" ht="15.75" customHeight="1" x14ac:dyDescent="0.3">
      <c r="B120" s="2"/>
      <c r="E120" s="2"/>
    </row>
    <row r="121" spans="2:5" ht="15.75" customHeight="1" x14ac:dyDescent="0.3">
      <c r="B121" s="2"/>
      <c r="E121" s="2"/>
    </row>
    <row r="122" spans="2:5" ht="15.75" customHeight="1" x14ac:dyDescent="0.3">
      <c r="B122" s="2"/>
      <c r="E122" s="2"/>
    </row>
    <row r="123" spans="2:5" ht="15.75" customHeight="1" x14ac:dyDescent="0.3">
      <c r="B123" s="2"/>
      <c r="E123" s="2"/>
    </row>
    <row r="124" spans="2:5" ht="15.75" customHeight="1" x14ac:dyDescent="0.3">
      <c r="B124" s="2"/>
      <c r="E124" s="2"/>
    </row>
    <row r="125" spans="2:5" ht="15.75" customHeight="1" x14ac:dyDescent="0.3">
      <c r="B125" s="2"/>
      <c r="E125" s="2"/>
    </row>
    <row r="126" spans="2:5" ht="15.75" customHeight="1" x14ac:dyDescent="0.3">
      <c r="B126" s="2"/>
      <c r="E126" s="2"/>
    </row>
    <row r="127" spans="2:5" ht="15.75" customHeight="1" x14ac:dyDescent="0.3">
      <c r="B127" s="2"/>
      <c r="E127" s="2"/>
    </row>
    <row r="128" spans="2:5" ht="15.75" customHeight="1" x14ac:dyDescent="0.3">
      <c r="B128" s="2"/>
      <c r="E128" s="2"/>
    </row>
    <row r="129" spans="2:5" ht="15.75" customHeight="1" x14ac:dyDescent="0.3">
      <c r="B129" s="2"/>
      <c r="E129" s="2"/>
    </row>
    <row r="130" spans="2:5" ht="15.75" customHeight="1" x14ac:dyDescent="0.3">
      <c r="B130" s="2"/>
      <c r="E130" s="2"/>
    </row>
    <row r="131" spans="2:5" ht="15.75" customHeight="1" x14ac:dyDescent="0.3">
      <c r="B131" s="2"/>
      <c r="E131" s="2"/>
    </row>
    <row r="132" spans="2:5" ht="15.75" customHeight="1" x14ac:dyDescent="0.3">
      <c r="B132" s="2"/>
      <c r="E132" s="2"/>
    </row>
    <row r="133" spans="2:5" ht="15.75" customHeight="1" x14ac:dyDescent="0.3">
      <c r="B133" s="2"/>
      <c r="E133" s="2"/>
    </row>
    <row r="134" spans="2:5" ht="15.75" customHeight="1" x14ac:dyDescent="0.3">
      <c r="B134" s="2"/>
      <c r="E134" s="2"/>
    </row>
    <row r="135" spans="2:5" ht="15.75" customHeight="1" x14ac:dyDescent="0.3">
      <c r="B135" s="2"/>
      <c r="E135" s="2"/>
    </row>
    <row r="136" spans="2:5" ht="15.75" customHeight="1" x14ac:dyDescent="0.3">
      <c r="B136" s="2"/>
      <c r="E136" s="2"/>
    </row>
    <row r="137" spans="2:5" ht="15.75" customHeight="1" x14ac:dyDescent="0.3">
      <c r="B137" s="2"/>
      <c r="E137" s="2"/>
    </row>
    <row r="138" spans="2:5" ht="15.75" customHeight="1" x14ac:dyDescent="0.3">
      <c r="B138" s="2"/>
      <c r="E138" s="2"/>
    </row>
    <row r="139" spans="2:5" ht="15.75" customHeight="1" x14ac:dyDescent="0.3">
      <c r="B139" s="2"/>
      <c r="E139" s="2"/>
    </row>
    <row r="140" spans="2:5" ht="15.75" customHeight="1" x14ac:dyDescent="0.3">
      <c r="B140" s="2"/>
      <c r="E140" s="2"/>
    </row>
    <row r="141" spans="2:5" ht="15.75" customHeight="1" x14ac:dyDescent="0.3">
      <c r="B141" s="2"/>
      <c r="E141" s="2"/>
    </row>
    <row r="142" spans="2:5" ht="15.75" customHeight="1" x14ac:dyDescent="0.3">
      <c r="B142" s="2"/>
      <c r="E142" s="2"/>
    </row>
    <row r="143" spans="2:5" ht="15.75" customHeight="1" x14ac:dyDescent="0.3">
      <c r="B143" s="2"/>
      <c r="E143" s="2"/>
    </row>
    <row r="144" spans="2:5" ht="15.75" customHeight="1" x14ac:dyDescent="0.3">
      <c r="B144" s="2"/>
      <c r="E144" s="2"/>
    </row>
    <row r="145" spans="2:5" ht="15.75" customHeight="1" x14ac:dyDescent="0.3">
      <c r="B145" s="2"/>
      <c r="E145" s="2"/>
    </row>
    <row r="146" spans="2:5" ht="15.75" customHeight="1" x14ac:dyDescent="0.3">
      <c r="B146" s="2"/>
      <c r="E146" s="2"/>
    </row>
    <row r="147" spans="2:5" ht="15.75" customHeight="1" x14ac:dyDescent="0.3">
      <c r="B147" s="2"/>
      <c r="E147" s="2"/>
    </row>
    <row r="148" spans="2:5" ht="15.75" customHeight="1" x14ac:dyDescent="0.3">
      <c r="B148" s="2"/>
      <c r="E148" s="2"/>
    </row>
    <row r="149" spans="2:5" ht="15.75" customHeight="1" x14ac:dyDescent="0.3">
      <c r="B149" s="2"/>
      <c r="E149" s="2"/>
    </row>
    <row r="150" spans="2:5" ht="15.75" customHeight="1" x14ac:dyDescent="0.3">
      <c r="B150" s="2"/>
      <c r="E150" s="2"/>
    </row>
    <row r="151" spans="2:5" ht="15.75" customHeight="1" x14ac:dyDescent="0.3">
      <c r="B151" s="2"/>
      <c r="E151" s="2"/>
    </row>
    <row r="152" spans="2:5" ht="15.75" customHeight="1" x14ac:dyDescent="0.3">
      <c r="B152" s="2"/>
      <c r="E152" s="2"/>
    </row>
    <row r="153" spans="2:5" ht="15.75" customHeight="1" x14ac:dyDescent="0.3">
      <c r="B153" s="2"/>
      <c r="E153" s="2"/>
    </row>
    <row r="154" spans="2:5" ht="15.75" customHeight="1" x14ac:dyDescent="0.3">
      <c r="B154" s="2"/>
      <c r="E154" s="2"/>
    </row>
    <row r="155" spans="2:5" ht="15.75" customHeight="1" x14ac:dyDescent="0.3">
      <c r="B155" s="2"/>
      <c r="E155" s="2"/>
    </row>
    <row r="156" spans="2:5" ht="15.75" customHeight="1" x14ac:dyDescent="0.3">
      <c r="B156" s="2"/>
      <c r="E156" s="2"/>
    </row>
    <row r="157" spans="2:5" ht="15.75" customHeight="1" x14ac:dyDescent="0.3">
      <c r="B157" s="2"/>
      <c r="E157" s="2"/>
    </row>
    <row r="158" spans="2:5" ht="15.75" customHeight="1" x14ac:dyDescent="0.3">
      <c r="B158" s="2"/>
      <c r="E158" s="2"/>
    </row>
    <row r="159" spans="2:5" ht="15.75" customHeight="1" x14ac:dyDescent="0.3">
      <c r="B159" s="2"/>
      <c r="E159" s="2"/>
    </row>
    <row r="160" spans="2:5" ht="15.75" customHeight="1" x14ac:dyDescent="0.3">
      <c r="B160" s="2"/>
      <c r="E160" s="2"/>
    </row>
    <row r="161" spans="2:5" ht="15.75" customHeight="1" x14ac:dyDescent="0.3">
      <c r="B161" s="2"/>
      <c r="E161" s="2"/>
    </row>
    <row r="162" spans="2:5" ht="15.75" customHeight="1" x14ac:dyDescent="0.3">
      <c r="B162" s="2"/>
      <c r="E162" s="2"/>
    </row>
    <row r="163" spans="2:5" ht="15.75" customHeight="1" x14ac:dyDescent="0.3">
      <c r="B163" s="2"/>
      <c r="E163" s="2"/>
    </row>
    <row r="164" spans="2:5" ht="15.75" customHeight="1" x14ac:dyDescent="0.3">
      <c r="B164" s="2"/>
      <c r="E164" s="2"/>
    </row>
    <row r="165" spans="2:5" ht="15.75" customHeight="1" x14ac:dyDescent="0.3">
      <c r="B165" s="2"/>
      <c r="E165" s="2"/>
    </row>
    <row r="166" spans="2:5" ht="15.75" customHeight="1" x14ac:dyDescent="0.3">
      <c r="B166" s="2"/>
      <c r="E166" s="2"/>
    </row>
    <row r="167" spans="2:5" ht="15.75" customHeight="1" x14ac:dyDescent="0.3">
      <c r="B167" s="2"/>
      <c r="E167" s="2"/>
    </row>
    <row r="168" spans="2:5" ht="15.75" customHeight="1" x14ac:dyDescent="0.3">
      <c r="B168" s="2"/>
      <c r="E168" s="2"/>
    </row>
    <row r="169" spans="2:5" ht="15.75" customHeight="1" x14ac:dyDescent="0.3">
      <c r="B169" s="2"/>
      <c r="E169" s="2"/>
    </row>
    <row r="170" spans="2:5" ht="15.75" customHeight="1" x14ac:dyDescent="0.3">
      <c r="B170" s="2"/>
      <c r="E170" s="2"/>
    </row>
    <row r="171" spans="2:5" ht="15.75" customHeight="1" x14ac:dyDescent="0.3">
      <c r="B171" s="2"/>
      <c r="E171" s="2"/>
    </row>
    <row r="172" spans="2:5" ht="15.75" customHeight="1" x14ac:dyDescent="0.3">
      <c r="B172" s="2"/>
      <c r="E172" s="2"/>
    </row>
    <row r="173" spans="2:5" ht="15.75" customHeight="1" x14ac:dyDescent="0.3">
      <c r="B173" s="2"/>
      <c r="E173" s="2"/>
    </row>
    <row r="174" spans="2:5" ht="15.75" customHeight="1" x14ac:dyDescent="0.3">
      <c r="B174" s="2"/>
      <c r="E174" s="2"/>
    </row>
    <row r="175" spans="2:5" ht="15.75" customHeight="1" x14ac:dyDescent="0.3">
      <c r="B175" s="2"/>
      <c r="E175" s="2"/>
    </row>
    <row r="176" spans="2:5" ht="15.75" customHeight="1" x14ac:dyDescent="0.3">
      <c r="B176" s="2"/>
      <c r="E176" s="2"/>
    </row>
    <row r="177" spans="2:5" ht="15.75" customHeight="1" x14ac:dyDescent="0.3">
      <c r="B177" s="2"/>
      <c r="E177" s="2"/>
    </row>
    <row r="178" spans="2:5" ht="15.75" customHeight="1" x14ac:dyDescent="0.3">
      <c r="B178" s="2"/>
      <c r="E178" s="2"/>
    </row>
    <row r="179" spans="2:5" ht="15.75" customHeight="1" x14ac:dyDescent="0.3">
      <c r="B179" s="2"/>
      <c r="E179" s="2"/>
    </row>
    <row r="180" spans="2:5" ht="15.75" customHeight="1" x14ac:dyDescent="0.3">
      <c r="B180" s="2"/>
      <c r="E180" s="2"/>
    </row>
    <row r="181" spans="2:5" ht="15.75" customHeight="1" x14ac:dyDescent="0.3">
      <c r="B181" s="2"/>
      <c r="E181" s="2"/>
    </row>
    <row r="182" spans="2:5" ht="15.75" customHeight="1" x14ac:dyDescent="0.3">
      <c r="B182" s="2"/>
      <c r="E182" s="2"/>
    </row>
    <row r="183" spans="2:5" ht="15.75" customHeight="1" x14ac:dyDescent="0.3">
      <c r="B183" s="2"/>
      <c r="E183" s="2"/>
    </row>
    <row r="184" spans="2:5" ht="15.75" customHeight="1" x14ac:dyDescent="0.3">
      <c r="B184" s="2"/>
      <c r="E184" s="2"/>
    </row>
    <row r="185" spans="2:5" ht="15.75" customHeight="1" x14ac:dyDescent="0.3">
      <c r="B185" s="2"/>
      <c r="E185" s="2"/>
    </row>
    <row r="186" spans="2:5" ht="15.75" customHeight="1" x14ac:dyDescent="0.3">
      <c r="B186" s="2"/>
      <c r="E186" s="2"/>
    </row>
    <row r="187" spans="2:5" ht="15.75" customHeight="1" x14ac:dyDescent="0.3">
      <c r="B187" s="2"/>
      <c r="E187" s="2"/>
    </row>
    <row r="188" spans="2:5" ht="15.75" customHeight="1" x14ac:dyDescent="0.3">
      <c r="B188" s="2"/>
      <c r="E188" s="2"/>
    </row>
    <row r="189" spans="2:5" ht="15.75" customHeight="1" x14ac:dyDescent="0.3">
      <c r="B189" s="2"/>
      <c r="E189" s="2"/>
    </row>
    <row r="190" spans="2:5" ht="15.75" customHeight="1" x14ac:dyDescent="0.3">
      <c r="B190" s="2"/>
      <c r="E190" s="2"/>
    </row>
    <row r="191" spans="2:5" ht="15.75" customHeight="1" x14ac:dyDescent="0.3">
      <c r="B191" s="2"/>
      <c r="E191" s="2"/>
    </row>
    <row r="192" spans="2:5" ht="15.75" customHeight="1" x14ac:dyDescent="0.3">
      <c r="B192" s="2"/>
      <c r="E192" s="2"/>
    </row>
    <row r="193" spans="2:5" ht="15.75" customHeight="1" x14ac:dyDescent="0.3">
      <c r="B193" s="2"/>
      <c r="E193" s="2"/>
    </row>
    <row r="194" spans="2:5" ht="15.75" customHeight="1" x14ac:dyDescent="0.3">
      <c r="B194" s="2"/>
      <c r="E194" s="2"/>
    </row>
    <row r="195" spans="2:5" ht="15.75" customHeight="1" x14ac:dyDescent="0.3">
      <c r="B195" s="2"/>
      <c r="E195" s="2"/>
    </row>
    <row r="196" spans="2:5" ht="15.75" customHeight="1" x14ac:dyDescent="0.3">
      <c r="B196" s="2"/>
      <c r="E196" s="2"/>
    </row>
    <row r="197" spans="2:5" ht="15.75" customHeight="1" x14ac:dyDescent="0.3">
      <c r="B197" s="2"/>
      <c r="E197" s="2"/>
    </row>
    <row r="198" spans="2:5" ht="15.75" customHeight="1" x14ac:dyDescent="0.3">
      <c r="B198" s="2"/>
      <c r="E198" s="2"/>
    </row>
    <row r="199" spans="2:5" ht="15.75" customHeight="1" x14ac:dyDescent="0.3">
      <c r="B199" s="2"/>
      <c r="E199" s="2"/>
    </row>
    <row r="200" spans="2:5" ht="15.75" customHeight="1" x14ac:dyDescent="0.3">
      <c r="B200" s="2"/>
      <c r="E200" s="2"/>
    </row>
    <row r="201" spans="2:5" ht="15.75" customHeight="1" x14ac:dyDescent="0.3">
      <c r="B201" s="2"/>
      <c r="E201" s="2"/>
    </row>
    <row r="202" spans="2:5" ht="15.75" customHeight="1" x14ac:dyDescent="0.3">
      <c r="B202" s="2"/>
      <c r="E202" s="2"/>
    </row>
    <row r="203" spans="2:5" ht="15.75" customHeight="1" x14ac:dyDescent="0.3">
      <c r="B203" s="2"/>
      <c r="E203" s="2"/>
    </row>
    <row r="204" spans="2:5" ht="15.75" customHeight="1" x14ac:dyDescent="0.3">
      <c r="B204" s="2"/>
      <c r="E204" s="2"/>
    </row>
    <row r="205" spans="2:5" ht="15.75" customHeight="1" x14ac:dyDescent="0.3">
      <c r="B205" s="2"/>
      <c r="E205" s="2"/>
    </row>
    <row r="206" spans="2:5" ht="15.75" customHeight="1" x14ac:dyDescent="0.3">
      <c r="B206" s="2"/>
      <c r="E206" s="2"/>
    </row>
    <row r="207" spans="2:5" ht="15.75" customHeight="1" x14ac:dyDescent="0.3">
      <c r="B207" s="2"/>
      <c r="E207" s="2"/>
    </row>
    <row r="208" spans="2:5" ht="15.75" customHeight="1" x14ac:dyDescent="0.3">
      <c r="B208" s="2"/>
      <c r="E208" s="2"/>
    </row>
    <row r="209" spans="2:5" ht="15.75" customHeight="1" x14ac:dyDescent="0.3">
      <c r="B209" s="2"/>
      <c r="E209" s="2"/>
    </row>
    <row r="210" spans="2:5" ht="15.75" customHeight="1" x14ac:dyDescent="0.3">
      <c r="B210" s="2"/>
      <c r="E210" s="2"/>
    </row>
    <row r="211" spans="2:5" ht="15.75" customHeight="1" x14ac:dyDescent="0.3">
      <c r="B211" s="2"/>
      <c r="E211" s="2"/>
    </row>
    <row r="212" spans="2:5" ht="15.75" customHeight="1" x14ac:dyDescent="0.3">
      <c r="B212" s="2"/>
      <c r="E212" s="2"/>
    </row>
    <row r="213" spans="2:5" ht="15.75" customHeight="1" x14ac:dyDescent="0.3">
      <c r="B213" s="2"/>
      <c r="E213" s="2"/>
    </row>
    <row r="214" spans="2:5" ht="15.75" customHeight="1" x14ac:dyDescent="0.3">
      <c r="B214" s="2"/>
      <c r="E214" s="2"/>
    </row>
    <row r="215" spans="2:5" ht="15.75" customHeight="1" x14ac:dyDescent="0.3">
      <c r="B215" s="2"/>
      <c r="E215" s="2"/>
    </row>
    <row r="216" spans="2:5" ht="15.75" customHeight="1" x14ac:dyDescent="0.3">
      <c r="B216" s="2"/>
      <c r="E216" s="2"/>
    </row>
    <row r="217" spans="2:5" ht="15.75" customHeight="1" x14ac:dyDescent="0.3">
      <c r="B217" s="2"/>
      <c r="E217" s="2"/>
    </row>
    <row r="218" spans="2:5" ht="15.75" customHeight="1" x14ac:dyDescent="0.3">
      <c r="B218" s="2"/>
      <c r="E218" s="2"/>
    </row>
    <row r="219" spans="2:5" ht="15.75" customHeight="1" x14ac:dyDescent="0.3">
      <c r="B219" s="2"/>
      <c r="E219" s="2"/>
    </row>
    <row r="220" spans="2:5" ht="15.75" customHeight="1" x14ac:dyDescent="0.3">
      <c r="B220" s="2"/>
      <c r="E220" s="2"/>
    </row>
    <row r="221" spans="2:5" ht="15.75" customHeight="1" x14ac:dyDescent="0.3">
      <c r="B221" s="2"/>
      <c r="E221" s="2"/>
    </row>
    <row r="222" spans="2:5" ht="15.75" customHeight="1" x14ac:dyDescent="0.3">
      <c r="B222" s="2"/>
      <c r="E222" s="2"/>
    </row>
    <row r="223" spans="2:5" ht="15.75" customHeight="1" x14ac:dyDescent="0.3">
      <c r="B223" s="2"/>
      <c r="E223" s="2"/>
    </row>
    <row r="224" spans="2:5" ht="15.75" customHeight="1" x14ac:dyDescent="0.3">
      <c r="B224" s="2"/>
      <c r="E224" s="2"/>
    </row>
    <row r="225" spans="2:5" ht="15.75" customHeight="1" x14ac:dyDescent="0.3">
      <c r="B225" s="2"/>
      <c r="E225" s="2"/>
    </row>
    <row r="226" spans="2:5" ht="15.75" customHeight="1" x14ac:dyDescent="0.3">
      <c r="B226" s="2"/>
      <c r="E226" s="2"/>
    </row>
    <row r="227" spans="2:5" ht="15.75" customHeight="1" x14ac:dyDescent="0.3">
      <c r="B227" s="2"/>
      <c r="E227" s="2"/>
    </row>
    <row r="228" spans="2:5" ht="15.75" customHeight="1" x14ac:dyDescent="0.3">
      <c r="B228" s="2"/>
      <c r="E228" s="2"/>
    </row>
    <row r="229" spans="2:5" ht="15.75" customHeight="1" x14ac:dyDescent="0.3">
      <c r="B229" s="2"/>
      <c r="E229" s="2"/>
    </row>
    <row r="230" spans="2:5" ht="15.75" customHeight="1" x14ac:dyDescent="0.3">
      <c r="B230" s="2"/>
      <c r="E230" s="2"/>
    </row>
    <row r="231" spans="2:5" ht="15.75" customHeight="1" x14ac:dyDescent="0.3">
      <c r="B231" s="2"/>
      <c r="E231" s="2"/>
    </row>
    <row r="232" spans="2:5" ht="15.75" customHeight="1" x14ac:dyDescent="0.3">
      <c r="B232" s="2"/>
      <c r="E232" s="2"/>
    </row>
    <row r="233" spans="2:5" ht="15.75" customHeight="1" x14ac:dyDescent="0.3">
      <c r="B233" s="2"/>
      <c r="E233" s="2"/>
    </row>
    <row r="234" spans="2:5" ht="15.75" customHeight="1" x14ac:dyDescent="0.3">
      <c r="B234" s="2"/>
      <c r="E234" s="2"/>
    </row>
    <row r="235" spans="2:5" ht="15.75" customHeight="1" x14ac:dyDescent="0.3">
      <c r="B235" s="2"/>
      <c r="E235" s="2"/>
    </row>
    <row r="236" spans="2:5" ht="15.75" customHeight="1" x14ac:dyDescent="0.3">
      <c r="B236" s="2"/>
      <c r="E236" s="2"/>
    </row>
    <row r="237" spans="2:5" ht="15.75" customHeight="1" x14ac:dyDescent="0.3">
      <c r="B237" s="2"/>
      <c r="E237" s="2"/>
    </row>
    <row r="238" spans="2:5" ht="15.75" customHeight="1" x14ac:dyDescent="0.3">
      <c r="B238" s="2"/>
      <c r="E238" s="2"/>
    </row>
    <row r="239" spans="2:5" ht="15.75" customHeight="1" x14ac:dyDescent="0.3">
      <c r="B239" s="2"/>
      <c r="E239" s="2"/>
    </row>
    <row r="240" spans="2:5" ht="15.75" customHeight="1" x14ac:dyDescent="0.3">
      <c r="B240" s="2"/>
      <c r="E240" s="2"/>
    </row>
    <row r="241" spans="2:5" ht="15.75" customHeight="1" x14ac:dyDescent="0.3">
      <c r="B241" s="2"/>
      <c r="E241" s="2"/>
    </row>
    <row r="242" spans="2:5" ht="15.75" customHeight="1" x14ac:dyDescent="0.3">
      <c r="B242" s="2"/>
      <c r="E242" s="2"/>
    </row>
    <row r="243" spans="2:5" ht="15.75" customHeight="1" x14ac:dyDescent="0.3">
      <c r="B243" s="2"/>
      <c r="E243" s="2"/>
    </row>
    <row r="244" spans="2:5" ht="15.75" customHeight="1" x14ac:dyDescent="0.3">
      <c r="B244" s="2"/>
      <c r="E244" s="2"/>
    </row>
    <row r="245" spans="2:5" ht="15.75" customHeight="1" x14ac:dyDescent="0.3">
      <c r="B245" s="2"/>
      <c r="E245" s="2"/>
    </row>
    <row r="246" spans="2:5" ht="15.75" customHeight="1" x14ac:dyDescent="0.3">
      <c r="B246" s="2"/>
      <c r="E246" s="2"/>
    </row>
    <row r="247" spans="2:5" ht="15.75" customHeight="1" x14ac:dyDescent="0.3">
      <c r="B247" s="2"/>
      <c r="E247" s="2"/>
    </row>
    <row r="248" spans="2:5" ht="15.75" customHeight="1" x14ac:dyDescent="0.3">
      <c r="B248" s="2"/>
      <c r="E248" s="2"/>
    </row>
    <row r="249" spans="2:5" ht="15.75" customHeight="1" x14ac:dyDescent="0.3">
      <c r="B249" s="2"/>
      <c r="E249" s="2"/>
    </row>
    <row r="250" spans="2:5" ht="15.75" customHeight="1" x14ac:dyDescent="0.3">
      <c r="B250" s="2"/>
      <c r="E250" s="2"/>
    </row>
    <row r="251" spans="2:5" ht="15.75" customHeight="1" x14ac:dyDescent="0.3">
      <c r="B251" s="2"/>
      <c r="E251" s="2"/>
    </row>
    <row r="252" spans="2:5" ht="15.75" customHeight="1" x14ac:dyDescent="0.3">
      <c r="B252" s="2"/>
      <c r="E252" s="2"/>
    </row>
    <row r="253" spans="2:5" ht="15.75" customHeight="1" x14ac:dyDescent="0.3">
      <c r="B253" s="2"/>
      <c r="E253" s="2"/>
    </row>
    <row r="254" spans="2:5" ht="15.75" customHeight="1" x14ac:dyDescent="0.3">
      <c r="B254" s="2"/>
      <c r="E254" s="2"/>
    </row>
    <row r="255" spans="2:5" ht="15.75" customHeight="1" x14ac:dyDescent="0.3">
      <c r="B255" s="2"/>
      <c r="E255" s="2"/>
    </row>
    <row r="256" spans="2:5" ht="15.75" customHeight="1" x14ac:dyDescent="0.3">
      <c r="B256" s="2"/>
      <c r="E256" s="2"/>
    </row>
    <row r="257" spans="2:5" ht="15.75" customHeight="1" x14ac:dyDescent="0.3">
      <c r="B257" s="2"/>
      <c r="E257" s="2"/>
    </row>
    <row r="258" spans="2:5" ht="15.75" customHeight="1" x14ac:dyDescent="0.3">
      <c r="B258" s="2"/>
      <c r="E258" s="2"/>
    </row>
    <row r="259" spans="2:5" ht="15.75" customHeight="1" x14ac:dyDescent="0.3">
      <c r="B259" s="2"/>
      <c r="E259" s="2"/>
    </row>
    <row r="260" spans="2:5" ht="15.75" customHeight="1" x14ac:dyDescent="0.3">
      <c r="B260" s="2"/>
      <c r="E260" s="2"/>
    </row>
    <row r="261" spans="2:5" ht="15.75" customHeight="1" x14ac:dyDescent="0.3">
      <c r="B261" s="2"/>
      <c r="E261" s="2"/>
    </row>
    <row r="262" spans="2:5" ht="15.75" customHeight="1" x14ac:dyDescent="0.3">
      <c r="B262" s="2"/>
      <c r="E262" s="2"/>
    </row>
    <row r="263" spans="2:5" ht="15.75" customHeight="1" x14ac:dyDescent="0.3"/>
    <row r="264" spans="2:5" ht="15.75" customHeight="1" x14ac:dyDescent="0.3"/>
    <row r="265" spans="2:5" ht="15.75" customHeight="1" x14ac:dyDescent="0.3"/>
    <row r="266" spans="2:5" ht="15.75" customHeight="1" x14ac:dyDescent="0.3"/>
    <row r="267" spans="2:5" ht="15.75" customHeight="1" x14ac:dyDescent="0.3"/>
    <row r="268" spans="2:5" ht="15.75" customHeight="1" x14ac:dyDescent="0.3"/>
    <row r="269" spans="2:5" ht="15.75" customHeight="1" x14ac:dyDescent="0.3"/>
    <row r="270" spans="2:5" ht="15.75" customHeight="1" x14ac:dyDescent="0.3"/>
    <row r="271" spans="2:5" ht="15.75" customHeight="1" x14ac:dyDescent="0.3"/>
    <row r="272" spans="2:5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C44:D44"/>
    <mergeCell ref="G44:AB44"/>
    <mergeCell ref="C1:D1"/>
    <mergeCell ref="G1:AB1"/>
    <mergeCell ref="A2:A5"/>
    <mergeCell ref="C6:D6"/>
    <mergeCell ref="G6:AB6"/>
    <mergeCell ref="C25:D25"/>
    <mergeCell ref="G25:AB25"/>
  </mergeCells>
  <conditionalFormatting sqref="D8:D24">
    <cfRule type="cellIs" dxfId="780" priority="22" operator="greaterThanOrEqual">
      <formula>$D$4</formula>
    </cfRule>
    <cfRule type="cellIs" dxfId="779" priority="24" operator="between">
      <formula>$D$3</formula>
      <formula>$D$4</formula>
    </cfRule>
    <cfRule type="cellIs" dxfId="778" priority="23" operator="lessThanOrEqual">
      <formula>$D$2</formula>
    </cfRule>
  </conditionalFormatting>
  <conditionalFormatting sqref="D27:D43 G27:AB43">
    <cfRule type="cellIs" dxfId="777" priority="21" operator="greaterThanOrEqual">
      <formula>365</formula>
    </cfRule>
  </conditionalFormatting>
  <conditionalFormatting sqref="D46:D62 G46:AB62">
    <cfRule type="cellIs" dxfId="776" priority="20" operator="lessThanOrEqual">
      <formula>1</formula>
    </cfRule>
  </conditionalFormatting>
  <conditionalFormatting sqref="G8:G24">
    <cfRule type="cellIs" dxfId="775" priority="1" operator="greaterThanOrEqual">
      <formula>$G$4</formula>
    </cfRule>
    <cfRule type="cellIs" dxfId="774" priority="19" operator="lessThanOrEqual">
      <formula>$G$2</formula>
    </cfRule>
    <cfRule type="cellIs" dxfId="773" priority="10" operator="between">
      <formula>$G$3</formula>
      <formula>$G$4</formula>
    </cfRule>
  </conditionalFormatting>
  <conditionalFormatting sqref="H8:H24">
    <cfRule type="cellIs" dxfId="772" priority="2" operator="greaterThanOrEqual">
      <formula>$H$4</formula>
    </cfRule>
    <cfRule type="cellIs" dxfId="771" priority="11" operator="between">
      <formula>$H$3</formula>
      <formula>$H$4</formula>
    </cfRule>
    <cfRule type="cellIs" dxfId="770" priority="26" operator="lessThanOrEqual">
      <formula>$H$2</formula>
    </cfRule>
  </conditionalFormatting>
  <conditionalFormatting sqref="I8:I24">
    <cfRule type="cellIs" dxfId="769" priority="3" operator="greaterThanOrEqual">
      <formula>$I$4</formula>
    </cfRule>
    <cfRule type="cellIs" dxfId="768" priority="12" operator="between">
      <formula>I$3</formula>
      <formula>I$4</formula>
    </cfRule>
    <cfRule type="cellIs" dxfId="767" priority="27" operator="lessThanOrEqual">
      <formula>$I$2</formula>
    </cfRule>
  </conditionalFormatting>
  <conditionalFormatting sqref="J8:J24">
    <cfRule type="cellIs" dxfId="766" priority="4" operator="greaterThanOrEqual">
      <formula>$J$4</formula>
    </cfRule>
    <cfRule type="cellIs" dxfId="765" priority="13" operator="between">
      <formula>$J$3</formula>
      <formula>$J$4</formula>
    </cfRule>
    <cfRule type="cellIs" dxfId="764" priority="28" operator="lessThanOrEqual">
      <formula>$J$2</formula>
    </cfRule>
  </conditionalFormatting>
  <conditionalFormatting sqref="K8:K24">
    <cfRule type="cellIs" dxfId="763" priority="5" operator="greaterThanOrEqual">
      <formula>$K$4</formula>
    </cfRule>
    <cfRule type="cellIs" dxfId="762" priority="14" operator="between">
      <formula>$K$3</formula>
      <formula>$K$4</formula>
    </cfRule>
    <cfRule type="cellIs" dxfId="761" priority="29" operator="lessThanOrEqual">
      <formula>$K$2</formula>
    </cfRule>
  </conditionalFormatting>
  <conditionalFormatting sqref="L8:L24">
    <cfRule type="cellIs" dxfId="760" priority="6" operator="greaterThanOrEqual">
      <formula>$L$4</formula>
    </cfRule>
    <cfRule type="cellIs" dxfId="759" priority="15" operator="between">
      <formula>$L$3</formula>
      <formula>$L$4</formula>
    </cfRule>
    <cfRule type="cellIs" dxfId="758" priority="30" operator="lessThanOrEqual">
      <formula>$L$2</formula>
    </cfRule>
  </conditionalFormatting>
  <conditionalFormatting sqref="M8:M24">
    <cfRule type="cellIs" dxfId="757" priority="7" operator="greaterThanOrEqual">
      <formula>$M$4</formula>
    </cfRule>
    <cfRule type="cellIs" dxfId="756" priority="16" operator="between">
      <formula>$M$3</formula>
      <formula>$M$4</formula>
    </cfRule>
    <cfRule type="cellIs" dxfId="755" priority="31" operator="lessThanOrEqual">
      <formula>$M$2</formula>
    </cfRule>
  </conditionalFormatting>
  <conditionalFormatting sqref="N8:N24">
    <cfRule type="cellIs" dxfId="754" priority="8" operator="greaterThanOrEqual">
      <formula>$N$4</formula>
    </cfRule>
    <cfRule type="cellIs" dxfId="753" priority="17" operator="between">
      <formula>$N$3</formula>
      <formula>$N$4</formula>
    </cfRule>
    <cfRule type="cellIs" dxfId="752" priority="32" operator="lessThanOrEqual">
      <formula>$N$2</formula>
    </cfRule>
  </conditionalFormatting>
  <conditionalFormatting sqref="O8:O24">
    <cfRule type="cellIs" dxfId="751" priority="18" operator="between">
      <formula>$O$3</formula>
      <formula>$O$4</formula>
    </cfRule>
    <cfRule type="cellIs" dxfId="750" priority="9" operator="greaterThanOrEqual">
      <formula>$O$4</formula>
    </cfRule>
    <cfRule type="cellIs" dxfId="749" priority="33" operator="lessThanOrEqual">
      <formula>$O$2</formula>
    </cfRule>
  </conditionalFormatting>
  <conditionalFormatting sqref="P7:P24">
    <cfRule type="cellIs" dxfId="748" priority="46" operator="between">
      <formula>$P$3</formula>
      <formula>$P$4</formula>
    </cfRule>
  </conditionalFormatting>
  <conditionalFormatting sqref="P8:P24">
    <cfRule type="cellIs" dxfId="747" priority="25" operator="lessThanOrEqual">
      <formula>$P$2</formula>
    </cfRule>
    <cfRule type="cellIs" dxfId="746" priority="59" operator="greaterThanOrEqual">
      <formula>$P$4</formula>
    </cfRule>
  </conditionalFormatting>
  <conditionalFormatting sqref="Q8:Q24">
    <cfRule type="cellIs" dxfId="745" priority="34" operator="lessThanOrEqual">
      <formula>$Q$2</formula>
    </cfRule>
    <cfRule type="cellIs" dxfId="744" priority="47" operator="between">
      <formula>$Q$3</formula>
      <formula>$Q$4</formula>
    </cfRule>
    <cfRule type="cellIs" dxfId="743" priority="60" operator="greaterThanOrEqual">
      <formula>$Q$4</formula>
    </cfRule>
  </conditionalFormatting>
  <conditionalFormatting sqref="R8:R24">
    <cfRule type="cellIs" dxfId="742" priority="48" operator="between">
      <formula>$R$3</formula>
      <formula>$R$4</formula>
    </cfRule>
    <cfRule type="cellIs" dxfId="741" priority="35" operator="lessThanOrEqual">
      <formula>$R$2</formula>
    </cfRule>
    <cfRule type="cellIs" dxfId="740" priority="61" operator="greaterThanOrEqual">
      <formula>$R$4</formula>
    </cfRule>
  </conditionalFormatting>
  <conditionalFormatting sqref="S8:S24">
    <cfRule type="cellIs" dxfId="739" priority="49" operator="between">
      <formula>$S$3</formula>
      <formula>$S$4</formula>
    </cfRule>
    <cfRule type="cellIs" dxfId="738" priority="36" operator="lessThanOrEqual">
      <formula>$S$2</formula>
    </cfRule>
    <cfRule type="cellIs" dxfId="737" priority="62" operator="greaterThanOrEqual">
      <formula>$S$4</formula>
    </cfRule>
  </conditionalFormatting>
  <conditionalFormatting sqref="T8:T24">
    <cfRule type="cellIs" dxfId="736" priority="37" operator="lessThanOrEqual">
      <formula>$T$2</formula>
    </cfRule>
    <cfRule type="cellIs" dxfId="735" priority="50" operator="between">
      <formula>$T$3</formula>
      <formula>$T$4</formula>
    </cfRule>
    <cfRule type="cellIs" dxfId="734" priority="63" operator="greaterThanOrEqual">
      <formula>$T$4</formula>
    </cfRule>
  </conditionalFormatting>
  <conditionalFormatting sqref="U8:U24">
    <cfRule type="cellIs" dxfId="733" priority="38" operator="lessThanOrEqual">
      <formula>$U$2</formula>
    </cfRule>
    <cfRule type="cellIs" dxfId="732" priority="51" operator="between">
      <formula>$U$3</formula>
      <formula>$U$4</formula>
    </cfRule>
    <cfRule type="cellIs" dxfId="731" priority="64" operator="greaterThanOrEqual">
      <formula>$U$4</formula>
    </cfRule>
  </conditionalFormatting>
  <conditionalFormatting sqref="V8:V24">
    <cfRule type="cellIs" dxfId="730" priority="39" operator="lessThanOrEqual">
      <formula>$V$2</formula>
    </cfRule>
    <cfRule type="cellIs" dxfId="729" priority="52" operator="between">
      <formula>$V$3</formula>
      <formula>$V$4</formula>
    </cfRule>
    <cfRule type="cellIs" dxfId="728" priority="65" operator="greaterThanOrEqual">
      <formula>$V$4</formula>
    </cfRule>
  </conditionalFormatting>
  <conditionalFormatting sqref="W8:W24">
    <cfRule type="cellIs" dxfId="727" priority="40" operator="lessThanOrEqual">
      <formula>$W$2</formula>
    </cfRule>
    <cfRule type="cellIs" dxfId="726" priority="53" operator="between">
      <formula>$W$3</formula>
      <formula>$W$4</formula>
    </cfRule>
    <cfRule type="cellIs" dxfId="725" priority="66" operator="greaterThanOrEqual">
      <formula>$W$4</formula>
    </cfRule>
  </conditionalFormatting>
  <conditionalFormatting sqref="X8:X24">
    <cfRule type="cellIs" dxfId="724" priority="54" operator="between">
      <formula>$X$3</formula>
      <formula>$X$4</formula>
    </cfRule>
    <cfRule type="cellIs" dxfId="723" priority="41" operator="lessThanOrEqual">
      <formula>$X$2</formula>
    </cfRule>
    <cfRule type="cellIs" dxfId="722" priority="67" operator="greaterThanOrEqual">
      <formula>$X$4</formula>
    </cfRule>
  </conditionalFormatting>
  <conditionalFormatting sqref="Y8:Y24">
    <cfRule type="cellIs" dxfId="721" priority="42" operator="lessThanOrEqual">
      <formula>$Y$2</formula>
    </cfRule>
    <cfRule type="cellIs" dxfId="720" priority="55" operator="between">
      <formula>$Y$3</formula>
      <formula>$Y$4</formula>
    </cfRule>
    <cfRule type="cellIs" dxfId="719" priority="68" operator="greaterThanOrEqual">
      <formula>$Y$4</formula>
    </cfRule>
  </conditionalFormatting>
  <conditionalFormatting sqref="Z8:Z24">
    <cfRule type="cellIs" dxfId="718" priority="56" operator="between">
      <formula>$Z$3</formula>
      <formula>$Z$4</formula>
    </cfRule>
    <cfRule type="cellIs" dxfId="717" priority="43" operator="lessThanOrEqual">
      <formula>$Z$2</formula>
    </cfRule>
    <cfRule type="cellIs" dxfId="716" priority="69" operator="greaterThanOrEqual">
      <formula>$Z$4</formula>
    </cfRule>
  </conditionalFormatting>
  <conditionalFormatting sqref="AA8:AA24">
    <cfRule type="cellIs" dxfId="715" priority="57" operator="between">
      <formula>$AA$3</formula>
      <formula>$AA$4</formula>
    </cfRule>
    <cfRule type="cellIs" dxfId="714" priority="44" operator="lessThanOrEqual">
      <formula>$AA$2</formula>
    </cfRule>
    <cfRule type="cellIs" dxfId="713" priority="70" operator="greaterThanOrEqual">
      <formula>$AA$4</formula>
    </cfRule>
  </conditionalFormatting>
  <conditionalFormatting sqref="AB8:AB24">
    <cfRule type="cellIs" dxfId="712" priority="45" operator="lessThanOrEqual">
      <formula>$AB$2</formula>
    </cfRule>
    <cfRule type="cellIs" dxfId="711" priority="58" operator="between">
      <formula>$AB$3</formula>
      <formula>$AB$4</formula>
    </cfRule>
    <cfRule type="cellIs" dxfId="710" priority="71" operator="greaterThanOrEqual">
      <formula>$AB$4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0"/>
  <sheetViews>
    <sheetView topLeftCell="A32" workbookViewId="0">
      <selection activeCell="G76" sqref="G76"/>
    </sheetView>
  </sheetViews>
  <sheetFormatPr defaultColWidth="12.61328125" defaultRowHeight="15" customHeight="1" x14ac:dyDescent="0.3"/>
  <cols>
    <col min="1" max="1" width="10.4609375" customWidth="1"/>
    <col min="2" max="2" width="2.3828125" customWidth="1"/>
    <col min="3" max="3" width="10.4609375" customWidth="1"/>
    <col min="4" max="4" width="12.61328125" customWidth="1"/>
    <col min="5" max="5" width="2.3828125" customWidth="1"/>
    <col min="6" max="6" width="10.4609375" customWidth="1"/>
    <col min="9" max="10" width="14.61328125" customWidth="1"/>
  </cols>
  <sheetData>
    <row r="1" spans="1:28" ht="15.75" customHeight="1" x14ac:dyDescent="0.3">
      <c r="A1" s="1"/>
      <c r="B1" s="2"/>
      <c r="C1" s="32" t="s">
        <v>0</v>
      </c>
      <c r="D1" s="30"/>
      <c r="E1" s="2"/>
      <c r="F1" s="3"/>
      <c r="G1" s="32" t="s">
        <v>1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ht="15.75" customHeight="1" x14ac:dyDescent="0.3">
      <c r="A2" s="33" t="s">
        <v>2</v>
      </c>
      <c r="B2" s="2"/>
      <c r="C2" s="4" t="s">
        <v>3</v>
      </c>
      <c r="D2" s="5">
        <f>D3/12</f>
        <v>1.893939393939394E-2</v>
      </c>
      <c r="E2" s="2"/>
      <c r="F2" s="4" t="s">
        <v>3</v>
      </c>
      <c r="G2" s="5">
        <f t="shared" ref="G2:AB2" si="0">G3/12</f>
        <v>1.7045454545454544</v>
      </c>
      <c r="H2" s="5">
        <f t="shared" si="0"/>
        <v>1.7045454545454544</v>
      </c>
      <c r="I2" s="5">
        <f t="shared" si="0"/>
        <v>1.3257575757575757</v>
      </c>
      <c r="J2" s="5">
        <f t="shared" si="0"/>
        <v>2.2916666666666665</v>
      </c>
      <c r="K2" s="5">
        <f t="shared" si="0"/>
        <v>0.92803030303030287</v>
      </c>
      <c r="L2" s="5">
        <f t="shared" si="0"/>
        <v>1.893939393939394E-2</v>
      </c>
      <c r="M2" s="5">
        <f t="shared" si="0"/>
        <v>1.893939393939394E-2</v>
      </c>
      <c r="N2" s="5">
        <f t="shared" si="0"/>
        <v>1.893939393939394E-2</v>
      </c>
      <c r="O2" s="5">
        <f t="shared" si="0"/>
        <v>1.893939393939394E-2</v>
      </c>
      <c r="P2" s="5">
        <f t="shared" si="0"/>
        <v>1.893939393939394E-2</v>
      </c>
      <c r="Q2" s="5">
        <f t="shared" si="0"/>
        <v>1.893939393939394E-2</v>
      </c>
      <c r="R2" s="5">
        <f t="shared" si="0"/>
        <v>1.893939393939394E-2</v>
      </c>
      <c r="S2" s="5">
        <f t="shared" si="0"/>
        <v>1.893939393939394E-2</v>
      </c>
      <c r="T2" s="5">
        <f t="shared" si="0"/>
        <v>1.893939393939394E-2</v>
      </c>
      <c r="U2" s="5">
        <f t="shared" si="0"/>
        <v>1.893939393939394E-2</v>
      </c>
      <c r="V2" s="5">
        <f t="shared" si="0"/>
        <v>1.893939393939394E-2</v>
      </c>
      <c r="W2" s="5">
        <f t="shared" si="0"/>
        <v>1.893939393939394E-2</v>
      </c>
      <c r="X2" s="5">
        <f t="shared" si="0"/>
        <v>1.893939393939394E-2</v>
      </c>
      <c r="Y2" s="5">
        <f t="shared" si="0"/>
        <v>1.893939393939394E-2</v>
      </c>
      <c r="Z2" s="5">
        <f t="shared" si="0"/>
        <v>1.893939393939394E-2</v>
      </c>
      <c r="AA2" s="5">
        <f t="shared" si="0"/>
        <v>1.893939393939394E-2</v>
      </c>
      <c r="AB2" s="5">
        <f t="shared" si="0"/>
        <v>1.893939393939394E-2</v>
      </c>
    </row>
    <row r="3" spans="1:28" ht="15.75" customHeight="1" x14ac:dyDescent="0.3">
      <c r="A3" s="30"/>
      <c r="B3" s="2"/>
      <c r="C3" s="4" t="s">
        <v>4</v>
      </c>
      <c r="D3" s="5">
        <f>D4/4.4</f>
        <v>0.22727272727272727</v>
      </c>
      <c r="E3" s="2"/>
      <c r="F3" s="4" t="s">
        <v>4</v>
      </c>
      <c r="G3" s="5">
        <f t="shared" ref="G3:AB3" si="1">G4/4.4</f>
        <v>20.454545454545453</v>
      </c>
      <c r="H3" s="5">
        <f t="shared" si="1"/>
        <v>20.454545454545453</v>
      </c>
      <c r="I3" s="5">
        <f t="shared" si="1"/>
        <v>15.909090909090908</v>
      </c>
      <c r="J3" s="5">
        <f t="shared" si="1"/>
        <v>27.499999999999996</v>
      </c>
      <c r="K3" s="5">
        <f t="shared" si="1"/>
        <v>11.136363636363635</v>
      </c>
      <c r="L3" s="5">
        <f t="shared" si="1"/>
        <v>0.22727272727272727</v>
      </c>
      <c r="M3" s="5">
        <f t="shared" si="1"/>
        <v>0.22727272727272727</v>
      </c>
      <c r="N3" s="5">
        <f t="shared" si="1"/>
        <v>0.22727272727272727</v>
      </c>
      <c r="O3" s="5">
        <f t="shared" si="1"/>
        <v>0.22727272727272727</v>
      </c>
      <c r="P3" s="5">
        <f t="shared" si="1"/>
        <v>0.22727272727272727</v>
      </c>
      <c r="Q3" s="5">
        <f t="shared" si="1"/>
        <v>0.22727272727272727</v>
      </c>
      <c r="R3" s="5">
        <f t="shared" si="1"/>
        <v>0.22727272727272727</v>
      </c>
      <c r="S3" s="5">
        <f t="shared" si="1"/>
        <v>0.22727272727272727</v>
      </c>
      <c r="T3" s="5">
        <f t="shared" si="1"/>
        <v>0.22727272727272727</v>
      </c>
      <c r="U3" s="5">
        <f t="shared" si="1"/>
        <v>0.22727272727272727</v>
      </c>
      <c r="V3" s="5">
        <f t="shared" si="1"/>
        <v>0.22727272727272727</v>
      </c>
      <c r="W3" s="5">
        <f t="shared" si="1"/>
        <v>0.22727272727272727</v>
      </c>
      <c r="X3" s="5">
        <f t="shared" si="1"/>
        <v>0.22727272727272727</v>
      </c>
      <c r="Y3" s="5">
        <f t="shared" si="1"/>
        <v>0.22727272727272727</v>
      </c>
      <c r="Z3" s="5">
        <f t="shared" si="1"/>
        <v>0.22727272727272727</v>
      </c>
      <c r="AA3" s="5">
        <f t="shared" si="1"/>
        <v>0.22727272727272727</v>
      </c>
      <c r="AB3" s="5">
        <f t="shared" si="1"/>
        <v>0.22727272727272727</v>
      </c>
    </row>
    <row r="4" spans="1:28" ht="15.75" customHeight="1" x14ac:dyDescent="0.3">
      <c r="A4" s="30"/>
      <c r="B4" s="2"/>
      <c r="C4" s="4" t="s">
        <v>5</v>
      </c>
      <c r="D4" s="6">
        <v>1</v>
      </c>
      <c r="E4" s="2"/>
      <c r="F4" s="4" t="s">
        <v>5</v>
      </c>
      <c r="G4" s="25">
        <v>90</v>
      </c>
      <c r="H4" s="26">
        <v>90</v>
      </c>
      <c r="I4" s="26">
        <v>70</v>
      </c>
      <c r="J4" s="26">
        <v>121</v>
      </c>
      <c r="K4" s="25">
        <v>49</v>
      </c>
      <c r="L4" s="26">
        <v>1</v>
      </c>
      <c r="M4" s="26">
        <v>1</v>
      </c>
      <c r="N4" s="26">
        <v>1</v>
      </c>
      <c r="O4" s="25">
        <v>1</v>
      </c>
      <c r="P4" s="26">
        <v>1</v>
      </c>
      <c r="Q4" s="26">
        <v>1</v>
      </c>
      <c r="R4" s="25">
        <v>1</v>
      </c>
      <c r="S4" s="26">
        <v>1</v>
      </c>
      <c r="T4" s="26">
        <v>1</v>
      </c>
      <c r="U4" s="26">
        <v>1</v>
      </c>
      <c r="V4" s="25">
        <v>1</v>
      </c>
      <c r="W4" s="26">
        <v>1</v>
      </c>
      <c r="X4" s="25">
        <v>1</v>
      </c>
      <c r="Y4" s="25">
        <v>1</v>
      </c>
      <c r="Z4" s="26">
        <v>1</v>
      </c>
      <c r="AA4" s="26">
        <v>1</v>
      </c>
      <c r="AB4" s="26">
        <v>1</v>
      </c>
    </row>
    <row r="5" spans="1:28" ht="25.5" customHeight="1" x14ac:dyDescent="0.3">
      <c r="A5" s="30"/>
      <c r="B5" s="2"/>
      <c r="C5" s="7" t="s">
        <v>6</v>
      </c>
      <c r="D5" s="8">
        <v>1</v>
      </c>
      <c r="E5" s="2"/>
      <c r="F5" s="7" t="s">
        <v>6</v>
      </c>
      <c r="G5" s="27">
        <v>15</v>
      </c>
      <c r="H5" s="28">
        <v>15</v>
      </c>
      <c r="I5" s="28">
        <v>10</v>
      </c>
      <c r="J5" s="28">
        <v>14</v>
      </c>
      <c r="K5" s="27">
        <v>60</v>
      </c>
      <c r="L5" s="28">
        <v>1</v>
      </c>
      <c r="M5" s="28">
        <v>1</v>
      </c>
      <c r="N5" s="28">
        <v>1</v>
      </c>
      <c r="O5" s="27">
        <v>1</v>
      </c>
      <c r="P5" s="28">
        <v>1</v>
      </c>
      <c r="Q5" s="28">
        <v>1</v>
      </c>
      <c r="R5" s="27">
        <v>1</v>
      </c>
      <c r="S5" s="28">
        <v>1</v>
      </c>
      <c r="T5" s="28">
        <v>1</v>
      </c>
      <c r="U5" s="28">
        <v>1</v>
      </c>
      <c r="V5" s="27">
        <v>1</v>
      </c>
      <c r="W5" s="28">
        <v>1</v>
      </c>
      <c r="X5" s="27">
        <v>1</v>
      </c>
      <c r="Y5" s="27">
        <v>1</v>
      </c>
      <c r="Z5" s="28">
        <v>1</v>
      </c>
      <c r="AA5" s="28">
        <v>1</v>
      </c>
      <c r="AB5" s="28">
        <v>1</v>
      </c>
    </row>
    <row r="6" spans="1:28" ht="15.75" customHeight="1" x14ac:dyDescent="0.3">
      <c r="A6" s="3"/>
      <c r="B6" s="2"/>
      <c r="C6" s="29"/>
      <c r="D6" s="30"/>
      <c r="E6" s="2"/>
      <c r="F6" s="3"/>
      <c r="G6" s="31" t="s">
        <v>7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spans="1:28" ht="15.75" customHeight="1" x14ac:dyDescent="0.3">
      <c r="A7" s="9" t="s">
        <v>8</v>
      </c>
      <c r="B7" s="2"/>
      <c r="C7" s="10" t="s">
        <v>9</v>
      </c>
      <c r="D7" s="10" t="s">
        <v>10</v>
      </c>
      <c r="E7" s="2"/>
      <c r="F7" s="10" t="s">
        <v>9</v>
      </c>
      <c r="G7" s="10" t="s">
        <v>41</v>
      </c>
      <c r="H7" s="10" t="s">
        <v>42</v>
      </c>
      <c r="I7" s="10" t="s">
        <v>43</v>
      </c>
      <c r="J7" s="10" t="s">
        <v>44</v>
      </c>
      <c r="K7" s="10" t="s">
        <v>45</v>
      </c>
      <c r="L7" s="10"/>
      <c r="M7" s="10"/>
      <c r="N7" s="10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5.75" customHeight="1" x14ac:dyDescent="0.3">
      <c r="A8" s="12">
        <f>RAW!$A$6</f>
        <v>400</v>
      </c>
      <c r="B8" s="2"/>
      <c r="C8" s="13" t="s">
        <v>19</v>
      </c>
      <c r="D8" s="14">
        <f t="shared" ref="D8:D24" si="2">($A8/D$5)/365</f>
        <v>1.095890410958904</v>
      </c>
      <c r="E8" s="2"/>
      <c r="F8" s="13" t="s">
        <v>19</v>
      </c>
      <c r="G8" s="14">
        <f t="shared" ref="G8:AB8" si="3">($A8/G$5)/365</f>
        <v>7.3059360730593617E-2</v>
      </c>
      <c r="H8" s="14">
        <f t="shared" si="3"/>
        <v>7.3059360730593617E-2</v>
      </c>
      <c r="I8" s="14">
        <f t="shared" si="3"/>
        <v>0.1095890410958904</v>
      </c>
      <c r="J8" s="14">
        <f t="shared" si="3"/>
        <v>7.8277886497064589E-2</v>
      </c>
      <c r="K8" s="14">
        <f t="shared" si="3"/>
        <v>1.8264840182648404E-2</v>
      </c>
      <c r="L8" s="14">
        <f t="shared" si="3"/>
        <v>1.095890410958904</v>
      </c>
      <c r="M8" s="14">
        <f t="shared" si="3"/>
        <v>1.095890410958904</v>
      </c>
      <c r="N8" s="14">
        <f t="shared" si="3"/>
        <v>1.095890410958904</v>
      </c>
      <c r="O8" s="15">
        <f t="shared" si="3"/>
        <v>1.095890410958904</v>
      </c>
      <c r="P8" s="16">
        <f t="shared" si="3"/>
        <v>1.095890410958904</v>
      </c>
      <c r="Q8" s="16">
        <f t="shared" si="3"/>
        <v>1.095890410958904</v>
      </c>
      <c r="R8" s="16">
        <f t="shared" si="3"/>
        <v>1.095890410958904</v>
      </c>
      <c r="S8" s="16">
        <f t="shared" si="3"/>
        <v>1.095890410958904</v>
      </c>
      <c r="T8" s="16">
        <f t="shared" si="3"/>
        <v>1.095890410958904</v>
      </c>
      <c r="U8" s="16">
        <f t="shared" si="3"/>
        <v>1.095890410958904</v>
      </c>
      <c r="V8" s="16">
        <f t="shared" si="3"/>
        <v>1.095890410958904</v>
      </c>
      <c r="W8" s="16">
        <f t="shared" si="3"/>
        <v>1.095890410958904</v>
      </c>
      <c r="X8" s="16">
        <f t="shared" si="3"/>
        <v>1.095890410958904</v>
      </c>
      <c r="Y8" s="16">
        <f t="shared" si="3"/>
        <v>1.095890410958904</v>
      </c>
      <c r="Z8" s="16">
        <f t="shared" si="3"/>
        <v>1.095890410958904</v>
      </c>
      <c r="AA8" s="16">
        <f t="shared" si="3"/>
        <v>1.095890410958904</v>
      </c>
      <c r="AB8" s="16">
        <f t="shared" si="3"/>
        <v>1.095890410958904</v>
      </c>
    </row>
    <row r="9" spans="1:28" ht="15.75" customHeight="1" x14ac:dyDescent="0.3">
      <c r="A9" s="12">
        <f>RAW!$A$7</f>
        <v>1200</v>
      </c>
      <c r="B9" s="2"/>
      <c r="C9" s="17" t="s">
        <v>20</v>
      </c>
      <c r="D9" s="14">
        <f t="shared" si="2"/>
        <v>3.2876712328767121</v>
      </c>
      <c r="E9" s="2"/>
      <c r="F9" s="17" t="s">
        <v>20</v>
      </c>
      <c r="G9" s="14">
        <f t="shared" ref="G9:AB9" si="4">($A9/G$5)/365</f>
        <v>0.21917808219178081</v>
      </c>
      <c r="H9" s="14">
        <f t="shared" si="4"/>
        <v>0.21917808219178081</v>
      </c>
      <c r="I9" s="14">
        <f t="shared" si="4"/>
        <v>0.32876712328767121</v>
      </c>
      <c r="J9" s="14">
        <f t="shared" si="4"/>
        <v>0.23483365949119372</v>
      </c>
      <c r="K9" s="14">
        <f t="shared" si="4"/>
        <v>5.4794520547945202E-2</v>
      </c>
      <c r="L9" s="14">
        <f t="shared" si="4"/>
        <v>3.2876712328767121</v>
      </c>
      <c r="M9" s="14">
        <f t="shared" si="4"/>
        <v>3.2876712328767121</v>
      </c>
      <c r="N9" s="14">
        <f t="shared" si="4"/>
        <v>3.2876712328767121</v>
      </c>
      <c r="O9" s="15">
        <f t="shared" si="4"/>
        <v>3.2876712328767121</v>
      </c>
      <c r="P9" s="16">
        <f t="shared" si="4"/>
        <v>3.2876712328767121</v>
      </c>
      <c r="Q9" s="16">
        <f t="shared" si="4"/>
        <v>3.2876712328767121</v>
      </c>
      <c r="R9" s="16">
        <f t="shared" si="4"/>
        <v>3.2876712328767121</v>
      </c>
      <c r="S9" s="16">
        <f t="shared" si="4"/>
        <v>3.2876712328767121</v>
      </c>
      <c r="T9" s="16">
        <f t="shared" si="4"/>
        <v>3.2876712328767121</v>
      </c>
      <c r="U9" s="16">
        <f t="shared" si="4"/>
        <v>3.2876712328767121</v>
      </c>
      <c r="V9" s="16">
        <f t="shared" si="4"/>
        <v>3.2876712328767121</v>
      </c>
      <c r="W9" s="16">
        <f t="shared" si="4"/>
        <v>3.2876712328767121</v>
      </c>
      <c r="X9" s="16">
        <f t="shared" si="4"/>
        <v>3.2876712328767121</v>
      </c>
      <c r="Y9" s="16">
        <f t="shared" si="4"/>
        <v>3.2876712328767121</v>
      </c>
      <c r="Z9" s="16">
        <f t="shared" si="4"/>
        <v>3.2876712328767121</v>
      </c>
      <c r="AA9" s="16">
        <f t="shared" si="4"/>
        <v>3.2876712328767121</v>
      </c>
      <c r="AB9" s="16">
        <f t="shared" si="4"/>
        <v>3.2876712328767121</v>
      </c>
    </row>
    <row r="10" spans="1:28" ht="15.75" customHeight="1" x14ac:dyDescent="0.3">
      <c r="A10" s="12">
        <f>RAW!$A$8</f>
        <v>2800</v>
      </c>
      <c r="B10" s="2"/>
      <c r="C10" s="17" t="s">
        <v>21</v>
      </c>
      <c r="D10" s="14">
        <f t="shared" si="2"/>
        <v>7.6712328767123283</v>
      </c>
      <c r="E10" s="2"/>
      <c r="F10" s="17" t="s">
        <v>21</v>
      </c>
      <c r="G10" s="14">
        <f t="shared" ref="G10:AB10" si="5">($A10/G$5)/365</f>
        <v>0.51141552511415522</v>
      </c>
      <c r="H10" s="14">
        <f t="shared" si="5"/>
        <v>0.51141552511415522</v>
      </c>
      <c r="I10" s="14">
        <f t="shared" si="5"/>
        <v>0.76712328767123283</v>
      </c>
      <c r="J10" s="14">
        <f t="shared" si="5"/>
        <v>0.54794520547945202</v>
      </c>
      <c r="K10" s="14">
        <f t="shared" si="5"/>
        <v>0.12785388127853881</v>
      </c>
      <c r="L10" s="14">
        <f t="shared" si="5"/>
        <v>7.6712328767123283</v>
      </c>
      <c r="M10" s="14">
        <f t="shared" si="5"/>
        <v>7.6712328767123283</v>
      </c>
      <c r="N10" s="14">
        <f t="shared" si="5"/>
        <v>7.6712328767123283</v>
      </c>
      <c r="O10" s="15">
        <f t="shared" si="5"/>
        <v>7.6712328767123283</v>
      </c>
      <c r="P10" s="16">
        <f t="shared" si="5"/>
        <v>7.6712328767123283</v>
      </c>
      <c r="Q10" s="16">
        <f t="shared" si="5"/>
        <v>7.6712328767123283</v>
      </c>
      <c r="R10" s="16">
        <f t="shared" si="5"/>
        <v>7.6712328767123283</v>
      </c>
      <c r="S10" s="16">
        <f t="shared" si="5"/>
        <v>7.6712328767123283</v>
      </c>
      <c r="T10" s="16">
        <f t="shared" si="5"/>
        <v>7.6712328767123283</v>
      </c>
      <c r="U10" s="16">
        <f t="shared" si="5"/>
        <v>7.6712328767123283</v>
      </c>
      <c r="V10" s="16">
        <f t="shared" si="5"/>
        <v>7.6712328767123283</v>
      </c>
      <c r="W10" s="16">
        <f t="shared" si="5"/>
        <v>7.6712328767123283</v>
      </c>
      <c r="X10" s="16">
        <f t="shared" si="5"/>
        <v>7.6712328767123283</v>
      </c>
      <c r="Y10" s="16">
        <f t="shared" si="5"/>
        <v>7.6712328767123283</v>
      </c>
      <c r="Z10" s="16">
        <f t="shared" si="5"/>
        <v>7.6712328767123283</v>
      </c>
      <c r="AA10" s="16">
        <f t="shared" si="5"/>
        <v>7.6712328767123283</v>
      </c>
      <c r="AB10" s="16">
        <f t="shared" si="5"/>
        <v>7.6712328767123283</v>
      </c>
    </row>
    <row r="11" spans="1:28" ht="15.75" customHeight="1" x14ac:dyDescent="0.3">
      <c r="A11" s="12">
        <f>RAW!$A$9</f>
        <v>6000</v>
      </c>
      <c r="B11" s="2"/>
      <c r="C11" s="17" t="s">
        <v>22</v>
      </c>
      <c r="D11" s="14">
        <f t="shared" si="2"/>
        <v>16.438356164383563</v>
      </c>
      <c r="E11" s="2"/>
      <c r="F11" s="17" t="s">
        <v>22</v>
      </c>
      <c r="G11" s="14">
        <f t="shared" ref="G11:AB11" si="6">($A11/G$5)/365</f>
        <v>1.095890410958904</v>
      </c>
      <c r="H11" s="14">
        <f t="shared" si="6"/>
        <v>1.095890410958904</v>
      </c>
      <c r="I11" s="14">
        <f t="shared" si="6"/>
        <v>1.6438356164383561</v>
      </c>
      <c r="J11" s="14">
        <f t="shared" si="6"/>
        <v>1.1741682974559686</v>
      </c>
      <c r="K11" s="14">
        <f t="shared" si="6"/>
        <v>0.27397260273972601</v>
      </c>
      <c r="L11" s="14">
        <f t="shared" si="6"/>
        <v>16.438356164383563</v>
      </c>
      <c r="M11" s="14">
        <f t="shared" si="6"/>
        <v>16.438356164383563</v>
      </c>
      <c r="N11" s="14">
        <f t="shared" si="6"/>
        <v>16.438356164383563</v>
      </c>
      <c r="O11" s="15">
        <f t="shared" si="6"/>
        <v>16.438356164383563</v>
      </c>
      <c r="P11" s="16">
        <f t="shared" si="6"/>
        <v>16.438356164383563</v>
      </c>
      <c r="Q11" s="16">
        <f t="shared" si="6"/>
        <v>16.438356164383563</v>
      </c>
      <c r="R11" s="16">
        <f t="shared" si="6"/>
        <v>16.438356164383563</v>
      </c>
      <c r="S11" s="16">
        <f t="shared" si="6"/>
        <v>16.438356164383563</v>
      </c>
      <c r="T11" s="16">
        <f t="shared" si="6"/>
        <v>16.438356164383563</v>
      </c>
      <c r="U11" s="16">
        <f t="shared" si="6"/>
        <v>16.438356164383563</v>
      </c>
      <c r="V11" s="16">
        <f t="shared" si="6"/>
        <v>16.438356164383563</v>
      </c>
      <c r="W11" s="16">
        <f t="shared" si="6"/>
        <v>16.438356164383563</v>
      </c>
      <c r="X11" s="16">
        <f t="shared" si="6"/>
        <v>16.438356164383563</v>
      </c>
      <c r="Y11" s="16">
        <f t="shared" si="6"/>
        <v>16.438356164383563</v>
      </c>
      <c r="Z11" s="16">
        <f t="shared" si="6"/>
        <v>16.438356164383563</v>
      </c>
      <c r="AA11" s="16">
        <f t="shared" si="6"/>
        <v>16.438356164383563</v>
      </c>
      <c r="AB11" s="16">
        <f t="shared" si="6"/>
        <v>16.438356164383563</v>
      </c>
    </row>
    <row r="12" spans="1:28" ht="15.75" customHeight="1" x14ac:dyDescent="0.3">
      <c r="A12" s="12">
        <f>RAW!$A$10</f>
        <v>12400</v>
      </c>
      <c r="B12" s="2"/>
      <c r="C12" s="17" t="s">
        <v>23</v>
      </c>
      <c r="D12" s="14">
        <f t="shared" si="2"/>
        <v>33.972602739726028</v>
      </c>
      <c r="E12" s="2"/>
      <c r="F12" s="17" t="s">
        <v>23</v>
      </c>
      <c r="G12" s="14">
        <f t="shared" ref="G12:AB12" si="7">($A12/G$5)/365</f>
        <v>2.2648401826484017</v>
      </c>
      <c r="H12" s="14">
        <f t="shared" si="7"/>
        <v>2.2648401826484017</v>
      </c>
      <c r="I12" s="14">
        <f t="shared" si="7"/>
        <v>3.3972602739726026</v>
      </c>
      <c r="J12" s="14">
        <f t="shared" si="7"/>
        <v>2.4266144814090018</v>
      </c>
      <c r="K12" s="14">
        <f t="shared" si="7"/>
        <v>0.56621004566210043</v>
      </c>
      <c r="L12" s="14">
        <f t="shared" si="7"/>
        <v>33.972602739726028</v>
      </c>
      <c r="M12" s="14">
        <f t="shared" si="7"/>
        <v>33.972602739726028</v>
      </c>
      <c r="N12" s="14">
        <f t="shared" si="7"/>
        <v>33.972602739726028</v>
      </c>
      <c r="O12" s="15">
        <f t="shared" si="7"/>
        <v>33.972602739726028</v>
      </c>
      <c r="P12" s="16">
        <f t="shared" si="7"/>
        <v>33.972602739726028</v>
      </c>
      <c r="Q12" s="16">
        <f t="shared" si="7"/>
        <v>33.972602739726028</v>
      </c>
      <c r="R12" s="16">
        <f t="shared" si="7"/>
        <v>33.972602739726028</v>
      </c>
      <c r="S12" s="16">
        <f t="shared" si="7"/>
        <v>33.972602739726028</v>
      </c>
      <c r="T12" s="16">
        <f t="shared" si="7"/>
        <v>33.972602739726028</v>
      </c>
      <c r="U12" s="16">
        <f t="shared" si="7"/>
        <v>33.972602739726028</v>
      </c>
      <c r="V12" s="16">
        <f t="shared" si="7"/>
        <v>33.972602739726028</v>
      </c>
      <c r="W12" s="16">
        <f t="shared" si="7"/>
        <v>33.972602739726028</v>
      </c>
      <c r="X12" s="16">
        <f t="shared" si="7"/>
        <v>33.972602739726028</v>
      </c>
      <c r="Y12" s="16">
        <f t="shared" si="7"/>
        <v>33.972602739726028</v>
      </c>
      <c r="Z12" s="16">
        <f t="shared" si="7"/>
        <v>33.972602739726028</v>
      </c>
      <c r="AA12" s="16">
        <f t="shared" si="7"/>
        <v>33.972602739726028</v>
      </c>
      <c r="AB12" s="16">
        <f t="shared" si="7"/>
        <v>33.972602739726028</v>
      </c>
    </row>
    <row r="13" spans="1:28" ht="15.75" customHeight="1" x14ac:dyDescent="0.3">
      <c r="A13" s="12">
        <f>RAW!$A$11</f>
        <v>25200</v>
      </c>
      <c r="B13" s="2"/>
      <c r="C13" s="17" t="s">
        <v>24</v>
      </c>
      <c r="D13" s="14">
        <f t="shared" si="2"/>
        <v>69.041095890410958</v>
      </c>
      <c r="E13" s="2"/>
      <c r="F13" s="17" t="s">
        <v>24</v>
      </c>
      <c r="G13" s="14">
        <f t="shared" ref="G13:AB13" si="8">($A13/G$5)/365</f>
        <v>4.602739726027397</v>
      </c>
      <c r="H13" s="14">
        <f t="shared" si="8"/>
        <v>4.602739726027397</v>
      </c>
      <c r="I13" s="14">
        <f t="shared" si="8"/>
        <v>6.904109589041096</v>
      </c>
      <c r="J13" s="14">
        <f t="shared" si="8"/>
        <v>4.9315068493150687</v>
      </c>
      <c r="K13" s="14">
        <f t="shared" si="8"/>
        <v>1.1506849315068493</v>
      </c>
      <c r="L13" s="14">
        <f t="shared" si="8"/>
        <v>69.041095890410958</v>
      </c>
      <c r="M13" s="14">
        <f t="shared" si="8"/>
        <v>69.041095890410958</v>
      </c>
      <c r="N13" s="14">
        <f t="shared" si="8"/>
        <v>69.041095890410958</v>
      </c>
      <c r="O13" s="15">
        <f t="shared" si="8"/>
        <v>69.041095890410958</v>
      </c>
      <c r="P13" s="16">
        <f t="shared" si="8"/>
        <v>69.041095890410958</v>
      </c>
      <c r="Q13" s="16">
        <f t="shared" si="8"/>
        <v>69.041095890410958</v>
      </c>
      <c r="R13" s="16">
        <f t="shared" si="8"/>
        <v>69.041095890410958</v>
      </c>
      <c r="S13" s="16">
        <f t="shared" si="8"/>
        <v>69.041095890410958</v>
      </c>
      <c r="T13" s="16">
        <f t="shared" si="8"/>
        <v>69.041095890410958</v>
      </c>
      <c r="U13" s="16">
        <f t="shared" si="8"/>
        <v>69.041095890410958</v>
      </c>
      <c r="V13" s="16">
        <f t="shared" si="8"/>
        <v>69.041095890410958</v>
      </c>
      <c r="W13" s="16">
        <f t="shared" si="8"/>
        <v>69.041095890410958</v>
      </c>
      <c r="X13" s="16">
        <f t="shared" si="8"/>
        <v>69.041095890410958</v>
      </c>
      <c r="Y13" s="16">
        <f t="shared" si="8"/>
        <v>69.041095890410958</v>
      </c>
      <c r="Z13" s="16">
        <f t="shared" si="8"/>
        <v>69.041095890410958</v>
      </c>
      <c r="AA13" s="16">
        <f t="shared" si="8"/>
        <v>69.041095890410958</v>
      </c>
      <c r="AB13" s="16">
        <f t="shared" si="8"/>
        <v>69.041095890410958</v>
      </c>
    </row>
    <row r="14" spans="1:28" ht="15.75" customHeight="1" x14ac:dyDescent="0.3">
      <c r="A14" s="12">
        <f>RAW!$A$12</f>
        <v>50800</v>
      </c>
      <c r="B14" s="2"/>
      <c r="C14" s="17" t="s">
        <v>25</v>
      </c>
      <c r="D14" s="14">
        <f t="shared" si="2"/>
        <v>139.17808219178082</v>
      </c>
      <c r="E14" s="2"/>
      <c r="F14" s="17" t="s">
        <v>25</v>
      </c>
      <c r="G14" s="14">
        <f t="shared" ref="G14:AB14" si="9">($A14/G$5)/365</f>
        <v>9.2785388127853885</v>
      </c>
      <c r="H14" s="14">
        <f t="shared" si="9"/>
        <v>9.2785388127853885</v>
      </c>
      <c r="I14" s="14">
        <f t="shared" si="9"/>
        <v>13.917808219178083</v>
      </c>
      <c r="J14" s="14">
        <f t="shared" si="9"/>
        <v>9.9412915851272015</v>
      </c>
      <c r="K14" s="14">
        <f t="shared" si="9"/>
        <v>2.3196347031963471</v>
      </c>
      <c r="L14" s="14">
        <f t="shared" si="9"/>
        <v>139.17808219178082</v>
      </c>
      <c r="M14" s="14">
        <f t="shared" si="9"/>
        <v>139.17808219178082</v>
      </c>
      <c r="N14" s="14">
        <f t="shared" si="9"/>
        <v>139.17808219178082</v>
      </c>
      <c r="O14" s="15">
        <f t="shared" si="9"/>
        <v>139.17808219178082</v>
      </c>
      <c r="P14" s="16">
        <f t="shared" si="9"/>
        <v>139.17808219178082</v>
      </c>
      <c r="Q14" s="16">
        <f t="shared" si="9"/>
        <v>139.17808219178082</v>
      </c>
      <c r="R14" s="16">
        <f t="shared" si="9"/>
        <v>139.17808219178082</v>
      </c>
      <c r="S14" s="16">
        <f t="shared" si="9"/>
        <v>139.17808219178082</v>
      </c>
      <c r="T14" s="16">
        <f t="shared" si="9"/>
        <v>139.17808219178082</v>
      </c>
      <c r="U14" s="16">
        <f t="shared" si="9"/>
        <v>139.17808219178082</v>
      </c>
      <c r="V14" s="16">
        <f t="shared" si="9"/>
        <v>139.17808219178082</v>
      </c>
      <c r="W14" s="16">
        <f t="shared" si="9"/>
        <v>139.17808219178082</v>
      </c>
      <c r="X14" s="16">
        <f t="shared" si="9"/>
        <v>139.17808219178082</v>
      </c>
      <c r="Y14" s="16">
        <f t="shared" si="9"/>
        <v>139.17808219178082</v>
      </c>
      <c r="Z14" s="16">
        <f t="shared" si="9"/>
        <v>139.17808219178082</v>
      </c>
      <c r="AA14" s="16">
        <f t="shared" si="9"/>
        <v>139.17808219178082</v>
      </c>
      <c r="AB14" s="16">
        <f t="shared" si="9"/>
        <v>139.17808219178082</v>
      </c>
    </row>
    <row r="15" spans="1:28" ht="15.75" customHeight="1" x14ac:dyDescent="0.3">
      <c r="A15" s="12">
        <f>RAW!$A$13</f>
        <v>102000</v>
      </c>
      <c r="B15" s="2"/>
      <c r="C15" s="17" t="s">
        <v>26</v>
      </c>
      <c r="D15" s="14">
        <f t="shared" si="2"/>
        <v>279.45205479452056</v>
      </c>
      <c r="E15" s="2"/>
      <c r="F15" s="17" t="s">
        <v>26</v>
      </c>
      <c r="G15" s="14">
        <f t="shared" ref="G15:AB15" si="10">($A15/G$5)/365</f>
        <v>18.63013698630137</v>
      </c>
      <c r="H15" s="14">
        <f t="shared" si="10"/>
        <v>18.63013698630137</v>
      </c>
      <c r="I15" s="14">
        <f t="shared" si="10"/>
        <v>27.945205479452056</v>
      </c>
      <c r="J15" s="14">
        <f t="shared" si="10"/>
        <v>19.960861056751465</v>
      </c>
      <c r="K15" s="14">
        <f t="shared" si="10"/>
        <v>4.6575342465753424</v>
      </c>
      <c r="L15" s="14">
        <f t="shared" si="10"/>
        <v>279.45205479452056</v>
      </c>
      <c r="M15" s="14">
        <f t="shared" si="10"/>
        <v>279.45205479452056</v>
      </c>
      <c r="N15" s="14">
        <f t="shared" si="10"/>
        <v>279.45205479452056</v>
      </c>
      <c r="O15" s="15">
        <f t="shared" si="10"/>
        <v>279.45205479452056</v>
      </c>
      <c r="P15" s="16">
        <f t="shared" si="10"/>
        <v>279.45205479452056</v>
      </c>
      <c r="Q15" s="16">
        <f t="shared" si="10"/>
        <v>279.45205479452056</v>
      </c>
      <c r="R15" s="16">
        <f t="shared" si="10"/>
        <v>279.45205479452056</v>
      </c>
      <c r="S15" s="16">
        <f t="shared" si="10"/>
        <v>279.45205479452056</v>
      </c>
      <c r="T15" s="16">
        <f t="shared" si="10"/>
        <v>279.45205479452056</v>
      </c>
      <c r="U15" s="16">
        <f t="shared" si="10"/>
        <v>279.45205479452056</v>
      </c>
      <c r="V15" s="16">
        <f t="shared" si="10"/>
        <v>279.45205479452056</v>
      </c>
      <c r="W15" s="16">
        <f t="shared" si="10"/>
        <v>279.45205479452056</v>
      </c>
      <c r="X15" s="16">
        <f t="shared" si="10"/>
        <v>279.45205479452056</v>
      </c>
      <c r="Y15" s="16">
        <f t="shared" si="10"/>
        <v>279.45205479452056</v>
      </c>
      <c r="Z15" s="16">
        <f t="shared" si="10"/>
        <v>279.45205479452056</v>
      </c>
      <c r="AA15" s="16">
        <f t="shared" si="10"/>
        <v>279.45205479452056</v>
      </c>
      <c r="AB15" s="16">
        <f t="shared" si="10"/>
        <v>279.45205479452056</v>
      </c>
    </row>
    <row r="16" spans="1:28" ht="15.75" customHeight="1" x14ac:dyDescent="0.3">
      <c r="A16" s="12">
        <f>RAW!$A$14</f>
        <v>204400</v>
      </c>
      <c r="B16" s="2"/>
      <c r="C16" s="17" t="s">
        <v>27</v>
      </c>
      <c r="D16" s="14">
        <f t="shared" si="2"/>
        <v>560</v>
      </c>
      <c r="E16" s="2"/>
      <c r="F16" s="17" t="s">
        <v>27</v>
      </c>
      <c r="G16" s="14">
        <f t="shared" ref="G16:AB16" si="11">($A16/G$5)/365</f>
        <v>37.333333333333329</v>
      </c>
      <c r="H16" s="14">
        <f t="shared" si="11"/>
        <v>37.333333333333329</v>
      </c>
      <c r="I16" s="14">
        <f t="shared" si="11"/>
        <v>56</v>
      </c>
      <c r="J16" s="14">
        <f t="shared" si="11"/>
        <v>40</v>
      </c>
      <c r="K16" s="14">
        <f t="shared" si="11"/>
        <v>9.3333333333333321</v>
      </c>
      <c r="L16" s="14">
        <f t="shared" si="11"/>
        <v>560</v>
      </c>
      <c r="M16" s="14">
        <f t="shared" si="11"/>
        <v>560</v>
      </c>
      <c r="N16" s="14">
        <f t="shared" si="11"/>
        <v>560</v>
      </c>
      <c r="O16" s="15">
        <f t="shared" si="11"/>
        <v>560</v>
      </c>
      <c r="P16" s="16">
        <f t="shared" si="11"/>
        <v>560</v>
      </c>
      <c r="Q16" s="16">
        <f t="shared" si="11"/>
        <v>560</v>
      </c>
      <c r="R16" s="16">
        <f t="shared" si="11"/>
        <v>560</v>
      </c>
      <c r="S16" s="16">
        <f t="shared" si="11"/>
        <v>560</v>
      </c>
      <c r="T16" s="16">
        <f t="shared" si="11"/>
        <v>560</v>
      </c>
      <c r="U16" s="16">
        <f t="shared" si="11"/>
        <v>560</v>
      </c>
      <c r="V16" s="16">
        <f t="shared" si="11"/>
        <v>560</v>
      </c>
      <c r="W16" s="16">
        <f t="shared" si="11"/>
        <v>560</v>
      </c>
      <c r="X16" s="16">
        <f t="shared" si="11"/>
        <v>560</v>
      </c>
      <c r="Y16" s="16">
        <f t="shared" si="11"/>
        <v>560</v>
      </c>
      <c r="Z16" s="16">
        <f t="shared" si="11"/>
        <v>560</v>
      </c>
      <c r="AA16" s="16">
        <f t="shared" si="11"/>
        <v>560</v>
      </c>
      <c r="AB16" s="16">
        <f t="shared" si="11"/>
        <v>560</v>
      </c>
    </row>
    <row r="17" spans="1:28" ht="15.75" customHeight="1" x14ac:dyDescent="0.3">
      <c r="A17" s="12">
        <f>RAW!$A$15</f>
        <v>409200</v>
      </c>
      <c r="B17" s="2"/>
      <c r="C17" s="17" t="s">
        <v>28</v>
      </c>
      <c r="D17" s="14">
        <f t="shared" si="2"/>
        <v>1121.0958904109589</v>
      </c>
      <c r="E17" s="2"/>
      <c r="F17" s="17" t="s">
        <v>28</v>
      </c>
      <c r="G17" s="14">
        <f t="shared" ref="G17:AB17" si="12">($A17/G$5)/365</f>
        <v>74.739726027397253</v>
      </c>
      <c r="H17" s="14">
        <f t="shared" si="12"/>
        <v>74.739726027397253</v>
      </c>
      <c r="I17" s="14">
        <f t="shared" si="12"/>
        <v>112.10958904109589</v>
      </c>
      <c r="J17" s="14">
        <f t="shared" si="12"/>
        <v>80.078277886497062</v>
      </c>
      <c r="K17" s="14">
        <f t="shared" si="12"/>
        <v>18.684931506849313</v>
      </c>
      <c r="L17" s="14">
        <f t="shared" si="12"/>
        <v>1121.0958904109589</v>
      </c>
      <c r="M17" s="14">
        <f t="shared" si="12"/>
        <v>1121.0958904109589</v>
      </c>
      <c r="N17" s="14">
        <f t="shared" si="12"/>
        <v>1121.0958904109589</v>
      </c>
      <c r="O17" s="15">
        <f t="shared" si="12"/>
        <v>1121.0958904109589</v>
      </c>
      <c r="P17" s="16">
        <f t="shared" si="12"/>
        <v>1121.0958904109589</v>
      </c>
      <c r="Q17" s="16">
        <f t="shared" si="12"/>
        <v>1121.0958904109589</v>
      </c>
      <c r="R17" s="16">
        <f t="shared" si="12"/>
        <v>1121.0958904109589</v>
      </c>
      <c r="S17" s="16">
        <f t="shared" si="12"/>
        <v>1121.0958904109589</v>
      </c>
      <c r="T17" s="16">
        <f t="shared" si="12"/>
        <v>1121.0958904109589</v>
      </c>
      <c r="U17" s="16">
        <f t="shared" si="12"/>
        <v>1121.0958904109589</v>
      </c>
      <c r="V17" s="16">
        <f t="shared" si="12"/>
        <v>1121.0958904109589</v>
      </c>
      <c r="W17" s="16">
        <f t="shared" si="12"/>
        <v>1121.0958904109589</v>
      </c>
      <c r="X17" s="16">
        <f t="shared" si="12"/>
        <v>1121.0958904109589</v>
      </c>
      <c r="Y17" s="16">
        <f t="shared" si="12"/>
        <v>1121.0958904109589</v>
      </c>
      <c r="Z17" s="16">
        <f t="shared" si="12"/>
        <v>1121.0958904109589</v>
      </c>
      <c r="AA17" s="16">
        <f t="shared" si="12"/>
        <v>1121.0958904109589</v>
      </c>
      <c r="AB17" s="16">
        <f t="shared" si="12"/>
        <v>1121.0958904109589</v>
      </c>
    </row>
    <row r="18" spans="1:28" ht="15.75" customHeight="1" x14ac:dyDescent="0.3">
      <c r="A18" s="12">
        <f>RAW!$A$16</f>
        <v>818800</v>
      </c>
      <c r="B18" s="2"/>
      <c r="C18" s="17" t="s">
        <v>29</v>
      </c>
      <c r="D18" s="14">
        <f t="shared" si="2"/>
        <v>2243.2876712328766</v>
      </c>
      <c r="E18" s="2"/>
      <c r="F18" s="17" t="s">
        <v>29</v>
      </c>
      <c r="G18" s="14">
        <f t="shared" ref="G18:AB18" si="13">($A18/G$5)/365</f>
        <v>149.55251141552512</v>
      </c>
      <c r="H18" s="14">
        <f t="shared" si="13"/>
        <v>149.55251141552512</v>
      </c>
      <c r="I18" s="14">
        <f t="shared" si="13"/>
        <v>224.32876712328766</v>
      </c>
      <c r="J18" s="14">
        <f t="shared" si="13"/>
        <v>160.23483365949119</v>
      </c>
      <c r="K18" s="14">
        <f t="shared" si="13"/>
        <v>37.388127853881279</v>
      </c>
      <c r="L18" s="14">
        <f t="shared" si="13"/>
        <v>2243.2876712328766</v>
      </c>
      <c r="M18" s="14">
        <f t="shared" si="13"/>
        <v>2243.2876712328766</v>
      </c>
      <c r="N18" s="14">
        <f t="shared" si="13"/>
        <v>2243.2876712328766</v>
      </c>
      <c r="O18" s="15">
        <f t="shared" si="13"/>
        <v>2243.2876712328766</v>
      </c>
      <c r="P18" s="16">
        <f t="shared" si="13"/>
        <v>2243.2876712328766</v>
      </c>
      <c r="Q18" s="16">
        <f t="shared" si="13"/>
        <v>2243.2876712328766</v>
      </c>
      <c r="R18" s="16">
        <f t="shared" si="13"/>
        <v>2243.2876712328766</v>
      </c>
      <c r="S18" s="16">
        <f t="shared" si="13"/>
        <v>2243.2876712328766</v>
      </c>
      <c r="T18" s="16">
        <f t="shared" si="13"/>
        <v>2243.2876712328766</v>
      </c>
      <c r="U18" s="16">
        <f t="shared" si="13"/>
        <v>2243.2876712328766</v>
      </c>
      <c r="V18" s="16">
        <f t="shared" si="13"/>
        <v>2243.2876712328766</v>
      </c>
      <c r="W18" s="16">
        <f t="shared" si="13"/>
        <v>2243.2876712328766</v>
      </c>
      <c r="X18" s="16">
        <f t="shared" si="13"/>
        <v>2243.2876712328766</v>
      </c>
      <c r="Y18" s="16">
        <f t="shared" si="13"/>
        <v>2243.2876712328766</v>
      </c>
      <c r="Z18" s="16">
        <f t="shared" si="13"/>
        <v>2243.2876712328766</v>
      </c>
      <c r="AA18" s="16">
        <f t="shared" si="13"/>
        <v>2243.2876712328766</v>
      </c>
      <c r="AB18" s="16">
        <f t="shared" si="13"/>
        <v>2243.2876712328766</v>
      </c>
    </row>
    <row r="19" spans="1:28" ht="15.75" customHeight="1" x14ac:dyDescent="0.3">
      <c r="A19" s="12">
        <f>RAW!$A$17</f>
        <v>1638000</v>
      </c>
      <c r="B19" s="2"/>
      <c r="C19" s="17" t="s">
        <v>30</v>
      </c>
      <c r="D19" s="14">
        <f t="shared" si="2"/>
        <v>4487.6712328767126</v>
      </c>
      <c r="E19" s="2"/>
      <c r="F19" s="17" t="s">
        <v>30</v>
      </c>
      <c r="G19" s="14">
        <f t="shared" ref="G19:AB19" si="14">($A19/G$5)/365</f>
        <v>299.17808219178085</v>
      </c>
      <c r="H19" s="14">
        <f t="shared" si="14"/>
        <v>299.17808219178085</v>
      </c>
      <c r="I19" s="14">
        <f t="shared" si="14"/>
        <v>448.76712328767121</v>
      </c>
      <c r="J19" s="14">
        <f t="shared" si="14"/>
        <v>320.54794520547944</v>
      </c>
      <c r="K19" s="14">
        <f t="shared" si="14"/>
        <v>74.794520547945211</v>
      </c>
      <c r="L19" s="14">
        <f t="shared" si="14"/>
        <v>4487.6712328767126</v>
      </c>
      <c r="M19" s="14">
        <f t="shared" si="14"/>
        <v>4487.6712328767126</v>
      </c>
      <c r="N19" s="14">
        <f t="shared" si="14"/>
        <v>4487.6712328767126</v>
      </c>
      <c r="O19" s="15">
        <f t="shared" si="14"/>
        <v>4487.6712328767126</v>
      </c>
      <c r="P19" s="16">
        <f t="shared" si="14"/>
        <v>4487.6712328767126</v>
      </c>
      <c r="Q19" s="16">
        <f t="shared" si="14"/>
        <v>4487.6712328767126</v>
      </c>
      <c r="R19" s="16">
        <f t="shared" si="14"/>
        <v>4487.6712328767126</v>
      </c>
      <c r="S19" s="16">
        <f t="shared" si="14"/>
        <v>4487.6712328767126</v>
      </c>
      <c r="T19" s="16">
        <f t="shared" si="14"/>
        <v>4487.6712328767126</v>
      </c>
      <c r="U19" s="16">
        <f t="shared" si="14"/>
        <v>4487.6712328767126</v>
      </c>
      <c r="V19" s="16">
        <f t="shared" si="14"/>
        <v>4487.6712328767126</v>
      </c>
      <c r="W19" s="16">
        <f t="shared" si="14"/>
        <v>4487.6712328767126</v>
      </c>
      <c r="X19" s="16">
        <f t="shared" si="14"/>
        <v>4487.6712328767126</v>
      </c>
      <c r="Y19" s="16">
        <f t="shared" si="14"/>
        <v>4487.6712328767126</v>
      </c>
      <c r="Z19" s="16">
        <f t="shared" si="14"/>
        <v>4487.6712328767126</v>
      </c>
      <c r="AA19" s="16">
        <f t="shared" si="14"/>
        <v>4487.6712328767126</v>
      </c>
      <c r="AB19" s="16">
        <f t="shared" si="14"/>
        <v>4487.6712328767126</v>
      </c>
    </row>
    <row r="20" spans="1:28" ht="15.75" customHeight="1" x14ac:dyDescent="0.3">
      <c r="A20" s="12">
        <f>RAW!$A$18</f>
        <v>3276400</v>
      </c>
      <c r="B20" s="2"/>
      <c r="C20" s="17" t="s">
        <v>31</v>
      </c>
      <c r="D20" s="14">
        <f t="shared" si="2"/>
        <v>8976.4383561643845</v>
      </c>
      <c r="E20" s="2"/>
      <c r="F20" s="17" t="s">
        <v>31</v>
      </c>
      <c r="G20" s="14">
        <f t="shared" ref="G20:AB20" si="15">($A20/G$5)/365</f>
        <v>598.42922374429224</v>
      </c>
      <c r="H20" s="14">
        <f t="shared" si="15"/>
        <v>598.42922374429224</v>
      </c>
      <c r="I20" s="14">
        <f t="shared" si="15"/>
        <v>897.64383561643831</v>
      </c>
      <c r="J20" s="14">
        <f t="shared" si="15"/>
        <v>641.17416829745594</v>
      </c>
      <c r="K20" s="14">
        <f t="shared" si="15"/>
        <v>149.60730593607306</v>
      </c>
      <c r="L20" s="14">
        <f t="shared" si="15"/>
        <v>8976.4383561643845</v>
      </c>
      <c r="M20" s="14">
        <f t="shared" si="15"/>
        <v>8976.4383561643845</v>
      </c>
      <c r="N20" s="14">
        <f t="shared" si="15"/>
        <v>8976.4383561643845</v>
      </c>
      <c r="O20" s="15">
        <f t="shared" si="15"/>
        <v>8976.4383561643845</v>
      </c>
      <c r="P20" s="16">
        <f t="shared" si="15"/>
        <v>8976.4383561643845</v>
      </c>
      <c r="Q20" s="16">
        <f t="shared" si="15"/>
        <v>8976.4383561643845</v>
      </c>
      <c r="R20" s="16">
        <f t="shared" si="15"/>
        <v>8976.4383561643845</v>
      </c>
      <c r="S20" s="16">
        <f t="shared" si="15"/>
        <v>8976.4383561643845</v>
      </c>
      <c r="T20" s="16">
        <f t="shared" si="15"/>
        <v>8976.4383561643845</v>
      </c>
      <c r="U20" s="16">
        <f t="shared" si="15"/>
        <v>8976.4383561643845</v>
      </c>
      <c r="V20" s="16">
        <f t="shared" si="15"/>
        <v>8976.4383561643845</v>
      </c>
      <c r="W20" s="16">
        <f t="shared" si="15"/>
        <v>8976.4383561643845</v>
      </c>
      <c r="X20" s="16">
        <f t="shared" si="15"/>
        <v>8976.4383561643845</v>
      </c>
      <c r="Y20" s="16">
        <f t="shared" si="15"/>
        <v>8976.4383561643845</v>
      </c>
      <c r="Z20" s="16">
        <f t="shared" si="15"/>
        <v>8976.4383561643845</v>
      </c>
      <c r="AA20" s="16">
        <f t="shared" si="15"/>
        <v>8976.4383561643845</v>
      </c>
      <c r="AB20" s="16">
        <f t="shared" si="15"/>
        <v>8976.4383561643845</v>
      </c>
    </row>
    <row r="21" spans="1:28" ht="15.75" customHeight="1" x14ac:dyDescent="0.3">
      <c r="A21" s="12">
        <f>RAW!$A$19</f>
        <v>6553200</v>
      </c>
      <c r="B21" s="2"/>
      <c r="C21" s="17" t="s">
        <v>32</v>
      </c>
      <c r="D21" s="14">
        <f t="shared" si="2"/>
        <v>17953.972602739726</v>
      </c>
      <c r="E21" s="2"/>
      <c r="F21" s="17" t="s">
        <v>32</v>
      </c>
      <c r="G21" s="14">
        <f t="shared" ref="G21:AB21" si="16">($A21/G$5)/365</f>
        <v>1196.9315068493152</v>
      </c>
      <c r="H21" s="14">
        <f t="shared" si="16"/>
        <v>1196.9315068493152</v>
      </c>
      <c r="I21" s="14">
        <f t="shared" si="16"/>
        <v>1795.3972602739725</v>
      </c>
      <c r="J21" s="14">
        <f t="shared" si="16"/>
        <v>1282.4266144814089</v>
      </c>
      <c r="K21" s="14">
        <f t="shared" si="16"/>
        <v>299.23287671232879</v>
      </c>
      <c r="L21" s="14">
        <f t="shared" si="16"/>
        <v>17953.972602739726</v>
      </c>
      <c r="M21" s="14">
        <f t="shared" si="16"/>
        <v>17953.972602739726</v>
      </c>
      <c r="N21" s="14">
        <f t="shared" si="16"/>
        <v>17953.972602739726</v>
      </c>
      <c r="O21" s="15">
        <f t="shared" si="16"/>
        <v>17953.972602739726</v>
      </c>
      <c r="P21" s="16">
        <f t="shared" si="16"/>
        <v>17953.972602739726</v>
      </c>
      <c r="Q21" s="16">
        <f t="shared" si="16"/>
        <v>17953.972602739726</v>
      </c>
      <c r="R21" s="16">
        <f t="shared" si="16"/>
        <v>17953.972602739726</v>
      </c>
      <c r="S21" s="16">
        <f t="shared" si="16"/>
        <v>17953.972602739726</v>
      </c>
      <c r="T21" s="16">
        <f t="shared" si="16"/>
        <v>17953.972602739726</v>
      </c>
      <c r="U21" s="16">
        <f t="shared" si="16"/>
        <v>17953.972602739726</v>
      </c>
      <c r="V21" s="16">
        <f t="shared" si="16"/>
        <v>17953.972602739726</v>
      </c>
      <c r="W21" s="16">
        <f t="shared" si="16"/>
        <v>17953.972602739726</v>
      </c>
      <c r="X21" s="16">
        <f t="shared" si="16"/>
        <v>17953.972602739726</v>
      </c>
      <c r="Y21" s="16">
        <f t="shared" si="16"/>
        <v>17953.972602739726</v>
      </c>
      <c r="Z21" s="16">
        <f t="shared" si="16"/>
        <v>17953.972602739726</v>
      </c>
      <c r="AA21" s="16">
        <f t="shared" si="16"/>
        <v>17953.972602739726</v>
      </c>
      <c r="AB21" s="16">
        <f t="shared" si="16"/>
        <v>17953.972602739726</v>
      </c>
    </row>
    <row r="22" spans="1:28" ht="15.75" customHeight="1" x14ac:dyDescent="0.3">
      <c r="A22" s="12">
        <f>RAW!$A$20</f>
        <v>13106800</v>
      </c>
      <c r="B22" s="2"/>
      <c r="C22" s="17" t="s">
        <v>33</v>
      </c>
      <c r="D22" s="14">
        <f t="shared" si="2"/>
        <v>35909.04109589041</v>
      </c>
      <c r="E22" s="2"/>
      <c r="F22" s="17" t="s">
        <v>33</v>
      </c>
      <c r="G22" s="14">
        <f t="shared" ref="G22:AB22" si="17">($A22/G$5)/365</f>
        <v>2393.9360730593608</v>
      </c>
      <c r="H22" s="14">
        <f t="shared" si="17"/>
        <v>2393.9360730593608</v>
      </c>
      <c r="I22" s="14">
        <f t="shared" si="17"/>
        <v>3590.9041095890411</v>
      </c>
      <c r="J22" s="14">
        <f t="shared" si="17"/>
        <v>2564.9315068493152</v>
      </c>
      <c r="K22" s="14">
        <f t="shared" si="17"/>
        <v>598.48401826484019</v>
      </c>
      <c r="L22" s="14">
        <f t="shared" si="17"/>
        <v>35909.04109589041</v>
      </c>
      <c r="M22" s="14">
        <f t="shared" si="17"/>
        <v>35909.04109589041</v>
      </c>
      <c r="N22" s="14">
        <f t="shared" si="17"/>
        <v>35909.04109589041</v>
      </c>
      <c r="O22" s="15">
        <f t="shared" si="17"/>
        <v>35909.04109589041</v>
      </c>
      <c r="P22" s="16">
        <f t="shared" si="17"/>
        <v>35909.04109589041</v>
      </c>
      <c r="Q22" s="16">
        <f t="shared" si="17"/>
        <v>35909.04109589041</v>
      </c>
      <c r="R22" s="16">
        <f t="shared" si="17"/>
        <v>35909.04109589041</v>
      </c>
      <c r="S22" s="16">
        <f t="shared" si="17"/>
        <v>35909.04109589041</v>
      </c>
      <c r="T22" s="16">
        <f t="shared" si="17"/>
        <v>35909.04109589041</v>
      </c>
      <c r="U22" s="16">
        <f t="shared" si="17"/>
        <v>35909.04109589041</v>
      </c>
      <c r="V22" s="16">
        <f t="shared" si="17"/>
        <v>35909.04109589041</v>
      </c>
      <c r="W22" s="16">
        <f t="shared" si="17"/>
        <v>35909.04109589041</v>
      </c>
      <c r="X22" s="16">
        <f t="shared" si="17"/>
        <v>35909.04109589041</v>
      </c>
      <c r="Y22" s="16">
        <f t="shared" si="17"/>
        <v>35909.04109589041</v>
      </c>
      <c r="Z22" s="16">
        <f t="shared" si="17"/>
        <v>35909.04109589041</v>
      </c>
      <c r="AA22" s="16">
        <f t="shared" si="17"/>
        <v>35909.04109589041</v>
      </c>
      <c r="AB22" s="16">
        <f t="shared" si="17"/>
        <v>35909.04109589041</v>
      </c>
    </row>
    <row r="23" spans="1:28" ht="15.75" customHeight="1" x14ac:dyDescent="0.3">
      <c r="A23" s="12">
        <f>RAW!$A$21</f>
        <v>26214000</v>
      </c>
      <c r="B23" s="2"/>
      <c r="C23" s="17" t="s">
        <v>34</v>
      </c>
      <c r="D23" s="14">
        <f t="shared" si="2"/>
        <v>71819.178082191778</v>
      </c>
      <c r="E23" s="2"/>
      <c r="F23" s="17" t="s">
        <v>34</v>
      </c>
      <c r="G23" s="14">
        <f t="shared" ref="G23:AB23" si="18">($A23/G$5)/365</f>
        <v>4787.9452054794519</v>
      </c>
      <c r="H23" s="14">
        <f t="shared" si="18"/>
        <v>4787.9452054794519</v>
      </c>
      <c r="I23" s="14">
        <f t="shared" si="18"/>
        <v>7181.9178082191784</v>
      </c>
      <c r="J23" s="14">
        <f t="shared" si="18"/>
        <v>5129.9412915851271</v>
      </c>
      <c r="K23" s="14">
        <f t="shared" si="18"/>
        <v>1196.986301369863</v>
      </c>
      <c r="L23" s="14">
        <f t="shared" si="18"/>
        <v>71819.178082191778</v>
      </c>
      <c r="M23" s="14">
        <f t="shared" si="18"/>
        <v>71819.178082191778</v>
      </c>
      <c r="N23" s="14">
        <f t="shared" si="18"/>
        <v>71819.178082191778</v>
      </c>
      <c r="O23" s="15">
        <f t="shared" si="18"/>
        <v>71819.178082191778</v>
      </c>
      <c r="P23" s="16">
        <f t="shared" si="18"/>
        <v>71819.178082191778</v>
      </c>
      <c r="Q23" s="16">
        <f t="shared" si="18"/>
        <v>71819.178082191778</v>
      </c>
      <c r="R23" s="16">
        <f t="shared" si="18"/>
        <v>71819.178082191778</v>
      </c>
      <c r="S23" s="16">
        <f t="shared" si="18"/>
        <v>71819.178082191778</v>
      </c>
      <c r="T23" s="16">
        <f t="shared" si="18"/>
        <v>71819.178082191778</v>
      </c>
      <c r="U23" s="16">
        <f t="shared" si="18"/>
        <v>71819.178082191778</v>
      </c>
      <c r="V23" s="16">
        <f t="shared" si="18"/>
        <v>71819.178082191778</v>
      </c>
      <c r="W23" s="16">
        <f t="shared" si="18"/>
        <v>71819.178082191778</v>
      </c>
      <c r="X23" s="16">
        <f t="shared" si="18"/>
        <v>71819.178082191778</v>
      </c>
      <c r="Y23" s="16">
        <f t="shared" si="18"/>
        <v>71819.178082191778</v>
      </c>
      <c r="Z23" s="16">
        <f t="shared" si="18"/>
        <v>71819.178082191778</v>
      </c>
      <c r="AA23" s="16">
        <f t="shared" si="18"/>
        <v>71819.178082191778</v>
      </c>
      <c r="AB23" s="16">
        <f t="shared" si="18"/>
        <v>71819.178082191778</v>
      </c>
    </row>
    <row r="24" spans="1:28" ht="15.75" customHeight="1" x14ac:dyDescent="0.3">
      <c r="A24" s="12">
        <f>RAW!$A$22</f>
        <v>52428400</v>
      </c>
      <c r="B24" s="2"/>
      <c r="C24" s="17" t="s">
        <v>35</v>
      </c>
      <c r="D24" s="14">
        <f t="shared" si="2"/>
        <v>143639.45205479453</v>
      </c>
      <c r="E24" s="2"/>
      <c r="F24" s="17" t="s">
        <v>35</v>
      </c>
      <c r="G24" s="14">
        <f t="shared" ref="G24:AB24" si="19">($A24/G$5)/365</f>
        <v>9575.9634703196334</v>
      </c>
      <c r="H24" s="14">
        <f t="shared" si="19"/>
        <v>9575.9634703196334</v>
      </c>
      <c r="I24" s="14">
        <f t="shared" si="19"/>
        <v>14363.945205479453</v>
      </c>
      <c r="J24" s="14">
        <f t="shared" si="19"/>
        <v>10259.96086105675</v>
      </c>
      <c r="K24" s="14">
        <f t="shared" si="19"/>
        <v>2393.9908675799084</v>
      </c>
      <c r="L24" s="14">
        <f t="shared" si="19"/>
        <v>143639.45205479453</v>
      </c>
      <c r="M24" s="14">
        <f t="shared" si="19"/>
        <v>143639.45205479453</v>
      </c>
      <c r="N24" s="14">
        <f t="shared" si="19"/>
        <v>143639.45205479453</v>
      </c>
      <c r="O24" s="15">
        <f t="shared" si="19"/>
        <v>143639.45205479453</v>
      </c>
      <c r="P24" s="16">
        <f t="shared" si="19"/>
        <v>143639.45205479453</v>
      </c>
      <c r="Q24" s="16">
        <f t="shared" si="19"/>
        <v>143639.45205479453</v>
      </c>
      <c r="R24" s="16">
        <f t="shared" si="19"/>
        <v>143639.45205479453</v>
      </c>
      <c r="S24" s="16">
        <f t="shared" si="19"/>
        <v>143639.45205479453</v>
      </c>
      <c r="T24" s="16">
        <f t="shared" si="19"/>
        <v>143639.45205479453</v>
      </c>
      <c r="U24" s="16">
        <f t="shared" si="19"/>
        <v>143639.45205479453</v>
      </c>
      <c r="V24" s="16">
        <f t="shared" si="19"/>
        <v>143639.45205479453</v>
      </c>
      <c r="W24" s="16">
        <f t="shared" si="19"/>
        <v>143639.45205479453</v>
      </c>
      <c r="X24" s="16">
        <f t="shared" si="19"/>
        <v>143639.45205479453</v>
      </c>
      <c r="Y24" s="16">
        <f t="shared" si="19"/>
        <v>143639.45205479453</v>
      </c>
      <c r="Z24" s="16">
        <f t="shared" si="19"/>
        <v>143639.45205479453</v>
      </c>
      <c r="AA24" s="16">
        <f t="shared" si="19"/>
        <v>143639.45205479453</v>
      </c>
      <c r="AB24" s="16">
        <f t="shared" si="19"/>
        <v>143639.45205479453</v>
      </c>
    </row>
    <row r="25" spans="1:28" ht="15.75" customHeight="1" x14ac:dyDescent="0.3">
      <c r="A25" s="3"/>
      <c r="B25" s="2"/>
      <c r="C25" s="29"/>
      <c r="D25" s="30"/>
      <c r="E25" s="2"/>
      <c r="F25" s="3"/>
      <c r="G25" s="31" t="s">
        <v>36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28" ht="15.75" customHeight="1" x14ac:dyDescent="0.3">
      <c r="A26" s="19" t="s">
        <v>37</v>
      </c>
      <c r="B26" s="2"/>
      <c r="C26" s="10" t="s">
        <v>9</v>
      </c>
      <c r="D26" s="10" t="s">
        <v>10</v>
      </c>
      <c r="E26" s="2"/>
      <c r="F26" s="20" t="s">
        <v>9</v>
      </c>
      <c r="G26" s="11" t="str">
        <f t="shared" ref="G26:AB26" si="20">G7</f>
        <v>Katsuki</v>
      </c>
      <c r="H26" s="11" t="str">
        <f t="shared" si="20"/>
        <v>Katsumi</v>
      </c>
      <c r="I26" s="11" t="str">
        <f t="shared" si="20"/>
        <v>Ryo</v>
      </c>
      <c r="J26" s="11" t="str">
        <f t="shared" si="20"/>
        <v>Hanako</v>
      </c>
      <c r="K26" s="11" t="str">
        <f t="shared" si="20"/>
        <v>Mimi</v>
      </c>
      <c r="L26" s="11">
        <f t="shared" si="20"/>
        <v>0</v>
      </c>
      <c r="M26" s="11">
        <f t="shared" si="20"/>
        <v>0</v>
      </c>
      <c r="N26" s="11">
        <f t="shared" si="20"/>
        <v>0</v>
      </c>
      <c r="O26" s="11">
        <f t="shared" si="20"/>
        <v>0</v>
      </c>
      <c r="P26" s="11">
        <f t="shared" si="20"/>
        <v>0</v>
      </c>
      <c r="Q26" s="11">
        <f t="shared" si="20"/>
        <v>0</v>
      </c>
      <c r="R26" s="11">
        <f t="shared" si="20"/>
        <v>0</v>
      </c>
      <c r="S26" s="11">
        <f t="shared" si="20"/>
        <v>0</v>
      </c>
      <c r="T26" s="11">
        <f t="shared" si="20"/>
        <v>0</v>
      </c>
      <c r="U26" s="11">
        <f t="shared" si="20"/>
        <v>0</v>
      </c>
      <c r="V26" s="11">
        <f t="shared" si="20"/>
        <v>0</v>
      </c>
      <c r="W26" s="11">
        <f t="shared" si="20"/>
        <v>0</v>
      </c>
      <c r="X26" s="11">
        <f t="shared" si="20"/>
        <v>0</v>
      </c>
      <c r="Y26" s="11">
        <f t="shared" si="20"/>
        <v>0</v>
      </c>
      <c r="Z26" s="11">
        <f t="shared" si="20"/>
        <v>0</v>
      </c>
      <c r="AA26" s="11">
        <f t="shared" si="20"/>
        <v>0</v>
      </c>
      <c r="AB26" s="11">
        <f t="shared" si="20"/>
        <v>0</v>
      </c>
    </row>
    <row r="27" spans="1:28" ht="15.75" customHeight="1" x14ac:dyDescent="0.3">
      <c r="A27" s="12">
        <f>RAW!$A$6</f>
        <v>400</v>
      </c>
      <c r="B27" s="2"/>
      <c r="C27" s="21" t="s">
        <v>19</v>
      </c>
      <c r="D27" s="22">
        <f t="shared" ref="D27:D43" si="21">$A27/D$5</f>
        <v>400</v>
      </c>
      <c r="E27" s="2"/>
      <c r="F27" s="21" t="s">
        <v>19</v>
      </c>
      <c r="G27" s="23">
        <f t="shared" ref="G27:AB27" si="22">$A27/G$5</f>
        <v>26.666666666666668</v>
      </c>
      <c r="H27" s="23">
        <f t="shared" si="22"/>
        <v>26.666666666666668</v>
      </c>
      <c r="I27" s="23">
        <f t="shared" si="22"/>
        <v>40</v>
      </c>
      <c r="J27" s="23">
        <f t="shared" si="22"/>
        <v>28.571428571428573</v>
      </c>
      <c r="K27" s="23">
        <f t="shared" si="22"/>
        <v>6.666666666666667</v>
      </c>
      <c r="L27" s="23">
        <f t="shared" si="22"/>
        <v>400</v>
      </c>
      <c r="M27" s="23">
        <f t="shared" si="22"/>
        <v>400</v>
      </c>
      <c r="N27" s="23">
        <f t="shared" si="22"/>
        <v>400</v>
      </c>
      <c r="O27" s="23">
        <f t="shared" si="22"/>
        <v>400</v>
      </c>
      <c r="P27" s="23">
        <f t="shared" si="22"/>
        <v>400</v>
      </c>
      <c r="Q27" s="23">
        <f t="shared" si="22"/>
        <v>400</v>
      </c>
      <c r="R27" s="23">
        <f t="shared" si="22"/>
        <v>400</v>
      </c>
      <c r="S27" s="23">
        <f t="shared" si="22"/>
        <v>400</v>
      </c>
      <c r="T27" s="23">
        <f t="shared" si="22"/>
        <v>400</v>
      </c>
      <c r="U27" s="23">
        <f t="shared" si="22"/>
        <v>400</v>
      </c>
      <c r="V27" s="23">
        <f t="shared" si="22"/>
        <v>400</v>
      </c>
      <c r="W27" s="23">
        <f t="shared" si="22"/>
        <v>400</v>
      </c>
      <c r="X27" s="23">
        <f t="shared" si="22"/>
        <v>400</v>
      </c>
      <c r="Y27" s="23">
        <f t="shared" si="22"/>
        <v>400</v>
      </c>
      <c r="Z27" s="23">
        <f t="shared" si="22"/>
        <v>400</v>
      </c>
      <c r="AA27" s="23">
        <f t="shared" si="22"/>
        <v>400</v>
      </c>
      <c r="AB27" s="23">
        <f t="shared" si="22"/>
        <v>400</v>
      </c>
    </row>
    <row r="28" spans="1:28" ht="15.75" customHeight="1" x14ac:dyDescent="0.3">
      <c r="A28" s="12">
        <f>RAW!$A$7</f>
        <v>1200</v>
      </c>
      <c r="B28" s="2"/>
      <c r="C28" s="24" t="s">
        <v>20</v>
      </c>
      <c r="D28" s="23">
        <f t="shared" si="21"/>
        <v>1200</v>
      </c>
      <c r="E28" s="2"/>
      <c r="F28" s="24" t="s">
        <v>20</v>
      </c>
      <c r="G28" s="23">
        <f t="shared" ref="G28:AB28" si="23">$A28/G$5</f>
        <v>80</v>
      </c>
      <c r="H28" s="23">
        <f t="shared" si="23"/>
        <v>80</v>
      </c>
      <c r="I28" s="23">
        <f t="shared" si="23"/>
        <v>120</v>
      </c>
      <c r="J28" s="23">
        <f t="shared" si="23"/>
        <v>85.714285714285708</v>
      </c>
      <c r="K28" s="23">
        <f t="shared" si="23"/>
        <v>20</v>
      </c>
      <c r="L28" s="23">
        <f t="shared" si="23"/>
        <v>1200</v>
      </c>
      <c r="M28" s="23">
        <f t="shared" si="23"/>
        <v>1200</v>
      </c>
      <c r="N28" s="23">
        <f t="shared" si="23"/>
        <v>1200</v>
      </c>
      <c r="O28" s="23">
        <f t="shared" si="23"/>
        <v>1200</v>
      </c>
      <c r="P28" s="23">
        <f t="shared" si="23"/>
        <v>1200</v>
      </c>
      <c r="Q28" s="23">
        <f t="shared" si="23"/>
        <v>1200</v>
      </c>
      <c r="R28" s="23">
        <f t="shared" si="23"/>
        <v>1200</v>
      </c>
      <c r="S28" s="23">
        <f t="shared" si="23"/>
        <v>1200</v>
      </c>
      <c r="T28" s="23">
        <f t="shared" si="23"/>
        <v>1200</v>
      </c>
      <c r="U28" s="23">
        <f t="shared" si="23"/>
        <v>1200</v>
      </c>
      <c r="V28" s="23">
        <f t="shared" si="23"/>
        <v>1200</v>
      </c>
      <c r="W28" s="23">
        <f t="shared" si="23"/>
        <v>1200</v>
      </c>
      <c r="X28" s="23">
        <f t="shared" si="23"/>
        <v>1200</v>
      </c>
      <c r="Y28" s="23">
        <f t="shared" si="23"/>
        <v>1200</v>
      </c>
      <c r="Z28" s="23">
        <f t="shared" si="23"/>
        <v>1200</v>
      </c>
      <c r="AA28" s="23">
        <f t="shared" si="23"/>
        <v>1200</v>
      </c>
      <c r="AB28" s="23">
        <f t="shared" si="23"/>
        <v>1200</v>
      </c>
    </row>
    <row r="29" spans="1:28" ht="15.75" customHeight="1" x14ac:dyDescent="0.3">
      <c r="A29" s="12">
        <f>RAW!$A$8</f>
        <v>2800</v>
      </c>
      <c r="B29" s="2"/>
      <c r="C29" s="24" t="s">
        <v>21</v>
      </c>
      <c r="D29" s="23">
        <f t="shared" si="21"/>
        <v>2800</v>
      </c>
      <c r="E29" s="2"/>
      <c r="F29" s="24" t="s">
        <v>21</v>
      </c>
      <c r="G29" s="23">
        <f t="shared" ref="G29:AB29" si="24">$A29/G$5</f>
        <v>186.66666666666666</v>
      </c>
      <c r="H29" s="23">
        <f t="shared" si="24"/>
        <v>186.66666666666666</v>
      </c>
      <c r="I29" s="23">
        <f t="shared" si="24"/>
        <v>280</v>
      </c>
      <c r="J29" s="23">
        <f t="shared" si="24"/>
        <v>200</v>
      </c>
      <c r="K29" s="23">
        <f t="shared" si="24"/>
        <v>46.666666666666664</v>
      </c>
      <c r="L29" s="23">
        <f t="shared" si="24"/>
        <v>2800</v>
      </c>
      <c r="M29" s="23">
        <f t="shared" si="24"/>
        <v>2800</v>
      </c>
      <c r="N29" s="23">
        <f t="shared" si="24"/>
        <v>2800</v>
      </c>
      <c r="O29" s="23">
        <f t="shared" si="24"/>
        <v>2800</v>
      </c>
      <c r="P29" s="23">
        <f t="shared" si="24"/>
        <v>2800</v>
      </c>
      <c r="Q29" s="23">
        <f t="shared" si="24"/>
        <v>2800</v>
      </c>
      <c r="R29" s="23">
        <f t="shared" si="24"/>
        <v>2800</v>
      </c>
      <c r="S29" s="23">
        <f t="shared" si="24"/>
        <v>2800</v>
      </c>
      <c r="T29" s="23">
        <f t="shared" si="24"/>
        <v>2800</v>
      </c>
      <c r="U29" s="23">
        <f t="shared" si="24"/>
        <v>2800</v>
      </c>
      <c r="V29" s="23">
        <f t="shared" si="24"/>
        <v>2800</v>
      </c>
      <c r="W29" s="23">
        <f t="shared" si="24"/>
        <v>2800</v>
      </c>
      <c r="X29" s="23">
        <f t="shared" si="24"/>
        <v>2800</v>
      </c>
      <c r="Y29" s="23">
        <f t="shared" si="24"/>
        <v>2800</v>
      </c>
      <c r="Z29" s="23">
        <f t="shared" si="24"/>
        <v>2800</v>
      </c>
      <c r="AA29" s="23">
        <f t="shared" si="24"/>
        <v>2800</v>
      </c>
      <c r="AB29" s="23">
        <f t="shared" si="24"/>
        <v>2800</v>
      </c>
    </row>
    <row r="30" spans="1:28" ht="15.75" customHeight="1" x14ac:dyDescent="0.3">
      <c r="A30" s="12">
        <f>RAW!$A$9</f>
        <v>6000</v>
      </c>
      <c r="B30" s="2"/>
      <c r="C30" s="24" t="s">
        <v>22</v>
      </c>
      <c r="D30" s="23">
        <f t="shared" si="21"/>
        <v>6000</v>
      </c>
      <c r="E30" s="2"/>
      <c r="F30" s="24" t="s">
        <v>22</v>
      </c>
      <c r="G30" s="23">
        <f t="shared" ref="G30:AB30" si="25">$A30/G$5</f>
        <v>400</v>
      </c>
      <c r="H30" s="23">
        <f t="shared" si="25"/>
        <v>400</v>
      </c>
      <c r="I30" s="23">
        <f t="shared" si="25"/>
        <v>600</v>
      </c>
      <c r="J30" s="23">
        <f t="shared" si="25"/>
        <v>428.57142857142856</v>
      </c>
      <c r="K30" s="23">
        <f t="shared" si="25"/>
        <v>100</v>
      </c>
      <c r="L30" s="23">
        <f t="shared" si="25"/>
        <v>6000</v>
      </c>
      <c r="M30" s="23">
        <f t="shared" si="25"/>
        <v>6000</v>
      </c>
      <c r="N30" s="23">
        <f t="shared" si="25"/>
        <v>6000</v>
      </c>
      <c r="O30" s="23">
        <f t="shared" si="25"/>
        <v>6000</v>
      </c>
      <c r="P30" s="23">
        <f t="shared" si="25"/>
        <v>6000</v>
      </c>
      <c r="Q30" s="23">
        <f t="shared" si="25"/>
        <v>6000</v>
      </c>
      <c r="R30" s="23">
        <f t="shared" si="25"/>
        <v>6000</v>
      </c>
      <c r="S30" s="23">
        <f t="shared" si="25"/>
        <v>6000</v>
      </c>
      <c r="T30" s="23">
        <f t="shared" si="25"/>
        <v>6000</v>
      </c>
      <c r="U30" s="23">
        <f t="shared" si="25"/>
        <v>6000</v>
      </c>
      <c r="V30" s="23">
        <f t="shared" si="25"/>
        <v>6000</v>
      </c>
      <c r="W30" s="23">
        <f t="shared" si="25"/>
        <v>6000</v>
      </c>
      <c r="X30" s="23">
        <f t="shared" si="25"/>
        <v>6000</v>
      </c>
      <c r="Y30" s="23">
        <f t="shared" si="25"/>
        <v>6000</v>
      </c>
      <c r="Z30" s="23">
        <f t="shared" si="25"/>
        <v>6000</v>
      </c>
      <c r="AA30" s="23">
        <f t="shared" si="25"/>
        <v>6000</v>
      </c>
      <c r="AB30" s="23">
        <f t="shared" si="25"/>
        <v>6000</v>
      </c>
    </row>
    <row r="31" spans="1:28" ht="15.75" customHeight="1" x14ac:dyDescent="0.3">
      <c r="A31" s="12">
        <f>RAW!$A$10</f>
        <v>12400</v>
      </c>
      <c r="B31" s="2"/>
      <c r="C31" s="24" t="s">
        <v>23</v>
      </c>
      <c r="D31" s="23">
        <f t="shared" si="21"/>
        <v>12400</v>
      </c>
      <c r="E31" s="2"/>
      <c r="F31" s="24" t="s">
        <v>23</v>
      </c>
      <c r="G31" s="23">
        <f t="shared" ref="G31:AB31" si="26">$A31/G$5</f>
        <v>826.66666666666663</v>
      </c>
      <c r="H31" s="23">
        <f t="shared" si="26"/>
        <v>826.66666666666663</v>
      </c>
      <c r="I31" s="23">
        <f t="shared" si="26"/>
        <v>1240</v>
      </c>
      <c r="J31" s="23">
        <f t="shared" si="26"/>
        <v>885.71428571428567</v>
      </c>
      <c r="K31" s="23">
        <f t="shared" si="26"/>
        <v>206.66666666666666</v>
      </c>
      <c r="L31" s="23">
        <f t="shared" si="26"/>
        <v>12400</v>
      </c>
      <c r="M31" s="23">
        <f t="shared" si="26"/>
        <v>12400</v>
      </c>
      <c r="N31" s="23">
        <f t="shared" si="26"/>
        <v>12400</v>
      </c>
      <c r="O31" s="23">
        <f t="shared" si="26"/>
        <v>12400</v>
      </c>
      <c r="P31" s="23">
        <f t="shared" si="26"/>
        <v>12400</v>
      </c>
      <c r="Q31" s="23">
        <f t="shared" si="26"/>
        <v>12400</v>
      </c>
      <c r="R31" s="23">
        <f t="shared" si="26"/>
        <v>12400</v>
      </c>
      <c r="S31" s="23">
        <f t="shared" si="26"/>
        <v>12400</v>
      </c>
      <c r="T31" s="23">
        <f t="shared" si="26"/>
        <v>12400</v>
      </c>
      <c r="U31" s="23">
        <f t="shared" si="26"/>
        <v>12400</v>
      </c>
      <c r="V31" s="23">
        <f t="shared" si="26"/>
        <v>12400</v>
      </c>
      <c r="W31" s="23">
        <f t="shared" si="26"/>
        <v>12400</v>
      </c>
      <c r="X31" s="23">
        <f t="shared" si="26"/>
        <v>12400</v>
      </c>
      <c r="Y31" s="23">
        <f t="shared" si="26"/>
        <v>12400</v>
      </c>
      <c r="Z31" s="23">
        <f t="shared" si="26"/>
        <v>12400</v>
      </c>
      <c r="AA31" s="23">
        <f t="shared" si="26"/>
        <v>12400</v>
      </c>
      <c r="AB31" s="23">
        <f t="shared" si="26"/>
        <v>12400</v>
      </c>
    </row>
    <row r="32" spans="1:28" ht="15.75" customHeight="1" x14ac:dyDescent="0.3">
      <c r="A32" s="12">
        <f>RAW!$A$11</f>
        <v>25200</v>
      </c>
      <c r="B32" s="2"/>
      <c r="C32" s="24" t="s">
        <v>24</v>
      </c>
      <c r="D32" s="23">
        <f t="shared" si="21"/>
        <v>25200</v>
      </c>
      <c r="E32" s="2"/>
      <c r="F32" s="24" t="s">
        <v>24</v>
      </c>
      <c r="G32" s="23">
        <f t="shared" ref="G32:AB32" si="27">$A32/G$5</f>
        <v>1680</v>
      </c>
      <c r="H32" s="23">
        <f t="shared" si="27"/>
        <v>1680</v>
      </c>
      <c r="I32" s="23">
        <f t="shared" si="27"/>
        <v>2520</v>
      </c>
      <c r="J32" s="23">
        <f t="shared" si="27"/>
        <v>1800</v>
      </c>
      <c r="K32" s="23">
        <f t="shared" si="27"/>
        <v>420</v>
      </c>
      <c r="L32" s="23">
        <f t="shared" si="27"/>
        <v>25200</v>
      </c>
      <c r="M32" s="23">
        <f t="shared" si="27"/>
        <v>25200</v>
      </c>
      <c r="N32" s="23">
        <f t="shared" si="27"/>
        <v>25200</v>
      </c>
      <c r="O32" s="23">
        <f t="shared" si="27"/>
        <v>25200</v>
      </c>
      <c r="P32" s="23">
        <f t="shared" si="27"/>
        <v>25200</v>
      </c>
      <c r="Q32" s="23">
        <f t="shared" si="27"/>
        <v>25200</v>
      </c>
      <c r="R32" s="23">
        <f t="shared" si="27"/>
        <v>25200</v>
      </c>
      <c r="S32" s="23">
        <f t="shared" si="27"/>
        <v>25200</v>
      </c>
      <c r="T32" s="23">
        <f t="shared" si="27"/>
        <v>25200</v>
      </c>
      <c r="U32" s="23">
        <f t="shared" si="27"/>
        <v>25200</v>
      </c>
      <c r="V32" s="23">
        <f t="shared" si="27"/>
        <v>25200</v>
      </c>
      <c r="W32" s="23">
        <f t="shared" si="27"/>
        <v>25200</v>
      </c>
      <c r="X32" s="23">
        <f t="shared" si="27"/>
        <v>25200</v>
      </c>
      <c r="Y32" s="23">
        <f t="shared" si="27"/>
        <v>25200</v>
      </c>
      <c r="Z32" s="23">
        <f t="shared" si="27"/>
        <v>25200</v>
      </c>
      <c r="AA32" s="23">
        <f t="shared" si="27"/>
        <v>25200</v>
      </c>
      <c r="AB32" s="23">
        <f t="shared" si="27"/>
        <v>25200</v>
      </c>
    </row>
    <row r="33" spans="1:28" ht="15.75" customHeight="1" x14ac:dyDescent="0.3">
      <c r="A33" s="12">
        <f>RAW!$A$12</f>
        <v>50800</v>
      </c>
      <c r="B33" s="2"/>
      <c r="C33" s="24" t="s">
        <v>25</v>
      </c>
      <c r="D33" s="23">
        <f t="shared" si="21"/>
        <v>50800</v>
      </c>
      <c r="E33" s="2"/>
      <c r="F33" s="24" t="s">
        <v>25</v>
      </c>
      <c r="G33" s="23">
        <f t="shared" ref="G33:AB33" si="28">$A33/G$5</f>
        <v>3386.6666666666665</v>
      </c>
      <c r="H33" s="23">
        <f t="shared" si="28"/>
        <v>3386.6666666666665</v>
      </c>
      <c r="I33" s="23">
        <f t="shared" si="28"/>
        <v>5080</v>
      </c>
      <c r="J33" s="23">
        <f t="shared" si="28"/>
        <v>3628.5714285714284</v>
      </c>
      <c r="K33" s="23">
        <f t="shared" si="28"/>
        <v>846.66666666666663</v>
      </c>
      <c r="L33" s="23">
        <f t="shared" si="28"/>
        <v>50800</v>
      </c>
      <c r="M33" s="23">
        <f t="shared" si="28"/>
        <v>50800</v>
      </c>
      <c r="N33" s="23">
        <f t="shared" si="28"/>
        <v>50800</v>
      </c>
      <c r="O33" s="23">
        <f t="shared" si="28"/>
        <v>50800</v>
      </c>
      <c r="P33" s="23">
        <f t="shared" si="28"/>
        <v>50800</v>
      </c>
      <c r="Q33" s="23">
        <f t="shared" si="28"/>
        <v>50800</v>
      </c>
      <c r="R33" s="23">
        <f t="shared" si="28"/>
        <v>50800</v>
      </c>
      <c r="S33" s="23">
        <f t="shared" si="28"/>
        <v>50800</v>
      </c>
      <c r="T33" s="23">
        <f t="shared" si="28"/>
        <v>50800</v>
      </c>
      <c r="U33" s="23">
        <f t="shared" si="28"/>
        <v>50800</v>
      </c>
      <c r="V33" s="23">
        <f t="shared" si="28"/>
        <v>50800</v>
      </c>
      <c r="W33" s="23">
        <f t="shared" si="28"/>
        <v>50800</v>
      </c>
      <c r="X33" s="23">
        <f t="shared" si="28"/>
        <v>50800</v>
      </c>
      <c r="Y33" s="23">
        <f t="shared" si="28"/>
        <v>50800</v>
      </c>
      <c r="Z33" s="23">
        <f t="shared" si="28"/>
        <v>50800</v>
      </c>
      <c r="AA33" s="23">
        <f t="shared" si="28"/>
        <v>50800</v>
      </c>
      <c r="AB33" s="23">
        <f t="shared" si="28"/>
        <v>50800</v>
      </c>
    </row>
    <row r="34" spans="1:28" ht="15.75" customHeight="1" x14ac:dyDescent="0.3">
      <c r="A34" s="12">
        <f>RAW!$A$13</f>
        <v>102000</v>
      </c>
      <c r="B34" s="2"/>
      <c r="C34" s="24" t="s">
        <v>26</v>
      </c>
      <c r="D34" s="23">
        <f t="shared" si="21"/>
        <v>102000</v>
      </c>
      <c r="E34" s="2"/>
      <c r="F34" s="24" t="s">
        <v>26</v>
      </c>
      <c r="G34" s="23">
        <f t="shared" ref="G34:AB34" si="29">$A34/G$5</f>
        <v>6800</v>
      </c>
      <c r="H34" s="23">
        <f t="shared" si="29"/>
        <v>6800</v>
      </c>
      <c r="I34" s="23">
        <f t="shared" si="29"/>
        <v>10200</v>
      </c>
      <c r="J34" s="23">
        <f t="shared" si="29"/>
        <v>7285.7142857142853</v>
      </c>
      <c r="K34" s="23">
        <f t="shared" si="29"/>
        <v>1700</v>
      </c>
      <c r="L34" s="23">
        <f t="shared" si="29"/>
        <v>102000</v>
      </c>
      <c r="M34" s="23">
        <f t="shared" si="29"/>
        <v>102000</v>
      </c>
      <c r="N34" s="23">
        <f t="shared" si="29"/>
        <v>102000</v>
      </c>
      <c r="O34" s="23">
        <f t="shared" si="29"/>
        <v>102000</v>
      </c>
      <c r="P34" s="23">
        <f t="shared" si="29"/>
        <v>102000</v>
      </c>
      <c r="Q34" s="23">
        <f t="shared" si="29"/>
        <v>102000</v>
      </c>
      <c r="R34" s="23">
        <f t="shared" si="29"/>
        <v>102000</v>
      </c>
      <c r="S34" s="23">
        <f t="shared" si="29"/>
        <v>102000</v>
      </c>
      <c r="T34" s="23">
        <f t="shared" si="29"/>
        <v>102000</v>
      </c>
      <c r="U34" s="23">
        <f t="shared" si="29"/>
        <v>102000</v>
      </c>
      <c r="V34" s="23">
        <f t="shared" si="29"/>
        <v>102000</v>
      </c>
      <c r="W34" s="23">
        <f t="shared" si="29"/>
        <v>102000</v>
      </c>
      <c r="X34" s="23">
        <f t="shared" si="29"/>
        <v>102000</v>
      </c>
      <c r="Y34" s="23">
        <f t="shared" si="29"/>
        <v>102000</v>
      </c>
      <c r="Z34" s="23">
        <f t="shared" si="29"/>
        <v>102000</v>
      </c>
      <c r="AA34" s="23">
        <f t="shared" si="29"/>
        <v>102000</v>
      </c>
      <c r="AB34" s="23">
        <f t="shared" si="29"/>
        <v>102000</v>
      </c>
    </row>
    <row r="35" spans="1:28" ht="15.75" customHeight="1" x14ac:dyDescent="0.3">
      <c r="A35" s="12">
        <f>RAW!$A$14</f>
        <v>204400</v>
      </c>
      <c r="B35" s="2"/>
      <c r="C35" s="24" t="s">
        <v>27</v>
      </c>
      <c r="D35" s="23">
        <f t="shared" si="21"/>
        <v>204400</v>
      </c>
      <c r="E35" s="2"/>
      <c r="F35" s="24" t="s">
        <v>27</v>
      </c>
      <c r="G35" s="23">
        <f t="shared" ref="G35:AB35" si="30">$A35/G$5</f>
        <v>13626.666666666666</v>
      </c>
      <c r="H35" s="23">
        <f t="shared" si="30"/>
        <v>13626.666666666666</v>
      </c>
      <c r="I35" s="23">
        <f t="shared" si="30"/>
        <v>20440</v>
      </c>
      <c r="J35" s="23">
        <f t="shared" si="30"/>
        <v>14600</v>
      </c>
      <c r="K35" s="23">
        <f t="shared" si="30"/>
        <v>3406.6666666666665</v>
      </c>
      <c r="L35" s="23">
        <f t="shared" si="30"/>
        <v>204400</v>
      </c>
      <c r="M35" s="23">
        <f t="shared" si="30"/>
        <v>204400</v>
      </c>
      <c r="N35" s="23">
        <f t="shared" si="30"/>
        <v>204400</v>
      </c>
      <c r="O35" s="23">
        <f t="shared" si="30"/>
        <v>204400</v>
      </c>
      <c r="P35" s="23">
        <f t="shared" si="30"/>
        <v>204400</v>
      </c>
      <c r="Q35" s="23">
        <f t="shared" si="30"/>
        <v>204400</v>
      </c>
      <c r="R35" s="23">
        <f t="shared" si="30"/>
        <v>204400</v>
      </c>
      <c r="S35" s="23">
        <f t="shared" si="30"/>
        <v>204400</v>
      </c>
      <c r="T35" s="23">
        <f t="shared" si="30"/>
        <v>204400</v>
      </c>
      <c r="U35" s="23">
        <f t="shared" si="30"/>
        <v>204400</v>
      </c>
      <c r="V35" s="23">
        <f t="shared" si="30"/>
        <v>204400</v>
      </c>
      <c r="W35" s="23">
        <f t="shared" si="30"/>
        <v>204400</v>
      </c>
      <c r="X35" s="23">
        <f t="shared" si="30"/>
        <v>204400</v>
      </c>
      <c r="Y35" s="23">
        <f t="shared" si="30"/>
        <v>204400</v>
      </c>
      <c r="Z35" s="23">
        <f t="shared" si="30"/>
        <v>204400</v>
      </c>
      <c r="AA35" s="23">
        <f t="shared" si="30"/>
        <v>204400</v>
      </c>
      <c r="AB35" s="23">
        <f t="shared" si="30"/>
        <v>204400</v>
      </c>
    </row>
    <row r="36" spans="1:28" ht="15.75" customHeight="1" x14ac:dyDescent="0.3">
      <c r="A36" s="12">
        <f>RAW!$A$15</f>
        <v>409200</v>
      </c>
      <c r="B36" s="2"/>
      <c r="C36" s="24" t="s">
        <v>28</v>
      </c>
      <c r="D36" s="23">
        <f t="shared" si="21"/>
        <v>409200</v>
      </c>
      <c r="E36" s="2"/>
      <c r="F36" s="24" t="s">
        <v>28</v>
      </c>
      <c r="G36" s="23">
        <f t="shared" ref="G36:AB36" si="31">$A36/G$5</f>
        <v>27280</v>
      </c>
      <c r="H36" s="23">
        <f t="shared" si="31"/>
        <v>27280</v>
      </c>
      <c r="I36" s="23">
        <f t="shared" si="31"/>
        <v>40920</v>
      </c>
      <c r="J36" s="23">
        <f t="shared" si="31"/>
        <v>29228.571428571428</v>
      </c>
      <c r="K36" s="23">
        <f t="shared" si="31"/>
        <v>6820</v>
      </c>
      <c r="L36" s="23">
        <f t="shared" si="31"/>
        <v>409200</v>
      </c>
      <c r="M36" s="23">
        <f t="shared" si="31"/>
        <v>409200</v>
      </c>
      <c r="N36" s="23">
        <f t="shared" si="31"/>
        <v>409200</v>
      </c>
      <c r="O36" s="23">
        <f t="shared" si="31"/>
        <v>409200</v>
      </c>
      <c r="P36" s="23">
        <f t="shared" si="31"/>
        <v>409200</v>
      </c>
      <c r="Q36" s="23">
        <f t="shared" si="31"/>
        <v>409200</v>
      </c>
      <c r="R36" s="23">
        <f t="shared" si="31"/>
        <v>409200</v>
      </c>
      <c r="S36" s="23">
        <f t="shared" si="31"/>
        <v>409200</v>
      </c>
      <c r="T36" s="23">
        <f t="shared" si="31"/>
        <v>409200</v>
      </c>
      <c r="U36" s="23">
        <f t="shared" si="31"/>
        <v>409200</v>
      </c>
      <c r="V36" s="23">
        <f t="shared" si="31"/>
        <v>409200</v>
      </c>
      <c r="W36" s="23">
        <f t="shared" si="31"/>
        <v>409200</v>
      </c>
      <c r="X36" s="23">
        <f t="shared" si="31"/>
        <v>409200</v>
      </c>
      <c r="Y36" s="23">
        <f t="shared" si="31"/>
        <v>409200</v>
      </c>
      <c r="Z36" s="23">
        <f t="shared" si="31"/>
        <v>409200</v>
      </c>
      <c r="AA36" s="23">
        <f t="shared" si="31"/>
        <v>409200</v>
      </c>
      <c r="AB36" s="23">
        <f t="shared" si="31"/>
        <v>409200</v>
      </c>
    </row>
    <row r="37" spans="1:28" ht="15.75" customHeight="1" x14ac:dyDescent="0.3">
      <c r="A37" s="12">
        <f>RAW!$A$16</f>
        <v>818800</v>
      </c>
      <c r="B37" s="2"/>
      <c r="C37" s="24" t="s">
        <v>29</v>
      </c>
      <c r="D37" s="23">
        <f t="shared" si="21"/>
        <v>818800</v>
      </c>
      <c r="E37" s="2"/>
      <c r="F37" s="24" t="s">
        <v>29</v>
      </c>
      <c r="G37" s="23">
        <f t="shared" ref="G37:AB37" si="32">$A37/G$5</f>
        <v>54586.666666666664</v>
      </c>
      <c r="H37" s="23">
        <f t="shared" si="32"/>
        <v>54586.666666666664</v>
      </c>
      <c r="I37" s="23">
        <f t="shared" si="32"/>
        <v>81880</v>
      </c>
      <c r="J37" s="23">
        <f t="shared" si="32"/>
        <v>58485.714285714283</v>
      </c>
      <c r="K37" s="23">
        <f t="shared" si="32"/>
        <v>13646.666666666666</v>
      </c>
      <c r="L37" s="23">
        <f t="shared" si="32"/>
        <v>818800</v>
      </c>
      <c r="M37" s="23">
        <f t="shared" si="32"/>
        <v>818800</v>
      </c>
      <c r="N37" s="23">
        <f t="shared" si="32"/>
        <v>818800</v>
      </c>
      <c r="O37" s="23">
        <f t="shared" si="32"/>
        <v>818800</v>
      </c>
      <c r="P37" s="23">
        <f t="shared" si="32"/>
        <v>818800</v>
      </c>
      <c r="Q37" s="23">
        <f t="shared" si="32"/>
        <v>818800</v>
      </c>
      <c r="R37" s="23">
        <f t="shared" si="32"/>
        <v>818800</v>
      </c>
      <c r="S37" s="23">
        <f t="shared" si="32"/>
        <v>818800</v>
      </c>
      <c r="T37" s="23">
        <f t="shared" si="32"/>
        <v>818800</v>
      </c>
      <c r="U37" s="23">
        <f t="shared" si="32"/>
        <v>818800</v>
      </c>
      <c r="V37" s="23">
        <f t="shared" si="32"/>
        <v>818800</v>
      </c>
      <c r="W37" s="23">
        <f t="shared" si="32"/>
        <v>818800</v>
      </c>
      <c r="X37" s="23">
        <f t="shared" si="32"/>
        <v>818800</v>
      </c>
      <c r="Y37" s="23">
        <f t="shared" si="32"/>
        <v>818800</v>
      </c>
      <c r="Z37" s="23">
        <f t="shared" si="32"/>
        <v>818800</v>
      </c>
      <c r="AA37" s="23">
        <f t="shared" si="32"/>
        <v>818800</v>
      </c>
      <c r="AB37" s="23">
        <f t="shared" si="32"/>
        <v>818800</v>
      </c>
    </row>
    <row r="38" spans="1:28" ht="15.75" customHeight="1" x14ac:dyDescent="0.3">
      <c r="A38" s="12">
        <f>RAW!$A$17</f>
        <v>1638000</v>
      </c>
      <c r="B38" s="2"/>
      <c r="C38" s="24" t="s">
        <v>30</v>
      </c>
      <c r="D38" s="23">
        <f t="shared" si="21"/>
        <v>1638000</v>
      </c>
      <c r="E38" s="2"/>
      <c r="F38" s="24" t="s">
        <v>30</v>
      </c>
      <c r="G38" s="23">
        <f t="shared" ref="G38:AB38" si="33">$A38/G$5</f>
        <v>109200</v>
      </c>
      <c r="H38" s="23">
        <f t="shared" si="33"/>
        <v>109200</v>
      </c>
      <c r="I38" s="23">
        <f t="shared" si="33"/>
        <v>163800</v>
      </c>
      <c r="J38" s="23">
        <f t="shared" si="33"/>
        <v>117000</v>
      </c>
      <c r="K38" s="23">
        <f t="shared" si="33"/>
        <v>27300</v>
      </c>
      <c r="L38" s="23">
        <f t="shared" si="33"/>
        <v>1638000</v>
      </c>
      <c r="M38" s="23">
        <f t="shared" si="33"/>
        <v>1638000</v>
      </c>
      <c r="N38" s="23">
        <f t="shared" si="33"/>
        <v>1638000</v>
      </c>
      <c r="O38" s="23">
        <f t="shared" si="33"/>
        <v>1638000</v>
      </c>
      <c r="P38" s="23">
        <f t="shared" si="33"/>
        <v>1638000</v>
      </c>
      <c r="Q38" s="23">
        <f t="shared" si="33"/>
        <v>1638000</v>
      </c>
      <c r="R38" s="23">
        <f t="shared" si="33"/>
        <v>1638000</v>
      </c>
      <c r="S38" s="23">
        <f t="shared" si="33"/>
        <v>1638000</v>
      </c>
      <c r="T38" s="23">
        <f t="shared" si="33"/>
        <v>1638000</v>
      </c>
      <c r="U38" s="23">
        <f t="shared" si="33"/>
        <v>1638000</v>
      </c>
      <c r="V38" s="23">
        <f t="shared" si="33"/>
        <v>1638000</v>
      </c>
      <c r="W38" s="23">
        <f t="shared" si="33"/>
        <v>1638000</v>
      </c>
      <c r="X38" s="23">
        <f t="shared" si="33"/>
        <v>1638000</v>
      </c>
      <c r="Y38" s="23">
        <f t="shared" si="33"/>
        <v>1638000</v>
      </c>
      <c r="Z38" s="23">
        <f t="shared" si="33"/>
        <v>1638000</v>
      </c>
      <c r="AA38" s="23">
        <f t="shared" si="33"/>
        <v>1638000</v>
      </c>
      <c r="AB38" s="23">
        <f t="shared" si="33"/>
        <v>1638000</v>
      </c>
    </row>
    <row r="39" spans="1:28" ht="15.75" customHeight="1" x14ac:dyDescent="0.3">
      <c r="A39" s="12">
        <f>RAW!$A$18</f>
        <v>3276400</v>
      </c>
      <c r="B39" s="2"/>
      <c r="C39" s="24" t="s">
        <v>31</v>
      </c>
      <c r="D39" s="23">
        <f t="shared" si="21"/>
        <v>3276400</v>
      </c>
      <c r="E39" s="2"/>
      <c r="F39" s="24" t="s">
        <v>31</v>
      </c>
      <c r="G39" s="23">
        <f t="shared" ref="G39:AB39" si="34">$A39/G$5</f>
        <v>218426.66666666666</v>
      </c>
      <c r="H39" s="23">
        <f t="shared" si="34"/>
        <v>218426.66666666666</v>
      </c>
      <c r="I39" s="23">
        <f t="shared" si="34"/>
        <v>327640</v>
      </c>
      <c r="J39" s="23">
        <f t="shared" si="34"/>
        <v>234028.57142857142</v>
      </c>
      <c r="K39" s="23">
        <f t="shared" si="34"/>
        <v>54606.666666666664</v>
      </c>
      <c r="L39" s="23">
        <f t="shared" si="34"/>
        <v>3276400</v>
      </c>
      <c r="M39" s="23">
        <f t="shared" si="34"/>
        <v>3276400</v>
      </c>
      <c r="N39" s="23">
        <f t="shared" si="34"/>
        <v>3276400</v>
      </c>
      <c r="O39" s="23">
        <f t="shared" si="34"/>
        <v>3276400</v>
      </c>
      <c r="P39" s="23">
        <f t="shared" si="34"/>
        <v>3276400</v>
      </c>
      <c r="Q39" s="23">
        <f t="shared" si="34"/>
        <v>3276400</v>
      </c>
      <c r="R39" s="23">
        <f t="shared" si="34"/>
        <v>3276400</v>
      </c>
      <c r="S39" s="23">
        <f t="shared" si="34"/>
        <v>3276400</v>
      </c>
      <c r="T39" s="23">
        <f t="shared" si="34"/>
        <v>3276400</v>
      </c>
      <c r="U39" s="23">
        <f t="shared" si="34"/>
        <v>3276400</v>
      </c>
      <c r="V39" s="23">
        <f t="shared" si="34"/>
        <v>3276400</v>
      </c>
      <c r="W39" s="23">
        <f t="shared" si="34"/>
        <v>3276400</v>
      </c>
      <c r="X39" s="23">
        <f t="shared" si="34"/>
        <v>3276400</v>
      </c>
      <c r="Y39" s="23">
        <f t="shared" si="34"/>
        <v>3276400</v>
      </c>
      <c r="Z39" s="23">
        <f t="shared" si="34"/>
        <v>3276400</v>
      </c>
      <c r="AA39" s="23">
        <f t="shared" si="34"/>
        <v>3276400</v>
      </c>
      <c r="AB39" s="23">
        <f t="shared" si="34"/>
        <v>3276400</v>
      </c>
    </row>
    <row r="40" spans="1:28" ht="15.75" customHeight="1" x14ac:dyDescent="0.3">
      <c r="A40" s="12">
        <f>RAW!$A$19</f>
        <v>6553200</v>
      </c>
      <c r="B40" s="2"/>
      <c r="C40" s="24" t="s">
        <v>32</v>
      </c>
      <c r="D40" s="23">
        <f t="shared" si="21"/>
        <v>6553200</v>
      </c>
      <c r="E40" s="2"/>
      <c r="F40" s="24" t="s">
        <v>32</v>
      </c>
      <c r="G40" s="23">
        <f t="shared" ref="G40:AB40" si="35">$A40/G$5</f>
        <v>436880</v>
      </c>
      <c r="H40" s="23">
        <f t="shared" si="35"/>
        <v>436880</v>
      </c>
      <c r="I40" s="23">
        <f t="shared" si="35"/>
        <v>655320</v>
      </c>
      <c r="J40" s="23">
        <f t="shared" si="35"/>
        <v>468085.71428571426</v>
      </c>
      <c r="K40" s="23">
        <f t="shared" si="35"/>
        <v>109220</v>
      </c>
      <c r="L40" s="23">
        <f t="shared" si="35"/>
        <v>6553200</v>
      </c>
      <c r="M40" s="23">
        <f t="shared" si="35"/>
        <v>6553200</v>
      </c>
      <c r="N40" s="23">
        <f t="shared" si="35"/>
        <v>6553200</v>
      </c>
      <c r="O40" s="23">
        <f t="shared" si="35"/>
        <v>6553200</v>
      </c>
      <c r="P40" s="23">
        <f t="shared" si="35"/>
        <v>6553200</v>
      </c>
      <c r="Q40" s="23">
        <f t="shared" si="35"/>
        <v>6553200</v>
      </c>
      <c r="R40" s="23">
        <f t="shared" si="35"/>
        <v>6553200</v>
      </c>
      <c r="S40" s="23">
        <f t="shared" si="35"/>
        <v>6553200</v>
      </c>
      <c r="T40" s="23">
        <f t="shared" si="35"/>
        <v>6553200</v>
      </c>
      <c r="U40" s="23">
        <f t="shared" si="35"/>
        <v>6553200</v>
      </c>
      <c r="V40" s="23">
        <f t="shared" si="35"/>
        <v>6553200</v>
      </c>
      <c r="W40" s="23">
        <f t="shared" si="35"/>
        <v>6553200</v>
      </c>
      <c r="X40" s="23">
        <f t="shared" si="35"/>
        <v>6553200</v>
      </c>
      <c r="Y40" s="23">
        <f t="shared" si="35"/>
        <v>6553200</v>
      </c>
      <c r="Z40" s="23">
        <f t="shared" si="35"/>
        <v>6553200</v>
      </c>
      <c r="AA40" s="23">
        <f t="shared" si="35"/>
        <v>6553200</v>
      </c>
      <c r="AB40" s="23">
        <f t="shared" si="35"/>
        <v>6553200</v>
      </c>
    </row>
    <row r="41" spans="1:28" ht="15.75" customHeight="1" x14ac:dyDescent="0.3">
      <c r="A41" s="12">
        <f>RAW!$A$20</f>
        <v>13106800</v>
      </c>
      <c r="B41" s="2"/>
      <c r="C41" s="24" t="s">
        <v>33</v>
      </c>
      <c r="D41" s="23">
        <f t="shared" si="21"/>
        <v>13106800</v>
      </c>
      <c r="E41" s="2"/>
      <c r="F41" s="24" t="s">
        <v>33</v>
      </c>
      <c r="G41" s="23">
        <f t="shared" ref="G41:AB41" si="36">$A41/G$5</f>
        <v>873786.66666666663</v>
      </c>
      <c r="H41" s="23">
        <f t="shared" si="36"/>
        <v>873786.66666666663</v>
      </c>
      <c r="I41" s="23">
        <f t="shared" si="36"/>
        <v>1310680</v>
      </c>
      <c r="J41" s="23">
        <f t="shared" si="36"/>
        <v>936200</v>
      </c>
      <c r="K41" s="23">
        <f t="shared" si="36"/>
        <v>218446.66666666666</v>
      </c>
      <c r="L41" s="23">
        <f t="shared" si="36"/>
        <v>13106800</v>
      </c>
      <c r="M41" s="23">
        <f t="shared" si="36"/>
        <v>13106800</v>
      </c>
      <c r="N41" s="23">
        <f t="shared" si="36"/>
        <v>13106800</v>
      </c>
      <c r="O41" s="23">
        <f t="shared" si="36"/>
        <v>13106800</v>
      </c>
      <c r="P41" s="23">
        <f t="shared" si="36"/>
        <v>13106800</v>
      </c>
      <c r="Q41" s="23">
        <f t="shared" si="36"/>
        <v>13106800</v>
      </c>
      <c r="R41" s="23">
        <f t="shared" si="36"/>
        <v>13106800</v>
      </c>
      <c r="S41" s="23">
        <f t="shared" si="36"/>
        <v>13106800</v>
      </c>
      <c r="T41" s="23">
        <f t="shared" si="36"/>
        <v>13106800</v>
      </c>
      <c r="U41" s="23">
        <f t="shared" si="36"/>
        <v>13106800</v>
      </c>
      <c r="V41" s="23">
        <f t="shared" si="36"/>
        <v>13106800</v>
      </c>
      <c r="W41" s="23">
        <f t="shared" si="36"/>
        <v>13106800</v>
      </c>
      <c r="X41" s="23">
        <f t="shared" si="36"/>
        <v>13106800</v>
      </c>
      <c r="Y41" s="23">
        <f t="shared" si="36"/>
        <v>13106800</v>
      </c>
      <c r="Z41" s="23">
        <f t="shared" si="36"/>
        <v>13106800</v>
      </c>
      <c r="AA41" s="23">
        <f t="shared" si="36"/>
        <v>13106800</v>
      </c>
      <c r="AB41" s="23">
        <f t="shared" si="36"/>
        <v>13106800</v>
      </c>
    </row>
    <row r="42" spans="1:28" ht="15.75" customHeight="1" x14ac:dyDescent="0.3">
      <c r="A42" s="12">
        <f>RAW!$A$21</f>
        <v>26214000</v>
      </c>
      <c r="B42" s="2"/>
      <c r="C42" s="24" t="s">
        <v>34</v>
      </c>
      <c r="D42" s="23">
        <f t="shared" si="21"/>
        <v>26214000</v>
      </c>
      <c r="E42" s="2"/>
      <c r="F42" s="24" t="s">
        <v>34</v>
      </c>
      <c r="G42" s="23">
        <f t="shared" ref="G42:AB42" si="37">$A42/G$5</f>
        <v>1747600</v>
      </c>
      <c r="H42" s="23">
        <f t="shared" si="37"/>
        <v>1747600</v>
      </c>
      <c r="I42" s="23">
        <f t="shared" si="37"/>
        <v>2621400</v>
      </c>
      <c r="J42" s="23">
        <f t="shared" si="37"/>
        <v>1872428.5714285714</v>
      </c>
      <c r="K42" s="23">
        <f t="shared" si="37"/>
        <v>436900</v>
      </c>
      <c r="L42" s="23">
        <f t="shared" si="37"/>
        <v>26214000</v>
      </c>
      <c r="M42" s="23">
        <f t="shared" si="37"/>
        <v>26214000</v>
      </c>
      <c r="N42" s="23">
        <f t="shared" si="37"/>
        <v>26214000</v>
      </c>
      <c r="O42" s="23">
        <f t="shared" si="37"/>
        <v>26214000</v>
      </c>
      <c r="P42" s="23">
        <f t="shared" si="37"/>
        <v>26214000</v>
      </c>
      <c r="Q42" s="23">
        <f t="shared" si="37"/>
        <v>26214000</v>
      </c>
      <c r="R42" s="23">
        <f t="shared" si="37"/>
        <v>26214000</v>
      </c>
      <c r="S42" s="23">
        <f t="shared" si="37"/>
        <v>26214000</v>
      </c>
      <c r="T42" s="23">
        <f t="shared" si="37"/>
        <v>26214000</v>
      </c>
      <c r="U42" s="23">
        <f t="shared" si="37"/>
        <v>26214000</v>
      </c>
      <c r="V42" s="23">
        <f t="shared" si="37"/>
        <v>26214000</v>
      </c>
      <c r="W42" s="23">
        <f t="shared" si="37"/>
        <v>26214000</v>
      </c>
      <c r="X42" s="23">
        <f t="shared" si="37"/>
        <v>26214000</v>
      </c>
      <c r="Y42" s="23">
        <f t="shared" si="37"/>
        <v>26214000</v>
      </c>
      <c r="Z42" s="23">
        <f t="shared" si="37"/>
        <v>26214000</v>
      </c>
      <c r="AA42" s="23">
        <f t="shared" si="37"/>
        <v>26214000</v>
      </c>
      <c r="AB42" s="23">
        <f t="shared" si="37"/>
        <v>26214000</v>
      </c>
    </row>
    <row r="43" spans="1:28" ht="15.75" customHeight="1" x14ac:dyDescent="0.3">
      <c r="A43" s="12">
        <f>RAW!$A$22</f>
        <v>52428400</v>
      </c>
      <c r="B43" s="2"/>
      <c r="C43" s="24" t="s">
        <v>35</v>
      </c>
      <c r="D43" s="23">
        <f t="shared" si="21"/>
        <v>52428400</v>
      </c>
      <c r="E43" s="2"/>
      <c r="F43" s="24" t="s">
        <v>35</v>
      </c>
      <c r="G43" s="23">
        <f t="shared" ref="G43:AB43" si="38">$A43/G$5</f>
        <v>3495226.6666666665</v>
      </c>
      <c r="H43" s="23">
        <f t="shared" si="38"/>
        <v>3495226.6666666665</v>
      </c>
      <c r="I43" s="23">
        <f t="shared" si="38"/>
        <v>5242840</v>
      </c>
      <c r="J43" s="23">
        <f t="shared" si="38"/>
        <v>3744885.7142857141</v>
      </c>
      <c r="K43" s="23">
        <f t="shared" si="38"/>
        <v>873806.66666666663</v>
      </c>
      <c r="L43" s="23">
        <f t="shared" si="38"/>
        <v>52428400</v>
      </c>
      <c r="M43" s="23">
        <f t="shared" si="38"/>
        <v>52428400</v>
      </c>
      <c r="N43" s="23">
        <f t="shared" si="38"/>
        <v>52428400</v>
      </c>
      <c r="O43" s="23">
        <f t="shared" si="38"/>
        <v>52428400</v>
      </c>
      <c r="P43" s="23">
        <f t="shared" si="38"/>
        <v>52428400</v>
      </c>
      <c r="Q43" s="23">
        <f t="shared" si="38"/>
        <v>52428400</v>
      </c>
      <c r="R43" s="23">
        <f t="shared" si="38"/>
        <v>52428400</v>
      </c>
      <c r="S43" s="23">
        <f t="shared" si="38"/>
        <v>52428400</v>
      </c>
      <c r="T43" s="23">
        <f t="shared" si="38"/>
        <v>52428400</v>
      </c>
      <c r="U43" s="23">
        <f t="shared" si="38"/>
        <v>52428400</v>
      </c>
      <c r="V43" s="23">
        <f t="shared" si="38"/>
        <v>52428400</v>
      </c>
      <c r="W43" s="23">
        <f t="shared" si="38"/>
        <v>52428400</v>
      </c>
      <c r="X43" s="23">
        <f t="shared" si="38"/>
        <v>52428400</v>
      </c>
      <c r="Y43" s="23">
        <f t="shared" si="38"/>
        <v>52428400</v>
      </c>
      <c r="Z43" s="23">
        <f t="shared" si="38"/>
        <v>52428400</v>
      </c>
      <c r="AA43" s="23">
        <f t="shared" si="38"/>
        <v>52428400</v>
      </c>
      <c r="AB43" s="23">
        <f t="shared" si="38"/>
        <v>52428400</v>
      </c>
    </row>
    <row r="44" spans="1:28" ht="15.75" customHeight="1" x14ac:dyDescent="0.3">
      <c r="A44" s="3"/>
      <c r="B44" s="2"/>
      <c r="C44" s="29"/>
      <c r="D44" s="30"/>
      <c r="E44" s="2"/>
      <c r="F44" s="3"/>
      <c r="G44" s="31" t="s">
        <v>38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15.75" customHeight="1" x14ac:dyDescent="0.3">
      <c r="A45" s="19" t="s">
        <v>37</v>
      </c>
      <c r="B45" s="2"/>
      <c r="C45" s="10" t="s">
        <v>9</v>
      </c>
      <c r="D45" s="10" t="s">
        <v>10</v>
      </c>
      <c r="E45" s="2"/>
      <c r="F45" s="20" t="s">
        <v>9</v>
      </c>
      <c r="G45" s="11" t="str">
        <f t="shared" ref="G45:AB45" si="39">G26</f>
        <v>Katsuki</v>
      </c>
      <c r="H45" s="11" t="str">
        <f t="shared" si="39"/>
        <v>Katsumi</v>
      </c>
      <c r="I45" s="11" t="str">
        <f t="shared" si="39"/>
        <v>Ryo</v>
      </c>
      <c r="J45" s="11" t="str">
        <f t="shared" si="39"/>
        <v>Hanako</v>
      </c>
      <c r="K45" s="11" t="str">
        <f t="shared" si="39"/>
        <v>Mimi</v>
      </c>
      <c r="L45" s="11">
        <f t="shared" si="39"/>
        <v>0</v>
      </c>
      <c r="M45" s="11">
        <f t="shared" si="39"/>
        <v>0</v>
      </c>
      <c r="N45" s="11">
        <f t="shared" si="39"/>
        <v>0</v>
      </c>
      <c r="O45" s="11">
        <f t="shared" si="39"/>
        <v>0</v>
      </c>
      <c r="P45" s="11">
        <f t="shared" si="39"/>
        <v>0</v>
      </c>
      <c r="Q45" s="11">
        <f t="shared" si="39"/>
        <v>0</v>
      </c>
      <c r="R45" s="11">
        <f t="shared" si="39"/>
        <v>0</v>
      </c>
      <c r="S45" s="11">
        <f t="shared" si="39"/>
        <v>0</v>
      </c>
      <c r="T45" s="11">
        <f t="shared" si="39"/>
        <v>0</v>
      </c>
      <c r="U45" s="11">
        <f t="shared" si="39"/>
        <v>0</v>
      </c>
      <c r="V45" s="11">
        <f t="shared" si="39"/>
        <v>0</v>
      </c>
      <c r="W45" s="11">
        <f t="shared" si="39"/>
        <v>0</v>
      </c>
      <c r="X45" s="11">
        <f t="shared" si="39"/>
        <v>0</v>
      </c>
      <c r="Y45" s="11">
        <f t="shared" si="39"/>
        <v>0</v>
      </c>
      <c r="Z45" s="11">
        <f t="shared" si="39"/>
        <v>0</v>
      </c>
      <c r="AA45" s="11">
        <f t="shared" si="39"/>
        <v>0</v>
      </c>
      <c r="AB45" s="11">
        <f t="shared" si="39"/>
        <v>0</v>
      </c>
    </row>
    <row r="46" spans="1:28" ht="15.75" customHeight="1" x14ac:dyDescent="0.3">
      <c r="A46" s="12">
        <f>RAW!$A$6</f>
        <v>400</v>
      </c>
      <c r="B46" s="2"/>
      <c r="C46" s="21" t="s">
        <v>19</v>
      </c>
      <c r="D46" s="22">
        <f t="shared" ref="D46:D62" si="40">($A46/D$5)/365</f>
        <v>1.095890410958904</v>
      </c>
      <c r="E46" s="2"/>
      <c r="F46" s="21" t="s">
        <v>19</v>
      </c>
      <c r="G46" s="23">
        <f t="shared" ref="G46:AB46" si="41">($A46/G$5)/365</f>
        <v>7.3059360730593617E-2</v>
      </c>
      <c r="H46" s="23">
        <f t="shared" si="41"/>
        <v>7.3059360730593617E-2</v>
      </c>
      <c r="I46" s="23">
        <f t="shared" si="41"/>
        <v>0.1095890410958904</v>
      </c>
      <c r="J46" s="23">
        <f t="shared" si="41"/>
        <v>7.8277886497064589E-2</v>
      </c>
      <c r="K46" s="23">
        <f t="shared" si="41"/>
        <v>1.8264840182648404E-2</v>
      </c>
      <c r="L46" s="23">
        <f t="shared" si="41"/>
        <v>1.095890410958904</v>
      </c>
      <c r="M46" s="23">
        <f t="shared" si="41"/>
        <v>1.095890410958904</v>
      </c>
      <c r="N46" s="23">
        <f t="shared" si="41"/>
        <v>1.095890410958904</v>
      </c>
      <c r="O46" s="23">
        <f t="shared" si="41"/>
        <v>1.095890410958904</v>
      </c>
      <c r="P46" s="23">
        <f t="shared" si="41"/>
        <v>1.095890410958904</v>
      </c>
      <c r="Q46" s="23">
        <f t="shared" si="41"/>
        <v>1.095890410958904</v>
      </c>
      <c r="R46" s="23">
        <f t="shared" si="41"/>
        <v>1.095890410958904</v>
      </c>
      <c r="S46" s="23">
        <f t="shared" si="41"/>
        <v>1.095890410958904</v>
      </c>
      <c r="T46" s="23">
        <f t="shared" si="41"/>
        <v>1.095890410958904</v>
      </c>
      <c r="U46" s="23">
        <f t="shared" si="41"/>
        <v>1.095890410958904</v>
      </c>
      <c r="V46" s="23">
        <f t="shared" si="41"/>
        <v>1.095890410958904</v>
      </c>
      <c r="W46" s="23">
        <f t="shared" si="41"/>
        <v>1.095890410958904</v>
      </c>
      <c r="X46" s="23">
        <f t="shared" si="41"/>
        <v>1.095890410958904</v>
      </c>
      <c r="Y46" s="23">
        <f t="shared" si="41"/>
        <v>1.095890410958904</v>
      </c>
      <c r="Z46" s="23">
        <f t="shared" si="41"/>
        <v>1.095890410958904</v>
      </c>
      <c r="AA46" s="23">
        <f t="shared" si="41"/>
        <v>1.095890410958904</v>
      </c>
      <c r="AB46" s="23">
        <f t="shared" si="41"/>
        <v>1.095890410958904</v>
      </c>
    </row>
    <row r="47" spans="1:28" ht="15.75" customHeight="1" x14ac:dyDescent="0.3">
      <c r="A47" s="12">
        <f>RAW!$A$7</f>
        <v>1200</v>
      </c>
      <c r="B47" s="2"/>
      <c r="C47" s="24" t="s">
        <v>20</v>
      </c>
      <c r="D47" s="23">
        <f t="shared" si="40"/>
        <v>3.2876712328767121</v>
      </c>
      <c r="E47" s="2"/>
      <c r="F47" s="24" t="s">
        <v>20</v>
      </c>
      <c r="G47" s="23">
        <f t="shared" ref="G47:AB47" si="42">($A47/G$5)/365</f>
        <v>0.21917808219178081</v>
      </c>
      <c r="H47" s="23">
        <f t="shared" si="42"/>
        <v>0.21917808219178081</v>
      </c>
      <c r="I47" s="23">
        <f t="shared" si="42"/>
        <v>0.32876712328767121</v>
      </c>
      <c r="J47" s="23">
        <f t="shared" si="42"/>
        <v>0.23483365949119372</v>
      </c>
      <c r="K47" s="23">
        <f t="shared" si="42"/>
        <v>5.4794520547945202E-2</v>
      </c>
      <c r="L47" s="23">
        <f t="shared" si="42"/>
        <v>3.2876712328767121</v>
      </c>
      <c r="M47" s="23">
        <f t="shared" si="42"/>
        <v>3.2876712328767121</v>
      </c>
      <c r="N47" s="23">
        <f t="shared" si="42"/>
        <v>3.2876712328767121</v>
      </c>
      <c r="O47" s="23">
        <f t="shared" si="42"/>
        <v>3.2876712328767121</v>
      </c>
      <c r="P47" s="23">
        <f t="shared" si="42"/>
        <v>3.2876712328767121</v>
      </c>
      <c r="Q47" s="23">
        <f t="shared" si="42"/>
        <v>3.2876712328767121</v>
      </c>
      <c r="R47" s="23">
        <f t="shared" si="42"/>
        <v>3.2876712328767121</v>
      </c>
      <c r="S47" s="23">
        <f t="shared" si="42"/>
        <v>3.2876712328767121</v>
      </c>
      <c r="T47" s="23">
        <f t="shared" si="42"/>
        <v>3.2876712328767121</v>
      </c>
      <c r="U47" s="23">
        <f t="shared" si="42"/>
        <v>3.2876712328767121</v>
      </c>
      <c r="V47" s="23">
        <f t="shared" si="42"/>
        <v>3.2876712328767121</v>
      </c>
      <c r="W47" s="23">
        <f t="shared" si="42"/>
        <v>3.2876712328767121</v>
      </c>
      <c r="X47" s="23">
        <f t="shared" si="42"/>
        <v>3.2876712328767121</v>
      </c>
      <c r="Y47" s="23">
        <f t="shared" si="42"/>
        <v>3.2876712328767121</v>
      </c>
      <c r="Z47" s="23">
        <f t="shared" si="42"/>
        <v>3.2876712328767121</v>
      </c>
      <c r="AA47" s="23">
        <f t="shared" si="42"/>
        <v>3.2876712328767121</v>
      </c>
      <c r="AB47" s="23">
        <f t="shared" si="42"/>
        <v>3.2876712328767121</v>
      </c>
    </row>
    <row r="48" spans="1:28" ht="15.75" customHeight="1" x14ac:dyDescent="0.3">
      <c r="A48" s="12">
        <f>RAW!$A$8</f>
        <v>2800</v>
      </c>
      <c r="B48" s="2"/>
      <c r="C48" s="24" t="s">
        <v>21</v>
      </c>
      <c r="D48" s="23">
        <f t="shared" si="40"/>
        <v>7.6712328767123283</v>
      </c>
      <c r="E48" s="2"/>
      <c r="F48" s="24" t="s">
        <v>21</v>
      </c>
      <c r="G48" s="23">
        <f t="shared" ref="G48:AB48" si="43">($A48/G$5)/365</f>
        <v>0.51141552511415522</v>
      </c>
      <c r="H48" s="23">
        <f t="shared" si="43"/>
        <v>0.51141552511415522</v>
      </c>
      <c r="I48" s="23">
        <f t="shared" si="43"/>
        <v>0.76712328767123283</v>
      </c>
      <c r="J48" s="23">
        <f t="shared" si="43"/>
        <v>0.54794520547945202</v>
      </c>
      <c r="K48" s="23">
        <f t="shared" si="43"/>
        <v>0.12785388127853881</v>
      </c>
      <c r="L48" s="23">
        <f t="shared" si="43"/>
        <v>7.6712328767123283</v>
      </c>
      <c r="M48" s="23">
        <f t="shared" si="43"/>
        <v>7.6712328767123283</v>
      </c>
      <c r="N48" s="23">
        <f t="shared" si="43"/>
        <v>7.6712328767123283</v>
      </c>
      <c r="O48" s="23">
        <f t="shared" si="43"/>
        <v>7.6712328767123283</v>
      </c>
      <c r="P48" s="23">
        <f t="shared" si="43"/>
        <v>7.6712328767123283</v>
      </c>
      <c r="Q48" s="23">
        <f t="shared" si="43"/>
        <v>7.6712328767123283</v>
      </c>
      <c r="R48" s="23">
        <f t="shared" si="43"/>
        <v>7.6712328767123283</v>
      </c>
      <c r="S48" s="23">
        <f t="shared" si="43"/>
        <v>7.6712328767123283</v>
      </c>
      <c r="T48" s="23">
        <f t="shared" si="43"/>
        <v>7.6712328767123283</v>
      </c>
      <c r="U48" s="23">
        <f t="shared" si="43"/>
        <v>7.6712328767123283</v>
      </c>
      <c r="V48" s="23">
        <f t="shared" si="43"/>
        <v>7.6712328767123283</v>
      </c>
      <c r="W48" s="23">
        <f t="shared" si="43"/>
        <v>7.6712328767123283</v>
      </c>
      <c r="X48" s="23">
        <f t="shared" si="43"/>
        <v>7.6712328767123283</v>
      </c>
      <c r="Y48" s="23">
        <f t="shared" si="43"/>
        <v>7.6712328767123283</v>
      </c>
      <c r="Z48" s="23">
        <f t="shared" si="43"/>
        <v>7.6712328767123283</v>
      </c>
      <c r="AA48" s="23">
        <f t="shared" si="43"/>
        <v>7.6712328767123283</v>
      </c>
      <c r="AB48" s="23">
        <f t="shared" si="43"/>
        <v>7.6712328767123283</v>
      </c>
    </row>
    <row r="49" spans="1:28" ht="15.75" customHeight="1" x14ac:dyDescent="0.3">
      <c r="A49" s="12">
        <f>RAW!$A$9</f>
        <v>6000</v>
      </c>
      <c r="B49" s="2"/>
      <c r="C49" s="24" t="s">
        <v>22</v>
      </c>
      <c r="D49" s="23">
        <f t="shared" si="40"/>
        <v>16.438356164383563</v>
      </c>
      <c r="E49" s="2"/>
      <c r="F49" s="24" t="s">
        <v>22</v>
      </c>
      <c r="G49" s="23">
        <f t="shared" ref="G49:AB49" si="44">($A49/G$5)/365</f>
        <v>1.095890410958904</v>
      </c>
      <c r="H49" s="23">
        <f t="shared" si="44"/>
        <v>1.095890410958904</v>
      </c>
      <c r="I49" s="23">
        <f t="shared" si="44"/>
        <v>1.6438356164383561</v>
      </c>
      <c r="J49" s="23">
        <f t="shared" si="44"/>
        <v>1.1741682974559686</v>
      </c>
      <c r="K49" s="23">
        <f t="shared" si="44"/>
        <v>0.27397260273972601</v>
      </c>
      <c r="L49" s="23">
        <f t="shared" si="44"/>
        <v>16.438356164383563</v>
      </c>
      <c r="M49" s="23">
        <f t="shared" si="44"/>
        <v>16.438356164383563</v>
      </c>
      <c r="N49" s="23">
        <f t="shared" si="44"/>
        <v>16.438356164383563</v>
      </c>
      <c r="O49" s="23">
        <f t="shared" si="44"/>
        <v>16.438356164383563</v>
      </c>
      <c r="P49" s="23">
        <f t="shared" si="44"/>
        <v>16.438356164383563</v>
      </c>
      <c r="Q49" s="23">
        <f t="shared" si="44"/>
        <v>16.438356164383563</v>
      </c>
      <c r="R49" s="23">
        <f t="shared" si="44"/>
        <v>16.438356164383563</v>
      </c>
      <c r="S49" s="23">
        <f t="shared" si="44"/>
        <v>16.438356164383563</v>
      </c>
      <c r="T49" s="23">
        <f t="shared" si="44"/>
        <v>16.438356164383563</v>
      </c>
      <c r="U49" s="23">
        <f t="shared" si="44"/>
        <v>16.438356164383563</v>
      </c>
      <c r="V49" s="23">
        <f t="shared" si="44"/>
        <v>16.438356164383563</v>
      </c>
      <c r="W49" s="23">
        <f t="shared" si="44"/>
        <v>16.438356164383563</v>
      </c>
      <c r="X49" s="23">
        <f t="shared" si="44"/>
        <v>16.438356164383563</v>
      </c>
      <c r="Y49" s="23">
        <f t="shared" si="44"/>
        <v>16.438356164383563</v>
      </c>
      <c r="Z49" s="23">
        <f t="shared" si="44"/>
        <v>16.438356164383563</v>
      </c>
      <c r="AA49" s="23">
        <f t="shared" si="44"/>
        <v>16.438356164383563</v>
      </c>
      <c r="AB49" s="23">
        <f t="shared" si="44"/>
        <v>16.438356164383563</v>
      </c>
    </row>
    <row r="50" spans="1:28" ht="15.75" customHeight="1" x14ac:dyDescent="0.3">
      <c r="A50" s="12">
        <f>RAW!$A$10</f>
        <v>12400</v>
      </c>
      <c r="B50" s="2"/>
      <c r="C50" s="24" t="s">
        <v>23</v>
      </c>
      <c r="D50" s="23">
        <f t="shared" si="40"/>
        <v>33.972602739726028</v>
      </c>
      <c r="E50" s="2"/>
      <c r="F50" s="24" t="s">
        <v>23</v>
      </c>
      <c r="G50" s="23">
        <f t="shared" ref="G50:AB50" si="45">($A50/G$5)/365</f>
        <v>2.2648401826484017</v>
      </c>
      <c r="H50" s="23">
        <f t="shared" si="45"/>
        <v>2.2648401826484017</v>
      </c>
      <c r="I50" s="23">
        <f t="shared" si="45"/>
        <v>3.3972602739726026</v>
      </c>
      <c r="J50" s="23">
        <f t="shared" si="45"/>
        <v>2.4266144814090018</v>
      </c>
      <c r="K50" s="23">
        <f t="shared" si="45"/>
        <v>0.56621004566210043</v>
      </c>
      <c r="L50" s="23">
        <f t="shared" si="45"/>
        <v>33.972602739726028</v>
      </c>
      <c r="M50" s="23">
        <f t="shared" si="45"/>
        <v>33.972602739726028</v>
      </c>
      <c r="N50" s="23">
        <f t="shared" si="45"/>
        <v>33.972602739726028</v>
      </c>
      <c r="O50" s="23">
        <f t="shared" si="45"/>
        <v>33.972602739726028</v>
      </c>
      <c r="P50" s="23">
        <f t="shared" si="45"/>
        <v>33.972602739726028</v>
      </c>
      <c r="Q50" s="23">
        <f t="shared" si="45"/>
        <v>33.972602739726028</v>
      </c>
      <c r="R50" s="23">
        <f t="shared" si="45"/>
        <v>33.972602739726028</v>
      </c>
      <c r="S50" s="23">
        <f t="shared" si="45"/>
        <v>33.972602739726028</v>
      </c>
      <c r="T50" s="23">
        <f t="shared" si="45"/>
        <v>33.972602739726028</v>
      </c>
      <c r="U50" s="23">
        <f t="shared" si="45"/>
        <v>33.972602739726028</v>
      </c>
      <c r="V50" s="23">
        <f t="shared" si="45"/>
        <v>33.972602739726028</v>
      </c>
      <c r="W50" s="23">
        <f t="shared" si="45"/>
        <v>33.972602739726028</v>
      </c>
      <c r="X50" s="23">
        <f t="shared" si="45"/>
        <v>33.972602739726028</v>
      </c>
      <c r="Y50" s="23">
        <f t="shared" si="45"/>
        <v>33.972602739726028</v>
      </c>
      <c r="Z50" s="23">
        <f t="shared" si="45"/>
        <v>33.972602739726028</v>
      </c>
      <c r="AA50" s="23">
        <f t="shared" si="45"/>
        <v>33.972602739726028</v>
      </c>
      <c r="AB50" s="23">
        <f t="shared" si="45"/>
        <v>33.972602739726028</v>
      </c>
    </row>
    <row r="51" spans="1:28" ht="15.75" customHeight="1" x14ac:dyDescent="0.3">
      <c r="A51" s="12">
        <f>RAW!$A$11</f>
        <v>25200</v>
      </c>
      <c r="B51" s="2"/>
      <c r="C51" s="24" t="s">
        <v>24</v>
      </c>
      <c r="D51" s="23">
        <f t="shared" si="40"/>
        <v>69.041095890410958</v>
      </c>
      <c r="E51" s="2"/>
      <c r="F51" s="24" t="s">
        <v>24</v>
      </c>
      <c r="G51" s="23">
        <f t="shared" ref="G51:AB51" si="46">($A51/G$5)/365</f>
        <v>4.602739726027397</v>
      </c>
      <c r="H51" s="23">
        <f t="shared" si="46"/>
        <v>4.602739726027397</v>
      </c>
      <c r="I51" s="23">
        <f t="shared" si="46"/>
        <v>6.904109589041096</v>
      </c>
      <c r="J51" s="23">
        <f t="shared" si="46"/>
        <v>4.9315068493150687</v>
      </c>
      <c r="K51" s="23">
        <f t="shared" si="46"/>
        <v>1.1506849315068493</v>
      </c>
      <c r="L51" s="23">
        <f t="shared" si="46"/>
        <v>69.041095890410958</v>
      </c>
      <c r="M51" s="23">
        <f t="shared" si="46"/>
        <v>69.041095890410958</v>
      </c>
      <c r="N51" s="23">
        <f t="shared" si="46"/>
        <v>69.041095890410958</v>
      </c>
      <c r="O51" s="23">
        <f t="shared" si="46"/>
        <v>69.041095890410958</v>
      </c>
      <c r="P51" s="23">
        <f t="shared" si="46"/>
        <v>69.041095890410958</v>
      </c>
      <c r="Q51" s="23">
        <f t="shared" si="46"/>
        <v>69.041095890410958</v>
      </c>
      <c r="R51" s="23">
        <f t="shared" si="46"/>
        <v>69.041095890410958</v>
      </c>
      <c r="S51" s="23">
        <f t="shared" si="46"/>
        <v>69.041095890410958</v>
      </c>
      <c r="T51" s="23">
        <f t="shared" si="46"/>
        <v>69.041095890410958</v>
      </c>
      <c r="U51" s="23">
        <f t="shared" si="46"/>
        <v>69.041095890410958</v>
      </c>
      <c r="V51" s="23">
        <f t="shared" si="46"/>
        <v>69.041095890410958</v>
      </c>
      <c r="W51" s="23">
        <f t="shared" si="46"/>
        <v>69.041095890410958</v>
      </c>
      <c r="X51" s="23">
        <f t="shared" si="46"/>
        <v>69.041095890410958</v>
      </c>
      <c r="Y51" s="23">
        <f t="shared" si="46"/>
        <v>69.041095890410958</v>
      </c>
      <c r="Z51" s="23">
        <f t="shared" si="46"/>
        <v>69.041095890410958</v>
      </c>
      <c r="AA51" s="23">
        <f t="shared" si="46"/>
        <v>69.041095890410958</v>
      </c>
      <c r="AB51" s="23">
        <f t="shared" si="46"/>
        <v>69.041095890410958</v>
      </c>
    </row>
    <row r="52" spans="1:28" ht="15.75" customHeight="1" x14ac:dyDescent="0.3">
      <c r="A52" s="12">
        <f>RAW!$A$12</f>
        <v>50800</v>
      </c>
      <c r="B52" s="2"/>
      <c r="C52" s="24" t="s">
        <v>25</v>
      </c>
      <c r="D52" s="23">
        <f t="shared" si="40"/>
        <v>139.17808219178082</v>
      </c>
      <c r="E52" s="2"/>
      <c r="F52" s="24" t="s">
        <v>25</v>
      </c>
      <c r="G52" s="23">
        <f t="shared" ref="G52:AB52" si="47">($A52/G$5)/365</f>
        <v>9.2785388127853885</v>
      </c>
      <c r="H52" s="23">
        <f t="shared" si="47"/>
        <v>9.2785388127853885</v>
      </c>
      <c r="I52" s="23">
        <f t="shared" si="47"/>
        <v>13.917808219178083</v>
      </c>
      <c r="J52" s="23">
        <f t="shared" si="47"/>
        <v>9.9412915851272015</v>
      </c>
      <c r="K52" s="23">
        <f t="shared" si="47"/>
        <v>2.3196347031963471</v>
      </c>
      <c r="L52" s="23">
        <f t="shared" si="47"/>
        <v>139.17808219178082</v>
      </c>
      <c r="M52" s="23">
        <f t="shared" si="47"/>
        <v>139.17808219178082</v>
      </c>
      <c r="N52" s="23">
        <f t="shared" si="47"/>
        <v>139.17808219178082</v>
      </c>
      <c r="O52" s="23">
        <f t="shared" si="47"/>
        <v>139.17808219178082</v>
      </c>
      <c r="P52" s="23">
        <f t="shared" si="47"/>
        <v>139.17808219178082</v>
      </c>
      <c r="Q52" s="23">
        <f t="shared" si="47"/>
        <v>139.17808219178082</v>
      </c>
      <c r="R52" s="23">
        <f t="shared" si="47"/>
        <v>139.17808219178082</v>
      </c>
      <c r="S52" s="23">
        <f t="shared" si="47"/>
        <v>139.17808219178082</v>
      </c>
      <c r="T52" s="23">
        <f t="shared" si="47"/>
        <v>139.17808219178082</v>
      </c>
      <c r="U52" s="23">
        <f t="shared" si="47"/>
        <v>139.17808219178082</v>
      </c>
      <c r="V52" s="23">
        <f t="shared" si="47"/>
        <v>139.17808219178082</v>
      </c>
      <c r="W52" s="23">
        <f t="shared" si="47"/>
        <v>139.17808219178082</v>
      </c>
      <c r="X52" s="23">
        <f t="shared" si="47"/>
        <v>139.17808219178082</v>
      </c>
      <c r="Y52" s="23">
        <f t="shared" si="47"/>
        <v>139.17808219178082</v>
      </c>
      <c r="Z52" s="23">
        <f t="shared" si="47"/>
        <v>139.17808219178082</v>
      </c>
      <c r="AA52" s="23">
        <f t="shared" si="47"/>
        <v>139.17808219178082</v>
      </c>
      <c r="AB52" s="23">
        <f t="shared" si="47"/>
        <v>139.17808219178082</v>
      </c>
    </row>
    <row r="53" spans="1:28" ht="15.75" customHeight="1" x14ac:dyDescent="0.3">
      <c r="A53" s="12">
        <f>RAW!$A$13</f>
        <v>102000</v>
      </c>
      <c r="B53" s="2"/>
      <c r="C53" s="24" t="s">
        <v>26</v>
      </c>
      <c r="D53" s="23">
        <f t="shared" si="40"/>
        <v>279.45205479452056</v>
      </c>
      <c r="E53" s="2"/>
      <c r="F53" s="24" t="s">
        <v>26</v>
      </c>
      <c r="G53" s="23">
        <f t="shared" ref="G53:AB53" si="48">($A53/G$5)/365</f>
        <v>18.63013698630137</v>
      </c>
      <c r="H53" s="23">
        <f t="shared" si="48"/>
        <v>18.63013698630137</v>
      </c>
      <c r="I53" s="23">
        <f t="shared" si="48"/>
        <v>27.945205479452056</v>
      </c>
      <c r="J53" s="23">
        <f t="shared" si="48"/>
        <v>19.960861056751465</v>
      </c>
      <c r="K53" s="23">
        <f t="shared" si="48"/>
        <v>4.6575342465753424</v>
      </c>
      <c r="L53" s="23">
        <f t="shared" si="48"/>
        <v>279.45205479452056</v>
      </c>
      <c r="M53" s="23">
        <f t="shared" si="48"/>
        <v>279.45205479452056</v>
      </c>
      <c r="N53" s="23">
        <f t="shared" si="48"/>
        <v>279.45205479452056</v>
      </c>
      <c r="O53" s="23">
        <f t="shared" si="48"/>
        <v>279.45205479452056</v>
      </c>
      <c r="P53" s="23">
        <f t="shared" si="48"/>
        <v>279.45205479452056</v>
      </c>
      <c r="Q53" s="23">
        <f t="shared" si="48"/>
        <v>279.45205479452056</v>
      </c>
      <c r="R53" s="23">
        <f t="shared" si="48"/>
        <v>279.45205479452056</v>
      </c>
      <c r="S53" s="23">
        <f t="shared" si="48"/>
        <v>279.45205479452056</v>
      </c>
      <c r="T53" s="23">
        <f t="shared" si="48"/>
        <v>279.45205479452056</v>
      </c>
      <c r="U53" s="23">
        <f t="shared" si="48"/>
        <v>279.45205479452056</v>
      </c>
      <c r="V53" s="23">
        <f t="shared" si="48"/>
        <v>279.45205479452056</v>
      </c>
      <c r="W53" s="23">
        <f t="shared" si="48"/>
        <v>279.45205479452056</v>
      </c>
      <c r="X53" s="23">
        <f t="shared" si="48"/>
        <v>279.45205479452056</v>
      </c>
      <c r="Y53" s="23">
        <f t="shared" si="48"/>
        <v>279.45205479452056</v>
      </c>
      <c r="Z53" s="23">
        <f t="shared" si="48"/>
        <v>279.45205479452056</v>
      </c>
      <c r="AA53" s="23">
        <f t="shared" si="48"/>
        <v>279.45205479452056</v>
      </c>
      <c r="AB53" s="23">
        <f t="shared" si="48"/>
        <v>279.45205479452056</v>
      </c>
    </row>
    <row r="54" spans="1:28" ht="15.75" customHeight="1" x14ac:dyDescent="0.3">
      <c r="A54" s="12">
        <f>RAW!$A$14</f>
        <v>204400</v>
      </c>
      <c r="B54" s="2"/>
      <c r="C54" s="24" t="s">
        <v>27</v>
      </c>
      <c r="D54" s="23">
        <f t="shared" si="40"/>
        <v>560</v>
      </c>
      <c r="E54" s="2"/>
      <c r="F54" s="24" t="s">
        <v>27</v>
      </c>
      <c r="G54" s="23">
        <f t="shared" ref="G54:AB54" si="49">($A54/G$5)/365</f>
        <v>37.333333333333329</v>
      </c>
      <c r="H54" s="23">
        <f t="shared" si="49"/>
        <v>37.333333333333329</v>
      </c>
      <c r="I54" s="23">
        <f t="shared" si="49"/>
        <v>56</v>
      </c>
      <c r="J54" s="23">
        <f t="shared" si="49"/>
        <v>40</v>
      </c>
      <c r="K54" s="23">
        <f t="shared" si="49"/>
        <v>9.3333333333333321</v>
      </c>
      <c r="L54" s="23">
        <f t="shared" si="49"/>
        <v>560</v>
      </c>
      <c r="M54" s="23">
        <f t="shared" si="49"/>
        <v>560</v>
      </c>
      <c r="N54" s="23">
        <f t="shared" si="49"/>
        <v>560</v>
      </c>
      <c r="O54" s="23">
        <f t="shared" si="49"/>
        <v>560</v>
      </c>
      <c r="P54" s="23">
        <f t="shared" si="49"/>
        <v>560</v>
      </c>
      <c r="Q54" s="23">
        <f t="shared" si="49"/>
        <v>560</v>
      </c>
      <c r="R54" s="23">
        <f t="shared" si="49"/>
        <v>560</v>
      </c>
      <c r="S54" s="23">
        <f t="shared" si="49"/>
        <v>560</v>
      </c>
      <c r="T54" s="23">
        <f t="shared" si="49"/>
        <v>560</v>
      </c>
      <c r="U54" s="23">
        <f t="shared" si="49"/>
        <v>560</v>
      </c>
      <c r="V54" s="23">
        <f t="shared" si="49"/>
        <v>560</v>
      </c>
      <c r="W54" s="23">
        <f t="shared" si="49"/>
        <v>560</v>
      </c>
      <c r="X54" s="23">
        <f t="shared" si="49"/>
        <v>560</v>
      </c>
      <c r="Y54" s="23">
        <f t="shared" si="49"/>
        <v>560</v>
      </c>
      <c r="Z54" s="23">
        <f t="shared" si="49"/>
        <v>560</v>
      </c>
      <c r="AA54" s="23">
        <f t="shared" si="49"/>
        <v>560</v>
      </c>
      <c r="AB54" s="23">
        <f t="shared" si="49"/>
        <v>560</v>
      </c>
    </row>
    <row r="55" spans="1:28" ht="15.75" customHeight="1" x14ac:dyDescent="0.3">
      <c r="A55" s="12">
        <f>RAW!$A$15</f>
        <v>409200</v>
      </c>
      <c r="B55" s="2"/>
      <c r="C55" s="24" t="s">
        <v>28</v>
      </c>
      <c r="D55" s="23">
        <f t="shared" si="40"/>
        <v>1121.0958904109589</v>
      </c>
      <c r="E55" s="2"/>
      <c r="F55" s="24" t="s">
        <v>28</v>
      </c>
      <c r="G55" s="23">
        <f t="shared" ref="G55:AB55" si="50">($A55/G$5)/365</f>
        <v>74.739726027397253</v>
      </c>
      <c r="H55" s="23">
        <f t="shared" si="50"/>
        <v>74.739726027397253</v>
      </c>
      <c r="I55" s="23">
        <f t="shared" si="50"/>
        <v>112.10958904109589</v>
      </c>
      <c r="J55" s="23">
        <f t="shared" si="50"/>
        <v>80.078277886497062</v>
      </c>
      <c r="K55" s="23">
        <f t="shared" si="50"/>
        <v>18.684931506849313</v>
      </c>
      <c r="L55" s="23">
        <f t="shared" si="50"/>
        <v>1121.0958904109589</v>
      </c>
      <c r="M55" s="23">
        <f t="shared" si="50"/>
        <v>1121.0958904109589</v>
      </c>
      <c r="N55" s="23">
        <f t="shared" si="50"/>
        <v>1121.0958904109589</v>
      </c>
      <c r="O55" s="23">
        <f t="shared" si="50"/>
        <v>1121.0958904109589</v>
      </c>
      <c r="P55" s="23">
        <f t="shared" si="50"/>
        <v>1121.0958904109589</v>
      </c>
      <c r="Q55" s="23">
        <f t="shared" si="50"/>
        <v>1121.0958904109589</v>
      </c>
      <c r="R55" s="23">
        <f t="shared" si="50"/>
        <v>1121.0958904109589</v>
      </c>
      <c r="S55" s="23">
        <f t="shared" si="50"/>
        <v>1121.0958904109589</v>
      </c>
      <c r="T55" s="23">
        <f t="shared" si="50"/>
        <v>1121.0958904109589</v>
      </c>
      <c r="U55" s="23">
        <f t="shared" si="50"/>
        <v>1121.0958904109589</v>
      </c>
      <c r="V55" s="23">
        <f t="shared" si="50"/>
        <v>1121.0958904109589</v>
      </c>
      <c r="W55" s="23">
        <f t="shared" si="50"/>
        <v>1121.0958904109589</v>
      </c>
      <c r="X55" s="23">
        <f t="shared" si="50"/>
        <v>1121.0958904109589</v>
      </c>
      <c r="Y55" s="23">
        <f t="shared" si="50"/>
        <v>1121.0958904109589</v>
      </c>
      <c r="Z55" s="23">
        <f t="shared" si="50"/>
        <v>1121.0958904109589</v>
      </c>
      <c r="AA55" s="23">
        <f t="shared" si="50"/>
        <v>1121.0958904109589</v>
      </c>
      <c r="AB55" s="23">
        <f t="shared" si="50"/>
        <v>1121.0958904109589</v>
      </c>
    </row>
    <row r="56" spans="1:28" ht="15.75" customHeight="1" x14ac:dyDescent="0.3">
      <c r="A56" s="12">
        <f>RAW!$A$16</f>
        <v>818800</v>
      </c>
      <c r="B56" s="2"/>
      <c r="C56" s="24" t="s">
        <v>29</v>
      </c>
      <c r="D56" s="23">
        <f t="shared" si="40"/>
        <v>2243.2876712328766</v>
      </c>
      <c r="E56" s="2"/>
      <c r="F56" s="24" t="s">
        <v>29</v>
      </c>
      <c r="G56" s="23">
        <f t="shared" ref="G56:AB56" si="51">($A56/G$5)/365</f>
        <v>149.55251141552512</v>
      </c>
      <c r="H56" s="23">
        <f t="shared" si="51"/>
        <v>149.55251141552512</v>
      </c>
      <c r="I56" s="23">
        <f t="shared" si="51"/>
        <v>224.32876712328766</v>
      </c>
      <c r="J56" s="23">
        <f t="shared" si="51"/>
        <v>160.23483365949119</v>
      </c>
      <c r="K56" s="23">
        <f t="shared" si="51"/>
        <v>37.388127853881279</v>
      </c>
      <c r="L56" s="23">
        <f t="shared" si="51"/>
        <v>2243.2876712328766</v>
      </c>
      <c r="M56" s="23">
        <f t="shared" si="51"/>
        <v>2243.2876712328766</v>
      </c>
      <c r="N56" s="23">
        <f t="shared" si="51"/>
        <v>2243.2876712328766</v>
      </c>
      <c r="O56" s="23">
        <f t="shared" si="51"/>
        <v>2243.2876712328766</v>
      </c>
      <c r="P56" s="23">
        <f t="shared" si="51"/>
        <v>2243.2876712328766</v>
      </c>
      <c r="Q56" s="23">
        <f t="shared" si="51"/>
        <v>2243.2876712328766</v>
      </c>
      <c r="R56" s="23">
        <f t="shared" si="51"/>
        <v>2243.2876712328766</v>
      </c>
      <c r="S56" s="23">
        <f t="shared" si="51"/>
        <v>2243.2876712328766</v>
      </c>
      <c r="T56" s="23">
        <f t="shared" si="51"/>
        <v>2243.2876712328766</v>
      </c>
      <c r="U56" s="23">
        <f t="shared" si="51"/>
        <v>2243.2876712328766</v>
      </c>
      <c r="V56" s="23">
        <f t="shared" si="51"/>
        <v>2243.2876712328766</v>
      </c>
      <c r="W56" s="23">
        <f t="shared" si="51"/>
        <v>2243.2876712328766</v>
      </c>
      <c r="X56" s="23">
        <f t="shared" si="51"/>
        <v>2243.2876712328766</v>
      </c>
      <c r="Y56" s="23">
        <f t="shared" si="51"/>
        <v>2243.2876712328766</v>
      </c>
      <c r="Z56" s="23">
        <f t="shared" si="51"/>
        <v>2243.2876712328766</v>
      </c>
      <c r="AA56" s="23">
        <f t="shared" si="51"/>
        <v>2243.2876712328766</v>
      </c>
      <c r="AB56" s="23">
        <f t="shared" si="51"/>
        <v>2243.2876712328766</v>
      </c>
    </row>
    <row r="57" spans="1:28" ht="15.75" customHeight="1" x14ac:dyDescent="0.3">
      <c r="A57" s="12">
        <f>RAW!$A$17</f>
        <v>1638000</v>
      </c>
      <c r="B57" s="2"/>
      <c r="C57" s="24" t="s">
        <v>30</v>
      </c>
      <c r="D57" s="23">
        <f t="shared" si="40"/>
        <v>4487.6712328767126</v>
      </c>
      <c r="E57" s="2"/>
      <c r="F57" s="24" t="s">
        <v>30</v>
      </c>
      <c r="G57" s="23">
        <f t="shared" ref="G57:AB57" si="52">($A57/G$5)/365</f>
        <v>299.17808219178085</v>
      </c>
      <c r="H57" s="23">
        <f t="shared" si="52"/>
        <v>299.17808219178085</v>
      </c>
      <c r="I57" s="23">
        <f t="shared" si="52"/>
        <v>448.76712328767121</v>
      </c>
      <c r="J57" s="23">
        <f t="shared" si="52"/>
        <v>320.54794520547944</v>
      </c>
      <c r="K57" s="23">
        <f t="shared" si="52"/>
        <v>74.794520547945211</v>
      </c>
      <c r="L57" s="23">
        <f t="shared" si="52"/>
        <v>4487.6712328767126</v>
      </c>
      <c r="M57" s="23">
        <f t="shared" si="52"/>
        <v>4487.6712328767126</v>
      </c>
      <c r="N57" s="23">
        <f t="shared" si="52"/>
        <v>4487.6712328767126</v>
      </c>
      <c r="O57" s="23">
        <f t="shared" si="52"/>
        <v>4487.6712328767126</v>
      </c>
      <c r="P57" s="23">
        <f t="shared" si="52"/>
        <v>4487.6712328767126</v>
      </c>
      <c r="Q57" s="23">
        <f t="shared" si="52"/>
        <v>4487.6712328767126</v>
      </c>
      <c r="R57" s="23">
        <f t="shared" si="52"/>
        <v>4487.6712328767126</v>
      </c>
      <c r="S57" s="23">
        <f t="shared" si="52"/>
        <v>4487.6712328767126</v>
      </c>
      <c r="T57" s="23">
        <f t="shared" si="52"/>
        <v>4487.6712328767126</v>
      </c>
      <c r="U57" s="23">
        <f t="shared" si="52"/>
        <v>4487.6712328767126</v>
      </c>
      <c r="V57" s="23">
        <f t="shared" si="52"/>
        <v>4487.6712328767126</v>
      </c>
      <c r="W57" s="23">
        <f t="shared" si="52"/>
        <v>4487.6712328767126</v>
      </c>
      <c r="X57" s="23">
        <f t="shared" si="52"/>
        <v>4487.6712328767126</v>
      </c>
      <c r="Y57" s="23">
        <f t="shared" si="52"/>
        <v>4487.6712328767126</v>
      </c>
      <c r="Z57" s="23">
        <f t="shared" si="52"/>
        <v>4487.6712328767126</v>
      </c>
      <c r="AA57" s="23">
        <f t="shared" si="52"/>
        <v>4487.6712328767126</v>
      </c>
      <c r="AB57" s="23">
        <f t="shared" si="52"/>
        <v>4487.6712328767126</v>
      </c>
    </row>
    <row r="58" spans="1:28" ht="15.75" customHeight="1" x14ac:dyDescent="0.3">
      <c r="A58" s="12">
        <f>RAW!$A$18</f>
        <v>3276400</v>
      </c>
      <c r="B58" s="2"/>
      <c r="C58" s="24" t="s">
        <v>31</v>
      </c>
      <c r="D58" s="23">
        <f t="shared" si="40"/>
        <v>8976.4383561643845</v>
      </c>
      <c r="E58" s="2"/>
      <c r="F58" s="24" t="s">
        <v>31</v>
      </c>
      <c r="G58" s="23">
        <f t="shared" ref="G58:AB58" si="53">($A58/G$5)/365</f>
        <v>598.42922374429224</v>
      </c>
      <c r="H58" s="23">
        <f t="shared" si="53"/>
        <v>598.42922374429224</v>
      </c>
      <c r="I58" s="23">
        <f t="shared" si="53"/>
        <v>897.64383561643831</v>
      </c>
      <c r="J58" s="23">
        <f t="shared" si="53"/>
        <v>641.17416829745594</v>
      </c>
      <c r="K58" s="23">
        <f t="shared" si="53"/>
        <v>149.60730593607306</v>
      </c>
      <c r="L58" s="23">
        <f t="shared" si="53"/>
        <v>8976.4383561643845</v>
      </c>
      <c r="M58" s="23">
        <f t="shared" si="53"/>
        <v>8976.4383561643845</v>
      </c>
      <c r="N58" s="23">
        <f t="shared" si="53"/>
        <v>8976.4383561643845</v>
      </c>
      <c r="O58" s="23">
        <f t="shared" si="53"/>
        <v>8976.4383561643845</v>
      </c>
      <c r="P58" s="23">
        <f t="shared" si="53"/>
        <v>8976.4383561643845</v>
      </c>
      <c r="Q58" s="23">
        <f t="shared" si="53"/>
        <v>8976.4383561643845</v>
      </c>
      <c r="R58" s="23">
        <f t="shared" si="53"/>
        <v>8976.4383561643845</v>
      </c>
      <c r="S58" s="23">
        <f t="shared" si="53"/>
        <v>8976.4383561643845</v>
      </c>
      <c r="T58" s="23">
        <f t="shared" si="53"/>
        <v>8976.4383561643845</v>
      </c>
      <c r="U58" s="23">
        <f t="shared" si="53"/>
        <v>8976.4383561643845</v>
      </c>
      <c r="V58" s="23">
        <f t="shared" si="53"/>
        <v>8976.4383561643845</v>
      </c>
      <c r="W58" s="23">
        <f t="shared" si="53"/>
        <v>8976.4383561643845</v>
      </c>
      <c r="X58" s="23">
        <f t="shared" si="53"/>
        <v>8976.4383561643845</v>
      </c>
      <c r="Y58" s="23">
        <f t="shared" si="53"/>
        <v>8976.4383561643845</v>
      </c>
      <c r="Z58" s="23">
        <f t="shared" si="53"/>
        <v>8976.4383561643845</v>
      </c>
      <c r="AA58" s="23">
        <f t="shared" si="53"/>
        <v>8976.4383561643845</v>
      </c>
      <c r="AB58" s="23">
        <f t="shared" si="53"/>
        <v>8976.4383561643845</v>
      </c>
    </row>
    <row r="59" spans="1:28" ht="15.75" customHeight="1" x14ac:dyDescent="0.3">
      <c r="A59" s="12">
        <f>RAW!$A$19</f>
        <v>6553200</v>
      </c>
      <c r="B59" s="2"/>
      <c r="C59" s="24" t="s">
        <v>32</v>
      </c>
      <c r="D59" s="23">
        <f t="shared" si="40"/>
        <v>17953.972602739726</v>
      </c>
      <c r="E59" s="2"/>
      <c r="F59" s="24" t="s">
        <v>32</v>
      </c>
      <c r="G59" s="23">
        <f t="shared" ref="G59:AB59" si="54">($A59/G$5)/365</f>
        <v>1196.9315068493152</v>
      </c>
      <c r="H59" s="23">
        <f t="shared" si="54"/>
        <v>1196.9315068493152</v>
      </c>
      <c r="I59" s="23">
        <f t="shared" si="54"/>
        <v>1795.3972602739725</v>
      </c>
      <c r="J59" s="23">
        <f t="shared" si="54"/>
        <v>1282.4266144814089</v>
      </c>
      <c r="K59" s="23">
        <f t="shared" si="54"/>
        <v>299.23287671232879</v>
      </c>
      <c r="L59" s="23">
        <f t="shared" si="54"/>
        <v>17953.972602739726</v>
      </c>
      <c r="M59" s="23">
        <f t="shared" si="54"/>
        <v>17953.972602739726</v>
      </c>
      <c r="N59" s="23">
        <f t="shared" si="54"/>
        <v>17953.972602739726</v>
      </c>
      <c r="O59" s="23">
        <f t="shared" si="54"/>
        <v>17953.972602739726</v>
      </c>
      <c r="P59" s="23">
        <f t="shared" si="54"/>
        <v>17953.972602739726</v>
      </c>
      <c r="Q59" s="23">
        <f t="shared" si="54"/>
        <v>17953.972602739726</v>
      </c>
      <c r="R59" s="23">
        <f t="shared" si="54"/>
        <v>17953.972602739726</v>
      </c>
      <c r="S59" s="23">
        <f t="shared" si="54"/>
        <v>17953.972602739726</v>
      </c>
      <c r="T59" s="23">
        <f t="shared" si="54"/>
        <v>17953.972602739726</v>
      </c>
      <c r="U59" s="23">
        <f t="shared" si="54"/>
        <v>17953.972602739726</v>
      </c>
      <c r="V59" s="23">
        <f t="shared" si="54"/>
        <v>17953.972602739726</v>
      </c>
      <c r="W59" s="23">
        <f t="shared" si="54"/>
        <v>17953.972602739726</v>
      </c>
      <c r="X59" s="23">
        <f t="shared" si="54"/>
        <v>17953.972602739726</v>
      </c>
      <c r="Y59" s="23">
        <f t="shared" si="54"/>
        <v>17953.972602739726</v>
      </c>
      <c r="Z59" s="23">
        <f t="shared" si="54"/>
        <v>17953.972602739726</v>
      </c>
      <c r="AA59" s="23">
        <f t="shared" si="54"/>
        <v>17953.972602739726</v>
      </c>
      <c r="AB59" s="23">
        <f t="shared" si="54"/>
        <v>17953.972602739726</v>
      </c>
    </row>
    <row r="60" spans="1:28" ht="15.75" customHeight="1" x14ac:dyDescent="0.3">
      <c r="A60" s="12">
        <f>RAW!$A$20</f>
        <v>13106800</v>
      </c>
      <c r="B60" s="2"/>
      <c r="C60" s="24" t="s">
        <v>33</v>
      </c>
      <c r="D60" s="23">
        <f t="shared" si="40"/>
        <v>35909.04109589041</v>
      </c>
      <c r="E60" s="2"/>
      <c r="F60" s="24" t="s">
        <v>33</v>
      </c>
      <c r="G60" s="23">
        <f t="shared" ref="G60:AB60" si="55">($A60/G$5)/365</f>
        <v>2393.9360730593608</v>
      </c>
      <c r="H60" s="23">
        <f t="shared" si="55"/>
        <v>2393.9360730593608</v>
      </c>
      <c r="I60" s="23">
        <f t="shared" si="55"/>
        <v>3590.9041095890411</v>
      </c>
      <c r="J60" s="23">
        <f t="shared" si="55"/>
        <v>2564.9315068493152</v>
      </c>
      <c r="K60" s="23">
        <f t="shared" si="55"/>
        <v>598.48401826484019</v>
      </c>
      <c r="L60" s="23">
        <f t="shared" si="55"/>
        <v>35909.04109589041</v>
      </c>
      <c r="M60" s="23">
        <f t="shared" si="55"/>
        <v>35909.04109589041</v>
      </c>
      <c r="N60" s="23">
        <f t="shared" si="55"/>
        <v>35909.04109589041</v>
      </c>
      <c r="O60" s="23">
        <f t="shared" si="55"/>
        <v>35909.04109589041</v>
      </c>
      <c r="P60" s="23">
        <f t="shared" si="55"/>
        <v>35909.04109589041</v>
      </c>
      <c r="Q60" s="23">
        <f t="shared" si="55"/>
        <v>35909.04109589041</v>
      </c>
      <c r="R60" s="23">
        <f t="shared" si="55"/>
        <v>35909.04109589041</v>
      </c>
      <c r="S60" s="23">
        <f t="shared" si="55"/>
        <v>35909.04109589041</v>
      </c>
      <c r="T60" s="23">
        <f t="shared" si="55"/>
        <v>35909.04109589041</v>
      </c>
      <c r="U60" s="23">
        <f t="shared" si="55"/>
        <v>35909.04109589041</v>
      </c>
      <c r="V60" s="23">
        <f t="shared" si="55"/>
        <v>35909.04109589041</v>
      </c>
      <c r="W60" s="23">
        <f t="shared" si="55"/>
        <v>35909.04109589041</v>
      </c>
      <c r="X60" s="23">
        <f t="shared" si="55"/>
        <v>35909.04109589041</v>
      </c>
      <c r="Y60" s="23">
        <f t="shared" si="55"/>
        <v>35909.04109589041</v>
      </c>
      <c r="Z60" s="23">
        <f t="shared" si="55"/>
        <v>35909.04109589041</v>
      </c>
      <c r="AA60" s="23">
        <f t="shared" si="55"/>
        <v>35909.04109589041</v>
      </c>
      <c r="AB60" s="23">
        <f t="shared" si="55"/>
        <v>35909.04109589041</v>
      </c>
    </row>
    <row r="61" spans="1:28" ht="15.75" customHeight="1" x14ac:dyDescent="0.3">
      <c r="A61" s="12">
        <f>RAW!$A$21</f>
        <v>26214000</v>
      </c>
      <c r="B61" s="2"/>
      <c r="C61" s="24" t="s">
        <v>34</v>
      </c>
      <c r="D61" s="23">
        <f t="shared" si="40"/>
        <v>71819.178082191778</v>
      </c>
      <c r="E61" s="2"/>
      <c r="F61" s="24" t="s">
        <v>34</v>
      </c>
      <c r="G61" s="23">
        <f t="shared" ref="G61:AB61" si="56">($A61/G$5)/365</f>
        <v>4787.9452054794519</v>
      </c>
      <c r="H61" s="23">
        <f t="shared" si="56"/>
        <v>4787.9452054794519</v>
      </c>
      <c r="I61" s="23">
        <f t="shared" si="56"/>
        <v>7181.9178082191784</v>
      </c>
      <c r="J61" s="23">
        <f t="shared" si="56"/>
        <v>5129.9412915851271</v>
      </c>
      <c r="K61" s="23">
        <f t="shared" si="56"/>
        <v>1196.986301369863</v>
      </c>
      <c r="L61" s="23">
        <f t="shared" si="56"/>
        <v>71819.178082191778</v>
      </c>
      <c r="M61" s="23">
        <f t="shared" si="56"/>
        <v>71819.178082191778</v>
      </c>
      <c r="N61" s="23">
        <f t="shared" si="56"/>
        <v>71819.178082191778</v>
      </c>
      <c r="O61" s="23">
        <f t="shared" si="56"/>
        <v>71819.178082191778</v>
      </c>
      <c r="P61" s="23">
        <f t="shared" si="56"/>
        <v>71819.178082191778</v>
      </c>
      <c r="Q61" s="23">
        <f t="shared" si="56"/>
        <v>71819.178082191778</v>
      </c>
      <c r="R61" s="23">
        <f t="shared" si="56"/>
        <v>71819.178082191778</v>
      </c>
      <c r="S61" s="23">
        <f t="shared" si="56"/>
        <v>71819.178082191778</v>
      </c>
      <c r="T61" s="23">
        <f t="shared" si="56"/>
        <v>71819.178082191778</v>
      </c>
      <c r="U61" s="23">
        <f t="shared" si="56"/>
        <v>71819.178082191778</v>
      </c>
      <c r="V61" s="23">
        <f t="shared" si="56"/>
        <v>71819.178082191778</v>
      </c>
      <c r="W61" s="23">
        <f t="shared" si="56"/>
        <v>71819.178082191778</v>
      </c>
      <c r="X61" s="23">
        <f t="shared" si="56"/>
        <v>71819.178082191778</v>
      </c>
      <c r="Y61" s="23">
        <f t="shared" si="56"/>
        <v>71819.178082191778</v>
      </c>
      <c r="Z61" s="23">
        <f t="shared" si="56"/>
        <v>71819.178082191778</v>
      </c>
      <c r="AA61" s="23">
        <f t="shared" si="56"/>
        <v>71819.178082191778</v>
      </c>
      <c r="AB61" s="23">
        <f t="shared" si="56"/>
        <v>71819.178082191778</v>
      </c>
    </row>
    <row r="62" spans="1:28" ht="15.75" customHeight="1" x14ac:dyDescent="0.3">
      <c r="A62" s="12">
        <f>RAW!$A$22</f>
        <v>52428400</v>
      </c>
      <c r="B62" s="2"/>
      <c r="C62" s="24" t="s">
        <v>35</v>
      </c>
      <c r="D62" s="23">
        <f t="shared" si="40"/>
        <v>143639.45205479453</v>
      </c>
      <c r="E62" s="2"/>
      <c r="F62" s="24" t="s">
        <v>35</v>
      </c>
      <c r="G62" s="23">
        <f t="shared" ref="G62:AB62" si="57">($A62/G$5)/365</f>
        <v>9575.9634703196334</v>
      </c>
      <c r="H62" s="23">
        <f t="shared" si="57"/>
        <v>9575.9634703196334</v>
      </c>
      <c r="I62" s="23">
        <f t="shared" si="57"/>
        <v>14363.945205479453</v>
      </c>
      <c r="J62" s="23">
        <f t="shared" si="57"/>
        <v>10259.96086105675</v>
      </c>
      <c r="K62" s="23">
        <f t="shared" si="57"/>
        <v>2393.9908675799084</v>
      </c>
      <c r="L62" s="23">
        <f t="shared" si="57"/>
        <v>143639.45205479453</v>
      </c>
      <c r="M62" s="23">
        <f t="shared" si="57"/>
        <v>143639.45205479453</v>
      </c>
      <c r="N62" s="23">
        <f t="shared" si="57"/>
        <v>143639.45205479453</v>
      </c>
      <c r="O62" s="23">
        <f t="shared" si="57"/>
        <v>143639.45205479453</v>
      </c>
      <c r="P62" s="23">
        <f t="shared" si="57"/>
        <v>143639.45205479453</v>
      </c>
      <c r="Q62" s="23">
        <f t="shared" si="57"/>
        <v>143639.45205479453</v>
      </c>
      <c r="R62" s="23">
        <f t="shared" si="57"/>
        <v>143639.45205479453</v>
      </c>
      <c r="S62" s="23">
        <f t="shared" si="57"/>
        <v>143639.45205479453</v>
      </c>
      <c r="T62" s="23">
        <f t="shared" si="57"/>
        <v>143639.45205479453</v>
      </c>
      <c r="U62" s="23">
        <f t="shared" si="57"/>
        <v>143639.45205479453</v>
      </c>
      <c r="V62" s="23">
        <f t="shared" si="57"/>
        <v>143639.45205479453</v>
      </c>
      <c r="W62" s="23">
        <f t="shared" si="57"/>
        <v>143639.45205479453</v>
      </c>
      <c r="X62" s="23">
        <f t="shared" si="57"/>
        <v>143639.45205479453</v>
      </c>
      <c r="Y62" s="23">
        <f t="shared" si="57"/>
        <v>143639.45205479453</v>
      </c>
      <c r="Z62" s="23">
        <f t="shared" si="57"/>
        <v>143639.45205479453</v>
      </c>
      <c r="AA62" s="23">
        <f t="shared" si="57"/>
        <v>143639.45205479453</v>
      </c>
      <c r="AB62" s="23">
        <f t="shared" si="57"/>
        <v>143639.45205479453</v>
      </c>
    </row>
    <row r="63" spans="1:28" ht="15.75" customHeight="1" x14ac:dyDescent="0.3">
      <c r="B63" s="2"/>
      <c r="E63" s="2"/>
    </row>
    <row r="64" spans="1:28" ht="15.75" customHeight="1" x14ac:dyDescent="0.3">
      <c r="B64" s="2"/>
      <c r="E64" s="2"/>
    </row>
    <row r="65" spans="2:5" ht="15.75" customHeight="1" x14ac:dyDescent="0.3">
      <c r="B65" s="2"/>
      <c r="E65" s="2"/>
    </row>
    <row r="66" spans="2:5" ht="15.75" customHeight="1" x14ac:dyDescent="0.3">
      <c r="B66" s="2"/>
      <c r="E66" s="2"/>
    </row>
    <row r="67" spans="2:5" ht="15.75" customHeight="1" x14ac:dyDescent="0.3">
      <c r="B67" s="2"/>
      <c r="E67" s="2"/>
    </row>
    <row r="68" spans="2:5" ht="15.75" customHeight="1" x14ac:dyDescent="0.3">
      <c r="B68" s="2"/>
      <c r="E68" s="2"/>
    </row>
    <row r="69" spans="2:5" ht="15.75" customHeight="1" x14ac:dyDescent="0.3">
      <c r="B69" s="2"/>
      <c r="E69" s="2"/>
    </row>
    <row r="70" spans="2:5" ht="15.75" customHeight="1" x14ac:dyDescent="0.3">
      <c r="B70" s="2"/>
      <c r="E70" s="2"/>
    </row>
    <row r="71" spans="2:5" ht="15.75" customHeight="1" x14ac:dyDescent="0.3">
      <c r="B71" s="2"/>
      <c r="E71" s="2"/>
    </row>
    <row r="72" spans="2:5" ht="15.75" customHeight="1" x14ac:dyDescent="0.3">
      <c r="B72" s="2"/>
      <c r="E72" s="2"/>
    </row>
    <row r="73" spans="2:5" ht="15.75" customHeight="1" x14ac:dyDescent="0.3">
      <c r="B73" s="2"/>
      <c r="E73" s="2"/>
    </row>
    <row r="74" spans="2:5" ht="15.75" customHeight="1" x14ac:dyDescent="0.3">
      <c r="B74" s="2"/>
      <c r="E74" s="2"/>
    </row>
    <row r="75" spans="2:5" ht="15.75" customHeight="1" x14ac:dyDescent="0.3">
      <c r="B75" s="2"/>
      <c r="E75" s="2"/>
    </row>
    <row r="76" spans="2:5" ht="15.75" customHeight="1" x14ac:dyDescent="0.3">
      <c r="B76" s="2"/>
      <c r="E76" s="2"/>
    </row>
    <row r="77" spans="2:5" ht="15.75" customHeight="1" x14ac:dyDescent="0.3">
      <c r="B77" s="2"/>
      <c r="E77" s="2"/>
    </row>
    <row r="78" spans="2:5" ht="15.75" customHeight="1" x14ac:dyDescent="0.3">
      <c r="B78" s="2"/>
      <c r="E78" s="2"/>
    </row>
    <row r="79" spans="2:5" ht="15.75" customHeight="1" x14ac:dyDescent="0.3">
      <c r="B79" s="2"/>
      <c r="E79" s="2"/>
    </row>
    <row r="80" spans="2:5" ht="15.75" customHeight="1" x14ac:dyDescent="0.3">
      <c r="B80" s="2"/>
      <c r="E80" s="2"/>
    </row>
    <row r="81" spans="2:5" ht="15.75" customHeight="1" x14ac:dyDescent="0.3">
      <c r="B81" s="2"/>
      <c r="E81" s="2"/>
    </row>
    <row r="82" spans="2:5" ht="15.75" customHeight="1" x14ac:dyDescent="0.3">
      <c r="B82" s="2"/>
      <c r="E82" s="2"/>
    </row>
    <row r="83" spans="2:5" ht="15.75" customHeight="1" x14ac:dyDescent="0.3">
      <c r="B83" s="2"/>
      <c r="E83" s="2"/>
    </row>
    <row r="84" spans="2:5" ht="15.75" customHeight="1" x14ac:dyDescent="0.3">
      <c r="B84" s="2"/>
      <c r="E84" s="2"/>
    </row>
    <row r="85" spans="2:5" ht="15.75" customHeight="1" x14ac:dyDescent="0.3">
      <c r="B85" s="2"/>
      <c r="E85" s="2"/>
    </row>
    <row r="86" spans="2:5" ht="15.75" customHeight="1" x14ac:dyDescent="0.3">
      <c r="B86" s="2"/>
      <c r="E86" s="2"/>
    </row>
    <row r="87" spans="2:5" ht="15.75" customHeight="1" x14ac:dyDescent="0.3">
      <c r="B87" s="2"/>
      <c r="E87" s="2"/>
    </row>
    <row r="88" spans="2:5" ht="15.75" customHeight="1" x14ac:dyDescent="0.3">
      <c r="B88" s="2"/>
      <c r="E88" s="2"/>
    </row>
    <row r="89" spans="2:5" ht="15.75" customHeight="1" x14ac:dyDescent="0.3">
      <c r="B89" s="2"/>
      <c r="E89" s="2"/>
    </row>
    <row r="90" spans="2:5" ht="15.75" customHeight="1" x14ac:dyDescent="0.3">
      <c r="B90" s="2"/>
      <c r="E90" s="2"/>
    </row>
    <row r="91" spans="2:5" ht="15.75" customHeight="1" x14ac:dyDescent="0.3">
      <c r="B91" s="2"/>
      <c r="E91" s="2"/>
    </row>
    <row r="92" spans="2:5" ht="15.75" customHeight="1" x14ac:dyDescent="0.3">
      <c r="B92" s="2"/>
      <c r="E92" s="2"/>
    </row>
    <row r="93" spans="2:5" ht="15.75" customHeight="1" x14ac:dyDescent="0.3">
      <c r="B93" s="2"/>
      <c r="E93" s="2"/>
    </row>
    <row r="94" spans="2:5" ht="15.75" customHeight="1" x14ac:dyDescent="0.3">
      <c r="B94" s="2"/>
      <c r="E94" s="2"/>
    </row>
    <row r="95" spans="2:5" ht="15.75" customHeight="1" x14ac:dyDescent="0.3">
      <c r="B95" s="2"/>
      <c r="E95" s="2"/>
    </row>
    <row r="96" spans="2:5" ht="15.75" customHeight="1" x14ac:dyDescent="0.3">
      <c r="B96" s="2"/>
      <c r="E96" s="2"/>
    </row>
    <row r="97" spans="2:5" ht="15.75" customHeight="1" x14ac:dyDescent="0.3">
      <c r="B97" s="2"/>
      <c r="E97" s="2"/>
    </row>
    <row r="98" spans="2:5" ht="15.75" customHeight="1" x14ac:dyDescent="0.3">
      <c r="B98" s="2"/>
      <c r="E98" s="2"/>
    </row>
    <row r="99" spans="2:5" ht="15.75" customHeight="1" x14ac:dyDescent="0.3">
      <c r="B99" s="2"/>
      <c r="E99" s="2"/>
    </row>
    <row r="100" spans="2:5" ht="15.75" customHeight="1" x14ac:dyDescent="0.3">
      <c r="B100" s="2"/>
      <c r="E100" s="2"/>
    </row>
    <row r="101" spans="2:5" ht="15.75" customHeight="1" x14ac:dyDescent="0.3">
      <c r="B101" s="2"/>
      <c r="E101" s="2"/>
    </row>
    <row r="102" spans="2:5" ht="15.75" customHeight="1" x14ac:dyDescent="0.3">
      <c r="B102" s="2"/>
      <c r="E102" s="2"/>
    </row>
    <row r="103" spans="2:5" ht="15.75" customHeight="1" x14ac:dyDescent="0.3">
      <c r="B103" s="2"/>
      <c r="E103" s="2"/>
    </row>
    <row r="104" spans="2:5" ht="15.75" customHeight="1" x14ac:dyDescent="0.3">
      <c r="B104" s="2"/>
      <c r="E104" s="2"/>
    </row>
    <row r="105" spans="2:5" ht="15.75" customHeight="1" x14ac:dyDescent="0.3">
      <c r="B105" s="2"/>
      <c r="E105" s="2"/>
    </row>
    <row r="106" spans="2:5" ht="15.75" customHeight="1" x14ac:dyDescent="0.3">
      <c r="B106" s="2"/>
      <c r="E106" s="2"/>
    </row>
    <row r="107" spans="2:5" ht="15.75" customHeight="1" x14ac:dyDescent="0.3">
      <c r="B107" s="2"/>
      <c r="E107" s="2"/>
    </row>
    <row r="108" spans="2:5" ht="15.75" customHeight="1" x14ac:dyDescent="0.3">
      <c r="B108" s="2"/>
      <c r="E108" s="2"/>
    </row>
    <row r="109" spans="2:5" ht="15.75" customHeight="1" x14ac:dyDescent="0.3">
      <c r="B109" s="2"/>
      <c r="E109" s="2"/>
    </row>
    <row r="110" spans="2:5" ht="15.75" customHeight="1" x14ac:dyDescent="0.3">
      <c r="B110" s="2"/>
      <c r="E110" s="2"/>
    </row>
    <row r="111" spans="2:5" ht="15.75" customHeight="1" x14ac:dyDescent="0.3">
      <c r="B111" s="2"/>
      <c r="E111" s="2"/>
    </row>
    <row r="112" spans="2:5" ht="15.75" customHeight="1" x14ac:dyDescent="0.3">
      <c r="B112" s="2"/>
      <c r="E112" s="2"/>
    </row>
    <row r="113" spans="2:5" ht="15.75" customHeight="1" x14ac:dyDescent="0.3">
      <c r="B113" s="2"/>
      <c r="E113" s="2"/>
    </row>
    <row r="114" spans="2:5" ht="15.75" customHeight="1" x14ac:dyDescent="0.3">
      <c r="B114" s="2"/>
      <c r="E114" s="2"/>
    </row>
    <row r="115" spans="2:5" ht="15.75" customHeight="1" x14ac:dyDescent="0.3">
      <c r="B115" s="2"/>
      <c r="E115" s="2"/>
    </row>
    <row r="116" spans="2:5" ht="15.75" customHeight="1" x14ac:dyDescent="0.3">
      <c r="B116" s="2"/>
      <c r="E116" s="2"/>
    </row>
    <row r="117" spans="2:5" ht="15.75" customHeight="1" x14ac:dyDescent="0.3">
      <c r="B117" s="2"/>
      <c r="E117" s="2"/>
    </row>
    <row r="118" spans="2:5" ht="15.75" customHeight="1" x14ac:dyDescent="0.3">
      <c r="B118" s="2"/>
      <c r="E118" s="2"/>
    </row>
    <row r="119" spans="2:5" ht="15.75" customHeight="1" x14ac:dyDescent="0.3">
      <c r="B119" s="2"/>
      <c r="E119" s="2"/>
    </row>
    <row r="120" spans="2:5" ht="15.75" customHeight="1" x14ac:dyDescent="0.3">
      <c r="B120" s="2"/>
      <c r="E120" s="2"/>
    </row>
    <row r="121" spans="2:5" ht="15.75" customHeight="1" x14ac:dyDescent="0.3">
      <c r="B121" s="2"/>
      <c r="E121" s="2"/>
    </row>
    <row r="122" spans="2:5" ht="15.75" customHeight="1" x14ac:dyDescent="0.3">
      <c r="B122" s="2"/>
      <c r="E122" s="2"/>
    </row>
    <row r="123" spans="2:5" ht="15.75" customHeight="1" x14ac:dyDescent="0.3">
      <c r="B123" s="2"/>
      <c r="E123" s="2"/>
    </row>
    <row r="124" spans="2:5" ht="15.75" customHeight="1" x14ac:dyDescent="0.3">
      <c r="B124" s="2"/>
      <c r="E124" s="2"/>
    </row>
    <row r="125" spans="2:5" ht="15.75" customHeight="1" x14ac:dyDescent="0.3">
      <c r="B125" s="2"/>
      <c r="E125" s="2"/>
    </row>
    <row r="126" spans="2:5" ht="15.75" customHeight="1" x14ac:dyDescent="0.3">
      <c r="B126" s="2"/>
      <c r="E126" s="2"/>
    </row>
    <row r="127" spans="2:5" ht="15.75" customHeight="1" x14ac:dyDescent="0.3">
      <c r="B127" s="2"/>
      <c r="E127" s="2"/>
    </row>
    <row r="128" spans="2:5" ht="15.75" customHeight="1" x14ac:dyDescent="0.3">
      <c r="B128" s="2"/>
      <c r="E128" s="2"/>
    </row>
    <row r="129" spans="2:5" ht="15.75" customHeight="1" x14ac:dyDescent="0.3">
      <c r="B129" s="2"/>
      <c r="E129" s="2"/>
    </row>
    <row r="130" spans="2:5" ht="15.75" customHeight="1" x14ac:dyDescent="0.3">
      <c r="B130" s="2"/>
      <c r="E130" s="2"/>
    </row>
    <row r="131" spans="2:5" ht="15.75" customHeight="1" x14ac:dyDescent="0.3">
      <c r="B131" s="2"/>
      <c r="E131" s="2"/>
    </row>
    <row r="132" spans="2:5" ht="15.75" customHeight="1" x14ac:dyDescent="0.3">
      <c r="B132" s="2"/>
      <c r="E132" s="2"/>
    </row>
    <row r="133" spans="2:5" ht="15.75" customHeight="1" x14ac:dyDescent="0.3">
      <c r="B133" s="2"/>
      <c r="E133" s="2"/>
    </row>
    <row r="134" spans="2:5" ht="15.75" customHeight="1" x14ac:dyDescent="0.3">
      <c r="B134" s="2"/>
      <c r="E134" s="2"/>
    </row>
    <row r="135" spans="2:5" ht="15.75" customHeight="1" x14ac:dyDescent="0.3">
      <c r="B135" s="2"/>
      <c r="E135" s="2"/>
    </row>
    <row r="136" spans="2:5" ht="15.75" customHeight="1" x14ac:dyDescent="0.3">
      <c r="B136" s="2"/>
      <c r="E136" s="2"/>
    </row>
    <row r="137" spans="2:5" ht="15.75" customHeight="1" x14ac:dyDescent="0.3">
      <c r="B137" s="2"/>
      <c r="E137" s="2"/>
    </row>
    <row r="138" spans="2:5" ht="15.75" customHeight="1" x14ac:dyDescent="0.3">
      <c r="B138" s="2"/>
      <c r="E138" s="2"/>
    </row>
    <row r="139" spans="2:5" ht="15.75" customHeight="1" x14ac:dyDescent="0.3">
      <c r="B139" s="2"/>
      <c r="E139" s="2"/>
    </row>
    <row r="140" spans="2:5" ht="15.75" customHeight="1" x14ac:dyDescent="0.3">
      <c r="B140" s="2"/>
      <c r="E140" s="2"/>
    </row>
    <row r="141" spans="2:5" ht="15.75" customHeight="1" x14ac:dyDescent="0.3">
      <c r="B141" s="2"/>
      <c r="E141" s="2"/>
    </row>
    <row r="142" spans="2:5" ht="15.75" customHeight="1" x14ac:dyDescent="0.3">
      <c r="B142" s="2"/>
      <c r="E142" s="2"/>
    </row>
    <row r="143" spans="2:5" ht="15.75" customHeight="1" x14ac:dyDescent="0.3">
      <c r="B143" s="2"/>
      <c r="E143" s="2"/>
    </row>
    <row r="144" spans="2:5" ht="15.75" customHeight="1" x14ac:dyDescent="0.3">
      <c r="B144" s="2"/>
      <c r="E144" s="2"/>
    </row>
    <row r="145" spans="2:5" ht="15.75" customHeight="1" x14ac:dyDescent="0.3">
      <c r="B145" s="2"/>
      <c r="E145" s="2"/>
    </row>
    <row r="146" spans="2:5" ht="15.75" customHeight="1" x14ac:dyDescent="0.3">
      <c r="B146" s="2"/>
      <c r="E146" s="2"/>
    </row>
    <row r="147" spans="2:5" ht="15.75" customHeight="1" x14ac:dyDescent="0.3">
      <c r="B147" s="2"/>
      <c r="E147" s="2"/>
    </row>
    <row r="148" spans="2:5" ht="15.75" customHeight="1" x14ac:dyDescent="0.3">
      <c r="B148" s="2"/>
      <c r="E148" s="2"/>
    </row>
    <row r="149" spans="2:5" ht="15.75" customHeight="1" x14ac:dyDescent="0.3">
      <c r="B149" s="2"/>
      <c r="E149" s="2"/>
    </row>
    <row r="150" spans="2:5" ht="15.75" customHeight="1" x14ac:dyDescent="0.3">
      <c r="B150" s="2"/>
      <c r="E150" s="2"/>
    </row>
    <row r="151" spans="2:5" ht="15.75" customHeight="1" x14ac:dyDescent="0.3">
      <c r="B151" s="2"/>
      <c r="E151" s="2"/>
    </row>
    <row r="152" spans="2:5" ht="15.75" customHeight="1" x14ac:dyDescent="0.3">
      <c r="B152" s="2"/>
      <c r="E152" s="2"/>
    </row>
    <row r="153" spans="2:5" ht="15.75" customHeight="1" x14ac:dyDescent="0.3">
      <c r="B153" s="2"/>
      <c r="E153" s="2"/>
    </row>
    <row r="154" spans="2:5" ht="15.75" customHeight="1" x14ac:dyDescent="0.3">
      <c r="B154" s="2"/>
      <c r="E154" s="2"/>
    </row>
    <row r="155" spans="2:5" ht="15.75" customHeight="1" x14ac:dyDescent="0.3">
      <c r="B155" s="2"/>
      <c r="E155" s="2"/>
    </row>
    <row r="156" spans="2:5" ht="15.75" customHeight="1" x14ac:dyDescent="0.3">
      <c r="B156" s="2"/>
      <c r="E156" s="2"/>
    </row>
    <row r="157" spans="2:5" ht="15.75" customHeight="1" x14ac:dyDescent="0.3">
      <c r="B157" s="2"/>
      <c r="E157" s="2"/>
    </row>
    <row r="158" spans="2:5" ht="15.75" customHeight="1" x14ac:dyDescent="0.3">
      <c r="B158" s="2"/>
      <c r="E158" s="2"/>
    </row>
    <row r="159" spans="2:5" ht="15.75" customHeight="1" x14ac:dyDescent="0.3">
      <c r="B159" s="2"/>
      <c r="E159" s="2"/>
    </row>
    <row r="160" spans="2:5" ht="15.75" customHeight="1" x14ac:dyDescent="0.3">
      <c r="B160" s="2"/>
      <c r="E160" s="2"/>
    </row>
    <row r="161" spans="2:5" ht="15.75" customHeight="1" x14ac:dyDescent="0.3">
      <c r="B161" s="2"/>
      <c r="E161" s="2"/>
    </row>
    <row r="162" spans="2:5" ht="15.75" customHeight="1" x14ac:dyDescent="0.3">
      <c r="B162" s="2"/>
      <c r="E162" s="2"/>
    </row>
    <row r="163" spans="2:5" ht="15.75" customHeight="1" x14ac:dyDescent="0.3">
      <c r="B163" s="2"/>
      <c r="E163" s="2"/>
    </row>
    <row r="164" spans="2:5" ht="15.75" customHeight="1" x14ac:dyDescent="0.3">
      <c r="B164" s="2"/>
      <c r="E164" s="2"/>
    </row>
    <row r="165" spans="2:5" ht="15.75" customHeight="1" x14ac:dyDescent="0.3">
      <c r="B165" s="2"/>
      <c r="E165" s="2"/>
    </row>
    <row r="166" spans="2:5" ht="15.75" customHeight="1" x14ac:dyDescent="0.3">
      <c r="B166" s="2"/>
      <c r="E166" s="2"/>
    </row>
    <row r="167" spans="2:5" ht="15.75" customHeight="1" x14ac:dyDescent="0.3">
      <c r="B167" s="2"/>
      <c r="E167" s="2"/>
    </row>
    <row r="168" spans="2:5" ht="15.75" customHeight="1" x14ac:dyDescent="0.3">
      <c r="B168" s="2"/>
      <c r="E168" s="2"/>
    </row>
    <row r="169" spans="2:5" ht="15.75" customHeight="1" x14ac:dyDescent="0.3">
      <c r="B169" s="2"/>
      <c r="E169" s="2"/>
    </row>
    <row r="170" spans="2:5" ht="15.75" customHeight="1" x14ac:dyDescent="0.3">
      <c r="B170" s="2"/>
      <c r="E170" s="2"/>
    </row>
    <row r="171" spans="2:5" ht="15.75" customHeight="1" x14ac:dyDescent="0.3">
      <c r="B171" s="2"/>
      <c r="E171" s="2"/>
    </row>
    <row r="172" spans="2:5" ht="15.75" customHeight="1" x14ac:dyDescent="0.3">
      <c r="B172" s="2"/>
      <c r="E172" s="2"/>
    </row>
    <row r="173" spans="2:5" ht="15.75" customHeight="1" x14ac:dyDescent="0.3">
      <c r="B173" s="2"/>
      <c r="E173" s="2"/>
    </row>
    <row r="174" spans="2:5" ht="15.75" customHeight="1" x14ac:dyDescent="0.3">
      <c r="B174" s="2"/>
      <c r="E174" s="2"/>
    </row>
    <row r="175" spans="2:5" ht="15.75" customHeight="1" x14ac:dyDescent="0.3">
      <c r="B175" s="2"/>
      <c r="E175" s="2"/>
    </row>
    <row r="176" spans="2:5" ht="15.75" customHeight="1" x14ac:dyDescent="0.3">
      <c r="B176" s="2"/>
      <c r="E176" s="2"/>
    </row>
    <row r="177" spans="2:5" ht="15.75" customHeight="1" x14ac:dyDescent="0.3">
      <c r="B177" s="2"/>
      <c r="E177" s="2"/>
    </row>
    <row r="178" spans="2:5" ht="15.75" customHeight="1" x14ac:dyDescent="0.3">
      <c r="B178" s="2"/>
      <c r="E178" s="2"/>
    </row>
    <row r="179" spans="2:5" ht="15.75" customHeight="1" x14ac:dyDescent="0.3">
      <c r="B179" s="2"/>
      <c r="E179" s="2"/>
    </row>
    <row r="180" spans="2:5" ht="15.75" customHeight="1" x14ac:dyDescent="0.3">
      <c r="B180" s="2"/>
      <c r="E180" s="2"/>
    </row>
    <row r="181" spans="2:5" ht="15.75" customHeight="1" x14ac:dyDescent="0.3">
      <c r="B181" s="2"/>
      <c r="E181" s="2"/>
    </row>
    <row r="182" spans="2:5" ht="15.75" customHeight="1" x14ac:dyDescent="0.3">
      <c r="B182" s="2"/>
      <c r="E182" s="2"/>
    </row>
    <row r="183" spans="2:5" ht="15.75" customHeight="1" x14ac:dyDescent="0.3">
      <c r="B183" s="2"/>
      <c r="E183" s="2"/>
    </row>
    <row r="184" spans="2:5" ht="15.75" customHeight="1" x14ac:dyDescent="0.3">
      <c r="B184" s="2"/>
      <c r="E184" s="2"/>
    </row>
    <row r="185" spans="2:5" ht="15.75" customHeight="1" x14ac:dyDescent="0.3">
      <c r="B185" s="2"/>
      <c r="E185" s="2"/>
    </row>
    <row r="186" spans="2:5" ht="15.75" customHeight="1" x14ac:dyDescent="0.3">
      <c r="B186" s="2"/>
      <c r="E186" s="2"/>
    </row>
    <row r="187" spans="2:5" ht="15.75" customHeight="1" x14ac:dyDescent="0.3">
      <c r="B187" s="2"/>
      <c r="E187" s="2"/>
    </row>
    <row r="188" spans="2:5" ht="15.75" customHeight="1" x14ac:dyDescent="0.3">
      <c r="B188" s="2"/>
      <c r="E188" s="2"/>
    </row>
    <row r="189" spans="2:5" ht="15.75" customHeight="1" x14ac:dyDescent="0.3">
      <c r="B189" s="2"/>
      <c r="E189" s="2"/>
    </row>
    <row r="190" spans="2:5" ht="15.75" customHeight="1" x14ac:dyDescent="0.3">
      <c r="B190" s="2"/>
      <c r="E190" s="2"/>
    </row>
    <row r="191" spans="2:5" ht="15.75" customHeight="1" x14ac:dyDescent="0.3">
      <c r="B191" s="2"/>
      <c r="E191" s="2"/>
    </row>
    <row r="192" spans="2:5" ht="15.75" customHeight="1" x14ac:dyDescent="0.3">
      <c r="B192" s="2"/>
      <c r="E192" s="2"/>
    </row>
    <row r="193" spans="2:5" ht="15.75" customHeight="1" x14ac:dyDescent="0.3">
      <c r="B193" s="2"/>
      <c r="E193" s="2"/>
    </row>
    <row r="194" spans="2:5" ht="15.75" customHeight="1" x14ac:dyDescent="0.3">
      <c r="B194" s="2"/>
      <c r="E194" s="2"/>
    </row>
    <row r="195" spans="2:5" ht="15.75" customHeight="1" x14ac:dyDescent="0.3">
      <c r="B195" s="2"/>
      <c r="E195" s="2"/>
    </row>
    <row r="196" spans="2:5" ht="15.75" customHeight="1" x14ac:dyDescent="0.3">
      <c r="B196" s="2"/>
      <c r="E196" s="2"/>
    </row>
    <row r="197" spans="2:5" ht="15.75" customHeight="1" x14ac:dyDescent="0.3">
      <c r="B197" s="2"/>
      <c r="E197" s="2"/>
    </row>
    <row r="198" spans="2:5" ht="15.75" customHeight="1" x14ac:dyDescent="0.3">
      <c r="B198" s="2"/>
      <c r="E198" s="2"/>
    </row>
    <row r="199" spans="2:5" ht="15.75" customHeight="1" x14ac:dyDescent="0.3">
      <c r="B199" s="2"/>
      <c r="E199" s="2"/>
    </row>
    <row r="200" spans="2:5" ht="15.75" customHeight="1" x14ac:dyDescent="0.3">
      <c r="B200" s="2"/>
      <c r="E200" s="2"/>
    </row>
    <row r="201" spans="2:5" ht="15.75" customHeight="1" x14ac:dyDescent="0.3">
      <c r="B201" s="2"/>
      <c r="E201" s="2"/>
    </row>
    <row r="202" spans="2:5" ht="15.75" customHeight="1" x14ac:dyDescent="0.3">
      <c r="B202" s="2"/>
      <c r="E202" s="2"/>
    </row>
    <row r="203" spans="2:5" ht="15.75" customHeight="1" x14ac:dyDescent="0.3">
      <c r="B203" s="2"/>
      <c r="E203" s="2"/>
    </row>
    <row r="204" spans="2:5" ht="15.75" customHeight="1" x14ac:dyDescent="0.3">
      <c r="B204" s="2"/>
      <c r="E204" s="2"/>
    </row>
    <row r="205" spans="2:5" ht="15.75" customHeight="1" x14ac:dyDescent="0.3">
      <c r="B205" s="2"/>
      <c r="E205" s="2"/>
    </row>
    <row r="206" spans="2:5" ht="15.75" customHeight="1" x14ac:dyDescent="0.3">
      <c r="B206" s="2"/>
      <c r="E206" s="2"/>
    </row>
    <row r="207" spans="2:5" ht="15.75" customHeight="1" x14ac:dyDescent="0.3">
      <c r="B207" s="2"/>
      <c r="E207" s="2"/>
    </row>
    <row r="208" spans="2:5" ht="15.75" customHeight="1" x14ac:dyDescent="0.3">
      <c r="B208" s="2"/>
      <c r="E208" s="2"/>
    </row>
    <row r="209" spans="2:5" ht="15.75" customHeight="1" x14ac:dyDescent="0.3">
      <c r="B209" s="2"/>
      <c r="E209" s="2"/>
    </row>
    <row r="210" spans="2:5" ht="15.75" customHeight="1" x14ac:dyDescent="0.3">
      <c r="B210" s="2"/>
      <c r="E210" s="2"/>
    </row>
    <row r="211" spans="2:5" ht="15.75" customHeight="1" x14ac:dyDescent="0.3">
      <c r="B211" s="2"/>
      <c r="E211" s="2"/>
    </row>
    <row r="212" spans="2:5" ht="15.75" customHeight="1" x14ac:dyDescent="0.3">
      <c r="B212" s="2"/>
      <c r="E212" s="2"/>
    </row>
    <row r="213" spans="2:5" ht="15.75" customHeight="1" x14ac:dyDescent="0.3">
      <c r="B213" s="2"/>
      <c r="E213" s="2"/>
    </row>
    <row r="214" spans="2:5" ht="15.75" customHeight="1" x14ac:dyDescent="0.3">
      <c r="B214" s="2"/>
      <c r="E214" s="2"/>
    </row>
    <row r="215" spans="2:5" ht="15.75" customHeight="1" x14ac:dyDescent="0.3">
      <c r="B215" s="2"/>
      <c r="E215" s="2"/>
    </row>
    <row r="216" spans="2:5" ht="15.75" customHeight="1" x14ac:dyDescent="0.3">
      <c r="B216" s="2"/>
      <c r="E216" s="2"/>
    </row>
    <row r="217" spans="2:5" ht="15.75" customHeight="1" x14ac:dyDescent="0.3">
      <c r="B217" s="2"/>
      <c r="E217" s="2"/>
    </row>
    <row r="218" spans="2:5" ht="15.75" customHeight="1" x14ac:dyDescent="0.3">
      <c r="B218" s="2"/>
      <c r="E218" s="2"/>
    </row>
    <row r="219" spans="2:5" ht="15.75" customHeight="1" x14ac:dyDescent="0.3">
      <c r="B219" s="2"/>
      <c r="E219" s="2"/>
    </row>
    <row r="220" spans="2:5" ht="15.75" customHeight="1" x14ac:dyDescent="0.3">
      <c r="B220" s="2"/>
      <c r="E220" s="2"/>
    </row>
    <row r="221" spans="2:5" ht="15.75" customHeight="1" x14ac:dyDescent="0.3">
      <c r="B221" s="2"/>
      <c r="E221" s="2"/>
    </row>
    <row r="222" spans="2:5" ht="15.75" customHeight="1" x14ac:dyDescent="0.3">
      <c r="B222" s="2"/>
      <c r="E222" s="2"/>
    </row>
    <row r="223" spans="2:5" ht="15.75" customHeight="1" x14ac:dyDescent="0.3">
      <c r="B223" s="2"/>
      <c r="E223" s="2"/>
    </row>
    <row r="224" spans="2:5" ht="15.75" customHeight="1" x14ac:dyDescent="0.3">
      <c r="B224" s="2"/>
      <c r="E224" s="2"/>
    </row>
    <row r="225" spans="2:5" ht="15.75" customHeight="1" x14ac:dyDescent="0.3">
      <c r="B225" s="2"/>
      <c r="E225" s="2"/>
    </row>
    <row r="226" spans="2:5" ht="15.75" customHeight="1" x14ac:dyDescent="0.3">
      <c r="B226" s="2"/>
      <c r="E226" s="2"/>
    </row>
    <row r="227" spans="2:5" ht="15.75" customHeight="1" x14ac:dyDescent="0.3">
      <c r="B227" s="2"/>
      <c r="E227" s="2"/>
    </row>
    <row r="228" spans="2:5" ht="15.75" customHeight="1" x14ac:dyDescent="0.3">
      <c r="B228" s="2"/>
      <c r="E228" s="2"/>
    </row>
    <row r="229" spans="2:5" ht="15.75" customHeight="1" x14ac:dyDescent="0.3">
      <c r="B229" s="2"/>
      <c r="E229" s="2"/>
    </row>
    <row r="230" spans="2:5" ht="15.75" customHeight="1" x14ac:dyDescent="0.3">
      <c r="B230" s="2"/>
      <c r="E230" s="2"/>
    </row>
    <row r="231" spans="2:5" ht="15.75" customHeight="1" x14ac:dyDescent="0.3">
      <c r="B231" s="2"/>
      <c r="E231" s="2"/>
    </row>
    <row r="232" spans="2:5" ht="15.75" customHeight="1" x14ac:dyDescent="0.3">
      <c r="B232" s="2"/>
      <c r="E232" s="2"/>
    </row>
    <row r="233" spans="2:5" ht="15.75" customHeight="1" x14ac:dyDescent="0.3">
      <c r="B233" s="2"/>
      <c r="E233" s="2"/>
    </row>
    <row r="234" spans="2:5" ht="15.75" customHeight="1" x14ac:dyDescent="0.3">
      <c r="B234" s="2"/>
      <c r="E234" s="2"/>
    </row>
    <row r="235" spans="2:5" ht="15.75" customHeight="1" x14ac:dyDescent="0.3">
      <c r="B235" s="2"/>
      <c r="E235" s="2"/>
    </row>
    <row r="236" spans="2:5" ht="15.75" customHeight="1" x14ac:dyDescent="0.3">
      <c r="B236" s="2"/>
      <c r="E236" s="2"/>
    </row>
    <row r="237" spans="2:5" ht="15.75" customHeight="1" x14ac:dyDescent="0.3">
      <c r="B237" s="2"/>
      <c r="E237" s="2"/>
    </row>
    <row r="238" spans="2:5" ht="15.75" customHeight="1" x14ac:dyDescent="0.3">
      <c r="B238" s="2"/>
      <c r="E238" s="2"/>
    </row>
    <row r="239" spans="2:5" ht="15.75" customHeight="1" x14ac:dyDescent="0.3">
      <c r="B239" s="2"/>
      <c r="E239" s="2"/>
    </row>
    <row r="240" spans="2:5" ht="15.75" customHeight="1" x14ac:dyDescent="0.3">
      <c r="B240" s="2"/>
      <c r="E240" s="2"/>
    </row>
    <row r="241" spans="2:5" ht="15.75" customHeight="1" x14ac:dyDescent="0.3">
      <c r="B241" s="2"/>
      <c r="E241" s="2"/>
    </row>
    <row r="242" spans="2:5" ht="15.75" customHeight="1" x14ac:dyDescent="0.3">
      <c r="B242" s="2"/>
      <c r="E242" s="2"/>
    </row>
    <row r="243" spans="2:5" ht="15.75" customHeight="1" x14ac:dyDescent="0.3">
      <c r="B243" s="2"/>
      <c r="E243" s="2"/>
    </row>
    <row r="244" spans="2:5" ht="15.75" customHeight="1" x14ac:dyDescent="0.3">
      <c r="B244" s="2"/>
      <c r="E244" s="2"/>
    </row>
    <row r="245" spans="2:5" ht="15.75" customHeight="1" x14ac:dyDescent="0.3">
      <c r="B245" s="2"/>
      <c r="E245" s="2"/>
    </row>
    <row r="246" spans="2:5" ht="15.75" customHeight="1" x14ac:dyDescent="0.3">
      <c r="B246" s="2"/>
      <c r="E246" s="2"/>
    </row>
    <row r="247" spans="2:5" ht="15.75" customHeight="1" x14ac:dyDescent="0.3">
      <c r="B247" s="2"/>
      <c r="E247" s="2"/>
    </row>
    <row r="248" spans="2:5" ht="15.75" customHeight="1" x14ac:dyDescent="0.3">
      <c r="B248" s="2"/>
      <c r="E248" s="2"/>
    </row>
    <row r="249" spans="2:5" ht="15.75" customHeight="1" x14ac:dyDescent="0.3">
      <c r="B249" s="2"/>
      <c r="E249" s="2"/>
    </row>
    <row r="250" spans="2:5" ht="15.75" customHeight="1" x14ac:dyDescent="0.3">
      <c r="B250" s="2"/>
      <c r="E250" s="2"/>
    </row>
    <row r="251" spans="2:5" ht="15.75" customHeight="1" x14ac:dyDescent="0.3">
      <c r="B251" s="2"/>
      <c r="E251" s="2"/>
    </row>
    <row r="252" spans="2:5" ht="15.75" customHeight="1" x14ac:dyDescent="0.3">
      <c r="B252" s="2"/>
      <c r="E252" s="2"/>
    </row>
    <row r="253" spans="2:5" ht="15.75" customHeight="1" x14ac:dyDescent="0.3">
      <c r="B253" s="2"/>
      <c r="E253" s="2"/>
    </row>
    <row r="254" spans="2:5" ht="15.75" customHeight="1" x14ac:dyDescent="0.3">
      <c r="B254" s="2"/>
      <c r="E254" s="2"/>
    </row>
    <row r="255" spans="2:5" ht="15.75" customHeight="1" x14ac:dyDescent="0.3">
      <c r="B255" s="2"/>
      <c r="E255" s="2"/>
    </row>
    <row r="256" spans="2:5" ht="15.75" customHeight="1" x14ac:dyDescent="0.3">
      <c r="B256" s="2"/>
      <c r="E256" s="2"/>
    </row>
    <row r="257" spans="2:5" ht="15.75" customHeight="1" x14ac:dyDescent="0.3">
      <c r="B257" s="2"/>
      <c r="E257" s="2"/>
    </row>
    <row r="258" spans="2:5" ht="15.75" customHeight="1" x14ac:dyDescent="0.3">
      <c r="B258" s="2"/>
      <c r="E258" s="2"/>
    </row>
    <row r="259" spans="2:5" ht="15.75" customHeight="1" x14ac:dyDescent="0.3">
      <c r="B259" s="2"/>
      <c r="E259" s="2"/>
    </row>
    <row r="260" spans="2:5" ht="15.75" customHeight="1" x14ac:dyDescent="0.3">
      <c r="B260" s="2"/>
      <c r="E260" s="2"/>
    </row>
    <row r="261" spans="2:5" ht="15.75" customHeight="1" x14ac:dyDescent="0.3">
      <c r="B261" s="2"/>
      <c r="E261" s="2"/>
    </row>
    <row r="262" spans="2:5" ht="15.75" customHeight="1" x14ac:dyDescent="0.3">
      <c r="B262" s="2"/>
      <c r="E262" s="2"/>
    </row>
    <row r="263" spans="2:5" ht="15.75" customHeight="1" x14ac:dyDescent="0.3"/>
    <row r="264" spans="2:5" ht="15.75" customHeight="1" x14ac:dyDescent="0.3"/>
    <row r="265" spans="2:5" ht="15.75" customHeight="1" x14ac:dyDescent="0.3"/>
    <row r="266" spans="2:5" ht="15.75" customHeight="1" x14ac:dyDescent="0.3"/>
    <row r="267" spans="2:5" ht="15.75" customHeight="1" x14ac:dyDescent="0.3"/>
    <row r="268" spans="2:5" ht="15.75" customHeight="1" x14ac:dyDescent="0.3"/>
    <row r="269" spans="2:5" ht="15.75" customHeight="1" x14ac:dyDescent="0.3"/>
    <row r="270" spans="2:5" ht="15.75" customHeight="1" x14ac:dyDescent="0.3"/>
    <row r="271" spans="2:5" ht="15.75" customHeight="1" x14ac:dyDescent="0.3"/>
    <row r="272" spans="2:5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C44:D44"/>
    <mergeCell ref="G44:AB44"/>
    <mergeCell ref="C1:D1"/>
    <mergeCell ref="G1:AB1"/>
    <mergeCell ref="A2:A5"/>
    <mergeCell ref="C6:D6"/>
    <mergeCell ref="G6:AB6"/>
    <mergeCell ref="C25:D25"/>
    <mergeCell ref="G25:AB25"/>
  </mergeCells>
  <conditionalFormatting sqref="D8:D24">
    <cfRule type="cellIs" dxfId="709" priority="22" operator="greaterThanOrEqual">
      <formula>$D$4</formula>
    </cfRule>
    <cfRule type="cellIs" dxfId="708" priority="24" operator="between">
      <formula>$D$3</formula>
      <formula>$D$4</formula>
    </cfRule>
    <cfRule type="cellIs" dxfId="707" priority="23" operator="lessThanOrEqual">
      <formula>$D$2</formula>
    </cfRule>
  </conditionalFormatting>
  <conditionalFormatting sqref="D27:D43 G27:AB43">
    <cfRule type="cellIs" dxfId="706" priority="21" operator="greaterThanOrEqual">
      <formula>365</formula>
    </cfRule>
  </conditionalFormatting>
  <conditionalFormatting sqref="D46:D62 G46:AB62">
    <cfRule type="cellIs" dxfId="705" priority="20" operator="lessThanOrEqual">
      <formula>1</formula>
    </cfRule>
  </conditionalFormatting>
  <conditionalFormatting sqref="G8:G24">
    <cfRule type="cellIs" dxfId="704" priority="1" operator="greaterThanOrEqual">
      <formula>$G$4</formula>
    </cfRule>
    <cfRule type="cellIs" dxfId="703" priority="19" operator="lessThanOrEqual">
      <formula>$G$2</formula>
    </cfRule>
    <cfRule type="cellIs" dxfId="702" priority="10" operator="between">
      <formula>$G$3</formula>
      <formula>$G$4</formula>
    </cfRule>
  </conditionalFormatting>
  <conditionalFormatting sqref="H8:H24">
    <cfRule type="cellIs" dxfId="701" priority="2" operator="greaterThanOrEqual">
      <formula>$H$4</formula>
    </cfRule>
    <cfRule type="cellIs" dxfId="700" priority="11" operator="between">
      <formula>$H$3</formula>
      <formula>$H$4</formula>
    </cfRule>
    <cfRule type="cellIs" dxfId="699" priority="26" operator="lessThanOrEqual">
      <formula>$H$2</formula>
    </cfRule>
  </conditionalFormatting>
  <conditionalFormatting sqref="I8:I24">
    <cfRule type="cellIs" dxfId="698" priority="3" operator="greaterThanOrEqual">
      <formula>$I$4</formula>
    </cfRule>
    <cfRule type="cellIs" dxfId="697" priority="12" operator="between">
      <formula>I$3</formula>
      <formula>I$4</formula>
    </cfRule>
    <cfRule type="cellIs" dxfId="696" priority="27" operator="lessThanOrEqual">
      <formula>$I$2</formula>
    </cfRule>
  </conditionalFormatting>
  <conditionalFormatting sqref="J8:J24">
    <cfRule type="cellIs" dxfId="695" priority="4" operator="greaterThanOrEqual">
      <formula>$J$4</formula>
    </cfRule>
    <cfRule type="cellIs" dxfId="694" priority="13" operator="between">
      <formula>$J$3</formula>
      <formula>$J$4</formula>
    </cfRule>
    <cfRule type="cellIs" dxfId="693" priority="28" operator="lessThanOrEqual">
      <formula>$J$2</formula>
    </cfRule>
  </conditionalFormatting>
  <conditionalFormatting sqref="K8:K24">
    <cfRule type="cellIs" dxfId="692" priority="5" operator="greaterThanOrEqual">
      <formula>$K$4</formula>
    </cfRule>
    <cfRule type="cellIs" dxfId="691" priority="14" operator="between">
      <formula>$K$3</formula>
      <formula>$K$4</formula>
    </cfRule>
    <cfRule type="cellIs" dxfId="690" priority="29" operator="lessThanOrEqual">
      <formula>$K$2</formula>
    </cfRule>
  </conditionalFormatting>
  <conditionalFormatting sqref="L8:L24">
    <cfRule type="cellIs" dxfId="689" priority="6" operator="greaterThanOrEqual">
      <formula>$L$4</formula>
    </cfRule>
    <cfRule type="cellIs" dxfId="688" priority="15" operator="between">
      <formula>$L$3</formula>
      <formula>$L$4</formula>
    </cfRule>
    <cfRule type="cellIs" dxfId="687" priority="30" operator="lessThanOrEqual">
      <formula>$L$2</formula>
    </cfRule>
  </conditionalFormatting>
  <conditionalFormatting sqref="M8:M24">
    <cfRule type="cellIs" dxfId="686" priority="7" operator="greaterThanOrEqual">
      <formula>$M$4</formula>
    </cfRule>
    <cfRule type="cellIs" dxfId="685" priority="16" operator="between">
      <formula>$M$3</formula>
      <formula>$M$4</formula>
    </cfRule>
    <cfRule type="cellIs" dxfId="684" priority="31" operator="lessThanOrEqual">
      <formula>$M$2</formula>
    </cfRule>
  </conditionalFormatting>
  <conditionalFormatting sqref="N8:N24">
    <cfRule type="cellIs" dxfId="683" priority="8" operator="greaterThanOrEqual">
      <formula>$N$4</formula>
    </cfRule>
    <cfRule type="cellIs" dxfId="682" priority="17" operator="between">
      <formula>$N$3</formula>
      <formula>$N$4</formula>
    </cfRule>
    <cfRule type="cellIs" dxfId="681" priority="32" operator="lessThanOrEqual">
      <formula>$N$2</formula>
    </cfRule>
  </conditionalFormatting>
  <conditionalFormatting sqref="O8:O24">
    <cfRule type="cellIs" dxfId="680" priority="18" operator="between">
      <formula>$O$3</formula>
      <formula>$O$4</formula>
    </cfRule>
    <cfRule type="cellIs" dxfId="679" priority="9" operator="greaterThanOrEqual">
      <formula>$O$4</formula>
    </cfRule>
    <cfRule type="cellIs" dxfId="678" priority="33" operator="lessThanOrEqual">
      <formula>$O$2</formula>
    </cfRule>
  </conditionalFormatting>
  <conditionalFormatting sqref="P7:P24">
    <cfRule type="cellIs" dxfId="677" priority="46" operator="between">
      <formula>$P$3</formula>
      <formula>$P$4</formula>
    </cfRule>
  </conditionalFormatting>
  <conditionalFormatting sqref="P8:P24">
    <cfRule type="cellIs" dxfId="676" priority="25" operator="lessThanOrEqual">
      <formula>$P$2</formula>
    </cfRule>
    <cfRule type="cellIs" dxfId="675" priority="59" operator="greaterThanOrEqual">
      <formula>$P$4</formula>
    </cfRule>
  </conditionalFormatting>
  <conditionalFormatting sqref="Q8:Q24">
    <cfRule type="cellIs" dxfId="674" priority="34" operator="lessThanOrEqual">
      <formula>$Q$2</formula>
    </cfRule>
    <cfRule type="cellIs" dxfId="673" priority="47" operator="between">
      <formula>$Q$3</formula>
      <formula>$Q$4</formula>
    </cfRule>
    <cfRule type="cellIs" dxfId="672" priority="60" operator="greaterThanOrEqual">
      <formula>$Q$4</formula>
    </cfRule>
  </conditionalFormatting>
  <conditionalFormatting sqref="R8:R24">
    <cfRule type="cellIs" dxfId="671" priority="48" operator="between">
      <formula>$R$3</formula>
      <formula>$R$4</formula>
    </cfRule>
    <cfRule type="cellIs" dxfId="670" priority="35" operator="lessThanOrEqual">
      <formula>$R$2</formula>
    </cfRule>
    <cfRule type="cellIs" dxfId="669" priority="61" operator="greaterThanOrEqual">
      <formula>$R$4</formula>
    </cfRule>
  </conditionalFormatting>
  <conditionalFormatting sqref="S8:S24">
    <cfRule type="cellIs" dxfId="668" priority="49" operator="between">
      <formula>$S$3</formula>
      <formula>$S$4</formula>
    </cfRule>
    <cfRule type="cellIs" dxfId="667" priority="36" operator="lessThanOrEqual">
      <formula>$S$2</formula>
    </cfRule>
    <cfRule type="cellIs" dxfId="666" priority="62" operator="greaterThanOrEqual">
      <formula>$S$4</formula>
    </cfRule>
  </conditionalFormatting>
  <conditionalFormatting sqref="T8:T24">
    <cfRule type="cellIs" dxfId="665" priority="37" operator="lessThanOrEqual">
      <formula>$T$2</formula>
    </cfRule>
    <cfRule type="cellIs" dxfId="664" priority="50" operator="between">
      <formula>$T$3</formula>
      <formula>$T$4</formula>
    </cfRule>
    <cfRule type="cellIs" dxfId="663" priority="63" operator="greaterThanOrEqual">
      <formula>$T$4</formula>
    </cfRule>
  </conditionalFormatting>
  <conditionalFormatting sqref="U8:U24">
    <cfRule type="cellIs" dxfId="662" priority="38" operator="lessThanOrEqual">
      <formula>$U$2</formula>
    </cfRule>
    <cfRule type="cellIs" dxfId="661" priority="51" operator="between">
      <formula>$U$3</formula>
      <formula>$U$4</formula>
    </cfRule>
    <cfRule type="cellIs" dxfId="660" priority="64" operator="greaterThanOrEqual">
      <formula>$U$4</formula>
    </cfRule>
  </conditionalFormatting>
  <conditionalFormatting sqref="V8:V24">
    <cfRule type="cellIs" dxfId="659" priority="39" operator="lessThanOrEqual">
      <formula>$V$2</formula>
    </cfRule>
    <cfRule type="cellIs" dxfId="658" priority="52" operator="between">
      <formula>$V$3</formula>
      <formula>$V$4</formula>
    </cfRule>
    <cfRule type="cellIs" dxfId="657" priority="65" operator="greaterThanOrEqual">
      <formula>$V$4</formula>
    </cfRule>
  </conditionalFormatting>
  <conditionalFormatting sqref="W8:W24">
    <cfRule type="cellIs" dxfId="656" priority="40" operator="lessThanOrEqual">
      <formula>$W$2</formula>
    </cfRule>
    <cfRule type="cellIs" dxfId="655" priority="53" operator="between">
      <formula>$W$3</formula>
      <formula>$W$4</formula>
    </cfRule>
    <cfRule type="cellIs" dxfId="654" priority="66" operator="greaterThanOrEqual">
      <formula>$W$4</formula>
    </cfRule>
  </conditionalFormatting>
  <conditionalFormatting sqref="X8:X24">
    <cfRule type="cellIs" dxfId="653" priority="54" operator="between">
      <formula>$X$3</formula>
      <formula>$X$4</formula>
    </cfRule>
    <cfRule type="cellIs" dxfId="652" priority="41" operator="lessThanOrEqual">
      <formula>$X$2</formula>
    </cfRule>
    <cfRule type="cellIs" dxfId="651" priority="67" operator="greaterThanOrEqual">
      <formula>$X$4</formula>
    </cfRule>
  </conditionalFormatting>
  <conditionalFormatting sqref="Y8:Y24">
    <cfRule type="cellIs" dxfId="650" priority="42" operator="lessThanOrEqual">
      <formula>$Y$2</formula>
    </cfRule>
    <cfRule type="cellIs" dxfId="649" priority="55" operator="between">
      <formula>$Y$3</formula>
      <formula>$Y$4</formula>
    </cfRule>
    <cfRule type="cellIs" dxfId="648" priority="68" operator="greaterThanOrEqual">
      <formula>$Y$4</formula>
    </cfRule>
  </conditionalFormatting>
  <conditionalFormatting sqref="Z8:Z24">
    <cfRule type="cellIs" dxfId="647" priority="56" operator="between">
      <formula>$Z$3</formula>
      <formula>$Z$4</formula>
    </cfRule>
    <cfRule type="cellIs" dxfId="646" priority="43" operator="lessThanOrEqual">
      <formula>$Z$2</formula>
    </cfRule>
    <cfRule type="cellIs" dxfId="645" priority="69" operator="greaterThanOrEqual">
      <formula>$Z$4</formula>
    </cfRule>
  </conditionalFormatting>
  <conditionalFormatting sqref="AA8:AA24">
    <cfRule type="cellIs" dxfId="644" priority="57" operator="between">
      <formula>$AA$3</formula>
      <formula>$AA$4</formula>
    </cfRule>
    <cfRule type="cellIs" dxfId="643" priority="44" operator="lessThanOrEqual">
      <formula>$AA$2</formula>
    </cfRule>
    <cfRule type="cellIs" dxfId="642" priority="70" operator="greaterThanOrEqual">
      <formula>$AA$4</formula>
    </cfRule>
  </conditionalFormatting>
  <conditionalFormatting sqref="AB8:AB24">
    <cfRule type="cellIs" dxfId="641" priority="45" operator="lessThanOrEqual">
      <formula>$AB$2</formula>
    </cfRule>
    <cfRule type="cellIs" dxfId="640" priority="58" operator="between">
      <formula>$AB$3</formula>
      <formula>$AB$4</formula>
    </cfRule>
    <cfRule type="cellIs" dxfId="639" priority="71" operator="greaterThanOrEqual">
      <formula>$AB$4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000"/>
  <sheetViews>
    <sheetView workbookViewId="0">
      <selection activeCell="A46" sqref="A46:A62"/>
    </sheetView>
  </sheetViews>
  <sheetFormatPr defaultColWidth="12.61328125" defaultRowHeight="15" customHeight="1" x14ac:dyDescent="0.3"/>
  <cols>
    <col min="1" max="1" width="10.4609375" customWidth="1"/>
    <col min="2" max="2" width="2.3828125" customWidth="1"/>
    <col min="3" max="3" width="10.4609375" customWidth="1"/>
    <col min="4" max="4" width="12.61328125" customWidth="1"/>
    <col min="5" max="5" width="2.3828125" customWidth="1"/>
    <col min="6" max="6" width="10.4609375" customWidth="1"/>
    <col min="9" max="10" width="14.61328125" customWidth="1"/>
  </cols>
  <sheetData>
    <row r="1" spans="1:28" ht="15.75" customHeight="1" x14ac:dyDescent="0.3">
      <c r="A1" s="1"/>
      <c r="B1" s="2"/>
      <c r="C1" s="32" t="s">
        <v>0</v>
      </c>
      <c r="D1" s="30"/>
      <c r="E1" s="2"/>
      <c r="F1" s="3"/>
      <c r="G1" s="32" t="s">
        <v>1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ht="15.75" customHeight="1" x14ac:dyDescent="0.3">
      <c r="A2" s="33" t="s">
        <v>2</v>
      </c>
      <c r="B2" s="2"/>
      <c r="C2" s="4" t="s">
        <v>3</v>
      </c>
      <c r="D2" s="5">
        <f>D3/12</f>
        <v>1.893939393939394E-2</v>
      </c>
      <c r="E2" s="2"/>
      <c r="F2" s="4" t="s">
        <v>3</v>
      </c>
      <c r="G2" s="5">
        <f t="shared" ref="G2:AB2" si="0">G3/12</f>
        <v>9.4696969696969688</v>
      </c>
      <c r="H2" s="5">
        <f t="shared" si="0"/>
        <v>1.4204545454545452</v>
      </c>
      <c r="I2" s="5">
        <f t="shared" si="0"/>
        <v>1.8371212121212119</v>
      </c>
      <c r="J2" s="5">
        <f t="shared" si="0"/>
        <v>1.893939393939394E-2</v>
      </c>
      <c r="K2" s="5">
        <f t="shared" si="0"/>
        <v>5.1893939393939386</v>
      </c>
      <c r="L2" s="5">
        <f t="shared" si="0"/>
        <v>1.5530303030303028</v>
      </c>
      <c r="M2" s="5">
        <f t="shared" si="0"/>
        <v>1.893939393939394E-2</v>
      </c>
      <c r="N2" s="5">
        <f t="shared" si="0"/>
        <v>1.893939393939394E-2</v>
      </c>
      <c r="O2" s="5">
        <f t="shared" si="0"/>
        <v>1.893939393939394E-2</v>
      </c>
      <c r="P2" s="5">
        <f t="shared" si="0"/>
        <v>1.893939393939394E-2</v>
      </c>
      <c r="Q2" s="5">
        <f t="shared" si="0"/>
        <v>1.893939393939394E-2</v>
      </c>
      <c r="R2" s="5">
        <f t="shared" si="0"/>
        <v>1.893939393939394E-2</v>
      </c>
      <c r="S2" s="5">
        <f t="shared" si="0"/>
        <v>1.893939393939394E-2</v>
      </c>
      <c r="T2" s="5">
        <f t="shared" si="0"/>
        <v>1.893939393939394E-2</v>
      </c>
      <c r="U2" s="5">
        <f t="shared" si="0"/>
        <v>1.893939393939394E-2</v>
      </c>
      <c r="V2" s="5">
        <f t="shared" si="0"/>
        <v>1.893939393939394E-2</v>
      </c>
      <c r="W2" s="5">
        <f t="shared" si="0"/>
        <v>1.893939393939394E-2</v>
      </c>
      <c r="X2" s="5">
        <f t="shared" si="0"/>
        <v>1.893939393939394E-2</v>
      </c>
      <c r="Y2" s="5">
        <f t="shared" si="0"/>
        <v>1.893939393939394E-2</v>
      </c>
      <c r="Z2" s="5">
        <f t="shared" si="0"/>
        <v>1.893939393939394E-2</v>
      </c>
      <c r="AA2" s="5">
        <f t="shared" si="0"/>
        <v>1.893939393939394E-2</v>
      </c>
      <c r="AB2" s="5">
        <f t="shared" si="0"/>
        <v>1.893939393939394E-2</v>
      </c>
    </row>
    <row r="3" spans="1:28" ht="15.75" customHeight="1" x14ac:dyDescent="0.3">
      <c r="A3" s="30"/>
      <c r="B3" s="2"/>
      <c r="C3" s="4" t="s">
        <v>4</v>
      </c>
      <c r="D3" s="5">
        <f>D4/4.4</f>
        <v>0.22727272727272727</v>
      </c>
      <c r="E3" s="2"/>
      <c r="F3" s="4" t="s">
        <v>4</v>
      </c>
      <c r="G3" s="5">
        <f t="shared" ref="G3:AB3" si="1">G4/4.4</f>
        <v>113.63636363636363</v>
      </c>
      <c r="H3" s="5">
        <f t="shared" si="1"/>
        <v>17.045454545454543</v>
      </c>
      <c r="I3" s="5">
        <f t="shared" si="1"/>
        <v>22.045454545454543</v>
      </c>
      <c r="J3" s="5">
        <f t="shared" si="1"/>
        <v>0.22727272727272727</v>
      </c>
      <c r="K3" s="5">
        <f t="shared" si="1"/>
        <v>62.272727272727266</v>
      </c>
      <c r="L3" s="5">
        <f t="shared" si="1"/>
        <v>18.636363636363633</v>
      </c>
      <c r="M3" s="5">
        <f t="shared" si="1"/>
        <v>0.22727272727272727</v>
      </c>
      <c r="N3" s="5">
        <f t="shared" si="1"/>
        <v>0.22727272727272727</v>
      </c>
      <c r="O3" s="5">
        <f t="shared" si="1"/>
        <v>0.22727272727272727</v>
      </c>
      <c r="P3" s="5">
        <f t="shared" si="1"/>
        <v>0.22727272727272727</v>
      </c>
      <c r="Q3" s="5">
        <f t="shared" si="1"/>
        <v>0.22727272727272727</v>
      </c>
      <c r="R3" s="5">
        <f t="shared" si="1"/>
        <v>0.22727272727272727</v>
      </c>
      <c r="S3" s="5">
        <f t="shared" si="1"/>
        <v>0.22727272727272727</v>
      </c>
      <c r="T3" s="5">
        <f t="shared" si="1"/>
        <v>0.22727272727272727</v>
      </c>
      <c r="U3" s="5">
        <f t="shared" si="1"/>
        <v>0.22727272727272727</v>
      </c>
      <c r="V3" s="5">
        <f t="shared" si="1"/>
        <v>0.22727272727272727</v>
      </c>
      <c r="W3" s="5">
        <f t="shared" si="1"/>
        <v>0.22727272727272727</v>
      </c>
      <c r="X3" s="5">
        <f t="shared" si="1"/>
        <v>0.22727272727272727</v>
      </c>
      <c r="Y3" s="5">
        <f t="shared" si="1"/>
        <v>0.22727272727272727</v>
      </c>
      <c r="Z3" s="5">
        <f t="shared" si="1"/>
        <v>0.22727272727272727</v>
      </c>
      <c r="AA3" s="5">
        <f t="shared" si="1"/>
        <v>0.22727272727272727</v>
      </c>
      <c r="AB3" s="5">
        <f t="shared" si="1"/>
        <v>0.22727272727272727</v>
      </c>
    </row>
    <row r="4" spans="1:28" ht="15.75" customHeight="1" x14ac:dyDescent="0.3">
      <c r="A4" s="30"/>
      <c r="B4" s="2"/>
      <c r="C4" s="4" t="s">
        <v>5</v>
      </c>
      <c r="D4" s="6">
        <v>1</v>
      </c>
      <c r="E4" s="2"/>
      <c r="F4" s="4" t="s">
        <v>5</v>
      </c>
      <c r="G4" s="25">
        <v>500</v>
      </c>
      <c r="H4" s="26">
        <v>75</v>
      </c>
      <c r="I4" s="26">
        <v>97</v>
      </c>
      <c r="J4" s="26">
        <v>1</v>
      </c>
      <c r="K4" s="25">
        <v>274</v>
      </c>
      <c r="L4" s="26">
        <v>82</v>
      </c>
      <c r="M4" s="26">
        <v>1</v>
      </c>
      <c r="N4" s="26">
        <v>1</v>
      </c>
      <c r="O4" s="25">
        <v>1</v>
      </c>
      <c r="P4" s="26">
        <v>1</v>
      </c>
      <c r="Q4" s="26">
        <v>1</v>
      </c>
      <c r="R4" s="25">
        <v>1</v>
      </c>
      <c r="S4" s="26">
        <v>1</v>
      </c>
      <c r="T4" s="26">
        <v>1</v>
      </c>
      <c r="U4" s="26">
        <v>1</v>
      </c>
      <c r="V4" s="25">
        <v>1</v>
      </c>
      <c r="W4" s="26">
        <v>1</v>
      </c>
      <c r="X4" s="25">
        <v>1</v>
      </c>
      <c r="Y4" s="25">
        <v>1</v>
      </c>
      <c r="Z4" s="26">
        <v>1</v>
      </c>
      <c r="AA4" s="26">
        <v>1</v>
      </c>
      <c r="AB4" s="26">
        <v>1</v>
      </c>
    </row>
    <row r="5" spans="1:28" ht="25.5" customHeight="1" x14ac:dyDescent="0.3">
      <c r="A5" s="30"/>
      <c r="B5" s="2"/>
      <c r="C5" s="7" t="s">
        <v>6</v>
      </c>
      <c r="D5" s="8">
        <v>1</v>
      </c>
      <c r="E5" s="2"/>
      <c r="F5" s="7" t="s">
        <v>6</v>
      </c>
      <c r="G5" s="27">
        <v>30</v>
      </c>
      <c r="H5" s="28">
        <v>4</v>
      </c>
      <c r="I5" s="28">
        <v>18</v>
      </c>
      <c r="J5" s="28">
        <v>1</v>
      </c>
      <c r="K5" s="27">
        <v>9</v>
      </c>
      <c r="L5" s="28">
        <v>4</v>
      </c>
      <c r="M5" s="28">
        <v>1</v>
      </c>
      <c r="N5" s="28">
        <v>1</v>
      </c>
      <c r="O5" s="27">
        <v>1</v>
      </c>
      <c r="P5" s="28">
        <v>1</v>
      </c>
      <c r="Q5" s="28">
        <v>1</v>
      </c>
      <c r="R5" s="27">
        <v>1</v>
      </c>
      <c r="S5" s="28">
        <v>1</v>
      </c>
      <c r="T5" s="28">
        <v>1</v>
      </c>
      <c r="U5" s="28">
        <v>1</v>
      </c>
      <c r="V5" s="27">
        <v>1</v>
      </c>
      <c r="W5" s="28">
        <v>1</v>
      </c>
      <c r="X5" s="27">
        <v>1</v>
      </c>
      <c r="Y5" s="27">
        <v>1</v>
      </c>
      <c r="Z5" s="28">
        <v>1</v>
      </c>
      <c r="AA5" s="28">
        <v>1</v>
      </c>
      <c r="AB5" s="28">
        <v>1</v>
      </c>
    </row>
    <row r="6" spans="1:28" ht="15.75" customHeight="1" x14ac:dyDescent="0.3">
      <c r="A6" s="3"/>
      <c r="B6" s="2"/>
      <c r="C6" s="29"/>
      <c r="D6" s="30"/>
      <c r="E6" s="2"/>
      <c r="F6" s="3"/>
      <c r="G6" s="31" t="s">
        <v>7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spans="1:28" ht="15.75" customHeight="1" x14ac:dyDescent="0.3">
      <c r="A7" s="9" t="s">
        <v>8</v>
      </c>
      <c r="B7" s="2"/>
      <c r="C7" s="10" t="s">
        <v>9</v>
      </c>
      <c r="D7" s="10" t="s">
        <v>10</v>
      </c>
      <c r="E7" s="2"/>
      <c r="F7" s="10" t="s">
        <v>9</v>
      </c>
      <c r="G7" s="10" t="s">
        <v>46</v>
      </c>
      <c r="H7" s="10" t="s">
        <v>47</v>
      </c>
      <c r="I7" s="10" t="s">
        <v>48</v>
      </c>
      <c r="J7" s="10" t="s">
        <v>49</v>
      </c>
      <c r="K7" s="10" t="s">
        <v>50</v>
      </c>
      <c r="L7" s="10" t="s">
        <v>51</v>
      </c>
      <c r="M7" s="10"/>
      <c r="N7" s="10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5.75" customHeight="1" x14ac:dyDescent="0.3">
      <c r="A8" s="12">
        <f>RAW!$A$6</f>
        <v>400</v>
      </c>
      <c r="B8" s="2"/>
      <c r="C8" s="13" t="s">
        <v>19</v>
      </c>
      <c r="D8" s="14">
        <f t="shared" ref="D8:D24" si="2">($A8/D$5)/365</f>
        <v>1.095890410958904</v>
      </c>
      <c r="E8" s="2"/>
      <c r="F8" s="13" t="s">
        <v>19</v>
      </c>
      <c r="G8" s="14">
        <f t="shared" ref="G8:AB8" si="3">($A8/G$5)/365</f>
        <v>3.6529680365296809E-2</v>
      </c>
      <c r="H8" s="14">
        <f t="shared" si="3"/>
        <v>0.27397260273972601</v>
      </c>
      <c r="I8" s="14">
        <f t="shared" si="3"/>
        <v>6.0882800608828003E-2</v>
      </c>
      <c r="J8" s="14">
        <f t="shared" si="3"/>
        <v>1.095890410958904</v>
      </c>
      <c r="K8" s="14">
        <f t="shared" si="3"/>
        <v>0.12176560121765601</v>
      </c>
      <c r="L8" s="14">
        <f t="shared" si="3"/>
        <v>0.27397260273972601</v>
      </c>
      <c r="M8" s="14">
        <f t="shared" si="3"/>
        <v>1.095890410958904</v>
      </c>
      <c r="N8" s="14">
        <f t="shared" si="3"/>
        <v>1.095890410958904</v>
      </c>
      <c r="O8" s="15">
        <f t="shared" si="3"/>
        <v>1.095890410958904</v>
      </c>
      <c r="P8" s="16">
        <f t="shared" si="3"/>
        <v>1.095890410958904</v>
      </c>
      <c r="Q8" s="16">
        <f t="shared" si="3"/>
        <v>1.095890410958904</v>
      </c>
      <c r="R8" s="16">
        <f t="shared" si="3"/>
        <v>1.095890410958904</v>
      </c>
      <c r="S8" s="16">
        <f t="shared" si="3"/>
        <v>1.095890410958904</v>
      </c>
      <c r="T8" s="16">
        <f t="shared" si="3"/>
        <v>1.095890410958904</v>
      </c>
      <c r="U8" s="16">
        <f t="shared" si="3"/>
        <v>1.095890410958904</v>
      </c>
      <c r="V8" s="16">
        <f t="shared" si="3"/>
        <v>1.095890410958904</v>
      </c>
      <c r="W8" s="16">
        <f t="shared" si="3"/>
        <v>1.095890410958904</v>
      </c>
      <c r="X8" s="16">
        <f t="shared" si="3"/>
        <v>1.095890410958904</v>
      </c>
      <c r="Y8" s="16">
        <f t="shared" si="3"/>
        <v>1.095890410958904</v>
      </c>
      <c r="Z8" s="16">
        <f t="shared" si="3"/>
        <v>1.095890410958904</v>
      </c>
      <c r="AA8" s="16">
        <f t="shared" si="3"/>
        <v>1.095890410958904</v>
      </c>
      <c r="AB8" s="16">
        <f t="shared" si="3"/>
        <v>1.095890410958904</v>
      </c>
    </row>
    <row r="9" spans="1:28" ht="15.75" customHeight="1" x14ac:dyDescent="0.3">
      <c r="A9" s="12">
        <f>RAW!$A$7</f>
        <v>1200</v>
      </c>
      <c r="B9" s="2"/>
      <c r="C9" s="17" t="s">
        <v>20</v>
      </c>
      <c r="D9" s="14">
        <f t="shared" si="2"/>
        <v>3.2876712328767121</v>
      </c>
      <c r="E9" s="2"/>
      <c r="F9" s="17" t="s">
        <v>20</v>
      </c>
      <c r="G9" s="14">
        <f t="shared" ref="G9:AB9" si="4">($A9/G$5)/365</f>
        <v>0.1095890410958904</v>
      </c>
      <c r="H9" s="14">
        <f t="shared" si="4"/>
        <v>0.82191780821917804</v>
      </c>
      <c r="I9" s="14">
        <f t="shared" si="4"/>
        <v>0.18264840182648404</v>
      </c>
      <c r="J9" s="14">
        <f t="shared" si="4"/>
        <v>3.2876712328767121</v>
      </c>
      <c r="K9" s="14">
        <f t="shared" si="4"/>
        <v>0.36529680365296807</v>
      </c>
      <c r="L9" s="14">
        <f t="shared" si="4"/>
        <v>0.82191780821917804</v>
      </c>
      <c r="M9" s="14">
        <f t="shared" si="4"/>
        <v>3.2876712328767121</v>
      </c>
      <c r="N9" s="14">
        <f t="shared" si="4"/>
        <v>3.2876712328767121</v>
      </c>
      <c r="O9" s="15">
        <f t="shared" si="4"/>
        <v>3.2876712328767121</v>
      </c>
      <c r="P9" s="16">
        <f t="shared" si="4"/>
        <v>3.2876712328767121</v>
      </c>
      <c r="Q9" s="16">
        <f t="shared" si="4"/>
        <v>3.2876712328767121</v>
      </c>
      <c r="R9" s="16">
        <f t="shared" si="4"/>
        <v>3.2876712328767121</v>
      </c>
      <c r="S9" s="16">
        <f t="shared" si="4"/>
        <v>3.2876712328767121</v>
      </c>
      <c r="T9" s="16">
        <f t="shared" si="4"/>
        <v>3.2876712328767121</v>
      </c>
      <c r="U9" s="16">
        <f t="shared" si="4"/>
        <v>3.2876712328767121</v>
      </c>
      <c r="V9" s="16">
        <f t="shared" si="4"/>
        <v>3.2876712328767121</v>
      </c>
      <c r="W9" s="16">
        <f t="shared" si="4"/>
        <v>3.2876712328767121</v>
      </c>
      <c r="X9" s="16">
        <f t="shared" si="4"/>
        <v>3.2876712328767121</v>
      </c>
      <c r="Y9" s="16">
        <f t="shared" si="4"/>
        <v>3.2876712328767121</v>
      </c>
      <c r="Z9" s="16">
        <f t="shared" si="4"/>
        <v>3.2876712328767121</v>
      </c>
      <c r="AA9" s="16">
        <f t="shared" si="4"/>
        <v>3.2876712328767121</v>
      </c>
      <c r="AB9" s="16">
        <f t="shared" si="4"/>
        <v>3.2876712328767121</v>
      </c>
    </row>
    <row r="10" spans="1:28" ht="15.75" customHeight="1" x14ac:dyDescent="0.3">
      <c r="A10" s="12">
        <f>RAW!$A$8</f>
        <v>2800</v>
      </c>
      <c r="B10" s="2"/>
      <c r="C10" s="17" t="s">
        <v>21</v>
      </c>
      <c r="D10" s="14">
        <f t="shared" si="2"/>
        <v>7.6712328767123283</v>
      </c>
      <c r="E10" s="2"/>
      <c r="F10" s="17" t="s">
        <v>21</v>
      </c>
      <c r="G10" s="14">
        <f t="shared" ref="G10:AB10" si="5">($A10/G$5)/365</f>
        <v>0.25570776255707761</v>
      </c>
      <c r="H10" s="14">
        <f t="shared" si="5"/>
        <v>1.9178082191780821</v>
      </c>
      <c r="I10" s="14">
        <f t="shared" si="5"/>
        <v>0.42617960426179602</v>
      </c>
      <c r="J10" s="14">
        <f t="shared" si="5"/>
        <v>7.6712328767123283</v>
      </c>
      <c r="K10" s="14">
        <f t="shared" si="5"/>
        <v>0.85235920852359204</v>
      </c>
      <c r="L10" s="14">
        <f t="shared" si="5"/>
        <v>1.9178082191780821</v>
      </c>
      <c r="M10" s="14">
        <f t="shared" si="5"/>
        <v>7.6712328767123283</v>
      </c>
      <c r="N10" s="14">
        <f t="shared" si="5"/>
        <v>7.6712328767123283</v>
      </c>
      <c r="O10" s="15">
        <f t="shared" si="5"/>
        <v>7.6712328767123283</v>
      </c>
      <c r="P10" s="16">
        <f t="shared" si="5"/>
        <v>7.6712328767123283</v>
      </c>
      <c r="Q10" s="16">
        <f t="shared" si="5"/>
        <v>7.6712328767123283</v>
      </c>
      <c r="R10" s="16">
        <f t="shared" si="5"/>
        <v>7.6712328767123283</v>
      </c>
      <c r="S10" s="16">
        <f t="shared" si="5"/>
        <v>7.6712328767123283</v>
      </c>
      <c r="T10" s="16">
        <f t="shared" si="5"/>
        <v>7.6712328767123283</v>
      </c>
      <c r="U10" s="16">
        <f t="shared" si="5"/>
        <v>7.6712328767123283</v>
      </c>
      <c r="V10" s="16">
        <f t="shared" si="5"/>
        <v>7.6712328767123283</v>
      </c>
      <c r="W10" s="16">
        <f t="shared" si="5"/>
        <v>7.6712328767123283</v>
      </c>
      <c r="X10" s="16">
        <f t="shared" si="5"/>
        <v>7.6712328767123283</v>
      </c>
      <c r="Y10" s="16">
        <f t="shared" si="5"/>
        <v>7.6712328767123283</v>
      </c>
      <c r="Z10" s="16">
        <f t="shared" si="5"/>
        <v>7.6712328767123283</v>
      </c>
      <c r="AA10" s="16">
        <f t="shared" si="5"/>
        <v>7.6712328767123283</v>
      </c>
      <c r="AB10" s="16">
        <f t="shared" si="5"/>
        <v>7.6712328767123283</v>
      </c>
    </row>
    <row r="11" spans="1:28" ht="15.75" customHeight="1" x14ac:dyDescent="0.3">
      <c r="A11" s="12">
        <f>RAW!$A$9</f>
        <v>6000</v>
      </c>
      <c r="B11" s="2"/>
      <c r="C11" s="17" t="s">
        <v>22</v>
      </c>
      <c r="D11" s="14">
        <f t="shared" si="2"/>
        <v>16.438356164383563</v>
      </c>
      <c r="E11" s="2"/>
      <c r="F11" s="17" t="s">
        <v>22</v>
      </c>
      <c r="G11" s="14">
        <f t="shared" ref="G11:AB11" si="6">($A11/G$5)/365</f>
        <v>0.54794520547945202</v>
      </c>
      <c r="H11" s="14">
        <f t="shared" si="6"/>
        <v>4.1095890410958908</v>
      </c>
      <c r="I11" s="14">
        <f t="shared" si="6"/>
        <v>0.91324200913242004</v>
      </c>
      <c r="J11" s="14">
        <f t="shared" si="6"/>
        <v>16.438356164383563</v>
      </c>
      <c r="K11" s="14">
        <f t="shared" si="6"/>
        <v>1.8264840182648401</v>
      </c>
      <c r="L11" s="14">
        <f t="shared" si="6"/>
        <v>4.1095890410958908</v>
      </c>
      <c r="M11" s="14">
        <f t="shared" si="6"/>
        <v>16.438356164383563</v>
      </c>
      <c r="N11" s="14">
        <f t="shared" si="6"/>
        <v>16.438356164383563</v>
      </c>
      <c r="O11" s="15">
        <f t="shared" si="6"/>
        <v>16.438356164383563</v>
      </c>
      <c r="P11" s="16">
        <f t="shared" si="6"/>
        <v>16.438356164383563</v>
      </c>
      <c r="Q11" s="16">
        <f t="shared" si="6"/>
        <v>16.438356164383563</v>
      </c>
      <c r="R11" s="16">
        <f t="shared" si="6"/>
        <v>16.438356164383563</v>
      </c>
      <c r="S11" s="16">
        <f t="shared" si="6"/>
        <v>16.438356164383563</v>
      </c>
      <c r="T11" s="16">
        <f t="shared" si="6"/>
        <v>16.438356164383563</v>
      </c>
      <c r="U11" s="16">
        <f t="shared" si="6"/>
        <v>16.438356164383563</v>
      </c>
      <c r="V11" s="16">
        <f t="shared" si="6"/>
        <v>16.438356164383563</v>
      </c>
      <c r="W11" s="16">
        <f t="shared" si="6"/>
        <v>16.438356164383563</v>
      </c>
      <c r="X11" s="16">
        <f t="shared" si="6"/>
        <v>16.438356164383563</v>
      </c>
      <c r="Y11" s="16">
        <f t="shared" si="6"/>
        <v>16.438356164383563</v>
      </c>
      <c r="Z11" s="16">
        <f t="shared" si="6"/>
        <v>16.438356164383563</v>
      </c>
      <c r="AA11" s="16">
        <f t="shared" si="6"/>
        <v>16.438356164383563</v>
      </c>
      <c r="AB11" s="16">
        <f t="shared" si="6"/>
        <v>16.438356164383563</v>
      </c>
    </row>
    <row r="12" spans="1:28" ht="15.75" customHeight="1" x14ac:dyDescent="0.3">
      <c r="A12" s="12">
        <f>RAW!$A$10</f>
        <v>12400</v>
      </c>
      <c r="B12" s="2"/>
      <c r="C12" s="17" t="s">
        <v>23</v>
      </c>
      <c r="D12" s="14">
        <f t="shared" si="2"/>
        <v>33.972602739726028</v>
      </c>
      <c r="E12" s="2"/>
      <c r="F12" s="17" t="s">
        <v>23</v>
      </c>
      <c r="G12" s="14">
        <f t="shared" ref="G12:AB12" si="7">($A12/G$5)/365</f>
        <v>1.1324200913242009</v>
      </c>
      <c r="H12" s="14">
        <f t="shared" si="7"/>
        <v>8.493150684931507</v>
      </c>
      <c r="I12" s="14">
        <f t="shared" si="7"/>
        <v>1.8873668188736683</v>
      </c>
      <c r="J12" s="14">
        <f t="shared" si="7"/>
        <v>33.972602739726028</v>
      </c>
      <c r="K12" s="14">
        <f t="shared" si="7"/>
        <v>3.7747336377473366</v>
      </c>
      <c r="L12" s="14">
        <f t="shared" si="7"/>
        <v>8.493150684931507</v>
      </c>
      <c r="M12" s="14">
        <f t="shared" si="7"/>
        <v>33.972602739726028</v>
      </c>
      <c r="N12" s="14">
        <f t="shared" si="7"/>
        <v>33.972602739726028</v>
      </c>
      <c r="O12" s="15">
        <f t="shared" si="7"/>
        <v>33.972602739726028</v>
      </c>
      <c r="P12" s="16">
        <f t="shared" si="7"/>
        <v>33.972602739726028</v>
      </c>
      <c r="Q12" s="16">
        <f t="shared" si="7"/>
        <v>33.972602739726028</v>
      </c>
      <c r="R12" s="16">
        <f t="shared" si="7"/>
        <v>33.972602739726028</v>
      </c>
      <c r="S12" s="16">
        <f t="shared" si="7"/>
        <v>33.972602739726028</v>
      </c>
      <c r="T12" s="16">
        <f t="shared" si="7"/>
        <v>33.972602739726028</v>
      </c>
      <c r="U12" s="16">
        <f t="shared" si="7"/>
        <v>33.972602739726028</v>
      </c>
      <c r="V12" s="16">
        <f t="shared" si="7"/>
        <v>33.972602739726028</v>
      </c>
      <c r="W12" s="16">
        <f t="shared" si="7"/>
        <v>33.972602739726028</v>
      </c>
      <c r="X12" s="16">
        <f t="shared" si="7"/>
        <v>33.972602739726028</v>
      </c>
      <c r="Y12" s="16">
        <f t="shared" si="7"/>
        <v>33.972602739726028</v>
      </c>
      <c r="Z12" s="16">
        <f t="shared" si="7"/>
        <v>33.972602739726028</v>
      </c>
      <c r="AA12" s="16">
        <f t="shared" si="7"/>
        <v>33.972602739726028</v>
      </c>
      <c r="AB12" s="16">
        <f t="shared" si="7"/>
        <v>33.972602739726028</v>
      </c>
    </row>
    <row r="13" spans="1:28" ht="15.75" customHeight="1" x14ac:dyDescent="0.3">
      <c r="A13" s="12">
        <f>RAW!$A$11</f>
        <v>25200</v>
      </c>
      <c r="B13" s="2"/>
      <c r="C13" s="17" t="s">
        <v>24</v>
      </c>
      <c r="D13" s="14">
        <f t="shared" si="2"/>
        <v>69.041095890410958</v>
      </c>
      <c r="E13" s="2"/>
      <c r="F13" s="17" t="s">
        <v>24</v>
      </c>
      <c r="G13" s="14">
        <f t="shared" ref="G13:AB13" si="8">($A13/G$5)/365</f>
        <v>2.3013698630136985</v>
      </c>
      <c r="H13" s="14">
        <f t="shared" si="8"/>
        <v>17.260273972602739</v>
      </c>
      <c r="I13" s="14">
        <f t="shared" si="8"/>
        <v>3.8356164383561642</v>
      </c>
      <c r="J13" s="14">
        <f t="shared" si="8"/>
        <v>69.041095890410958</v>
      </c>
      <c r="K13" s="14">
        <f t="shared" si="8"/>
        <v>7.6712328767123283</v>
      </c>
      <c r="L13" s="14">
        <f t="shared" si="8"/>
        <v>17.260273972602739</v>
      </c>
      <c r="M13" s="14">
        <f t="shared" si="8"/>
        <v>69.041095890410958</v>
      </c>
      <c r="N13" s="14">
        <f t="shared" si="8"/>
        <v>69.041095890410958</v>
      </c>
      <c r="O13" s="15">
        <f t="shared" si="8"/>
        <v>69.041095890410958</v>
      </c>
      <c r="P13" s="16">
        <f t="shared" si="8"/>
        <v>69.041095890410958</v>
      </c>
      <c r="Q13" s="16">
        <f t="shared" si="8"/>
        <v>69.041095890410958</v>
      </c>
      <c r="R13" s="16">
        <f t="shared" si="8"/>
        <v>69.041095890410958</v>
      </c>
      <c r="S13" s="16">
        <f t="shared" si="8"/>
        <v>69.041095890410958</v>
      </c>
      <c r="T13" s="16">
        <f t="shared" si="8"/>
        <v>69.041095890410958</v>
      </c>
      <c r="U13" s="16">
        <f t="shared" si="8"/>
        <v>69.041095890410958</v>
      </c>
      <c r="V13" s="16">
        <f t="shared" si="8"/>
        <v>69.041095890410958</v>
      </c>
      <c r="W13" s="16">
        <f t="shared" si="8"/>
        <v>69.041095890410958</v>
      </c>
      <c r="X13" s="16">
        <f t="shared" si="8"/>
        <v>69.041095890410958</v>
      </c>
      <c r="Y13" s="16">
        <f t="shared" si="8"/>
        <v>69.041095890410958</v>
      </c>
      <c r="Z13" s="16">
        <f t="shared" si="8"/>
        <v>69.041095890410958</v>
      </c>
      <c r="AA13" s="16">
        <f t="shared" si="8"/>
        <v>69.041095890410958</v>
      </c>
      <c r="AB13" s="16">
        <f t="shared" si="8"/>
        <v>69.041095890410958</v>
      </c>
    </row>
    <row r="14" spans="1:28" ht="15.75" customHeight="1" x14ac:dyDescent="0.3">
      <c r="A14" s="12">
        <f>RAW!$A$12</f>
        <v>50800</v>
      </c>
      <c r="B14" s="2"/>
      <c r="C14" s="17" t="s">
        <v>25</v>
      </c>
      <c r="D14" s="14">
        <f t="shared" si="2"/>
        <v>139.17808219178082</v>
      </c>
      <c r="E14" s="2"/>
      <c r="F14" s="17" t="s">
        <v>25</v>
      </c>
      <c r="G14" s="14">
        <f t="shared" ref="G14:AB14" si="9">($A14/G$5)/365</f>
        <v>4.6392694063926943</v>
      </c>
      <c r="H14" s="14">
        <f t="shared" si="9"/>
        <v>34.794520547945204</v>
      </c>
      <c r="I14" s="14">
        <f t="shared" si="9"/>
        <v>7.7321156773211568</v>
      </c>
      <c r="J14" s="14">
        <f t="shared" si="9"/>
        <v>139.17808219178082</v>
      </c>
      <c r="K14" s="14">
        <f t="shared" si="9"/>
        <v>15.464231354642314</v>
      </c>
      <c r="L14" s="14">
        <f t="shared" si="9"/>
        <v>34.794520547945204</v>
      </c>
      <c r="M14" s="14">
        <f t="shared" si="9"/>
        <v>139.17808219178082</v>
      </c>
      <c r="N14" s="14">
        <f t="shared" si="9"/>
        <v>139.17808219178082</v>
      </c>
      <c r="O14" s="15">
        <f t="shared" si="9"/>
        <v>139.17808219178082</v>
      </c>
      <c r="P14" s="16">
        <f t="shared" si="9"/>
        <v>139.17808219178082</v>
      </c>
      <c r="Q14" s="16">
        <f t="shared" si="9"/>
        <v>139.17808219178082</v>
      </c>
      <c r="R14" s="16">
        <f t="shared" si="9"/>
        <v>139.17808219178082</v>
      </c>
      <c r="S14" s="16">
        <f t="shared" si="9"/>
        <v>139.17808219178082</v>
      </c>
      <c r="T14" s="16">
        <f t="shared" si="9"/>
        <v>139.17808219178082</v>
      </c>
      <c r="U14" s="16">
        <f t="shared" si="9"/>
        <v>139.17808219178082</v>
      </c>
      <c r="V14" s="16">
        <f t="shared" si="9"/>
        <v>139.17808219178082</v>
      </c>
      <c r="W14" s="16">
        <f t="shared" si="9"/>
        <v>139.17808219178082</v>
      </c>
      <c r="X14" s="16">
        <f t="shared" si="9"/>
        <v>139.17808219178082</v>
      </c>
      <c r="Y14" s="16">
        <f t="shared" si="9"/>
        <v>139.17808219178082</v>
      </c>
      <c r="Z14" s="16">
        <f t="shared" si="9"/>
        <v>139.17808219178082</v>
      </c>
      <c r="AA14" s="16">
        <f t="shared" si="9"/>
        <v>139.17808219178082</v>
      </c>
      <c r="AB14" s="16">
        <f t="shared" si="9"/>
        <v>139.17808219178082</v>
      </c>
    </row>
    <row r="15" spans="1:28" ht="15.75" customHeight="1" x14ac:dyDescent="0.3">
      <c r="A15" s="12">
        <f>RAW!$A$13</f>
        <v>102000</v>
      </c>
      <c r="B15" s="2"/>
      <c r="C15" s="17" t="s">
        <v>26</v>
      </c>
      <c r="D15" s="14">
        <f t="shared" si="2"/>
        <v>279.45205479452056</v>
      </c>
      <c r="E15" s="2"/>
      <c r="F15" s="17" t="s">
        <v>26</v>
      </c>
      <c r="G15" s="14">
        <f t="shared" ref="G15:AB15" si="10">($A15/G$5)/365</f>
        <v>9.3150684931506849</v>
      </c>
      <c r="H15" s="14">
        <f t="shared" si="10"/>
        <v>69.863013698630141</v>
      </c>
      <c r="I15" s="14">
        <f t="shared" si="10"/>
        <v>15.525114155251142</v>
      </c>
      <c r="J15" s="14">
        <f t="shared" si="10"/>
        <v>279.45205479452056</v>
      </c>
      <c r="K15" s="14">
        <f t="shared" si="10"/>
        <v>31.050228310502284</v>
      </c>
      <c r="L15" s="14">
        <f t="shared" si="10"/>
        <v>69.863013698630141</v>
      </c>
      <c r="M15" s="14">
        <f t="shared" si="10"/>
        <v>279.45205479452056</v>
      </c>
      <c r="N15" s="14">
        <f t="shared" si="10"/>
        <v>279.45205479452056</v>
      </c>
      <c r="O15" s="15">
        <f t="shared" si="10"/>
        <v>279.45205479452056</v>
      </c>
      <c r="P15" s="16">
        <f t="shared" si="10"/>
        <v>279.45205479452056</v>
      </c>
      <c r="Q15" s="16">
        <f t="shared" si="10"/>
        <v>279.45205479452056</v>
      </c>
      <c r="R15" s="16">
        <f t="shared" si="10"/>
        <v>279.45205479452056</v>
      </c>
      <c r="S15" s="16">
        <f t="shared" si="10"/>
        <v>279.45205479452056</v>
      </c>
      <c r="T15" s="16">
        <f t="shared" si="10"/>
        <v>279.45205479452056</v>
      </c>
      <c r="U15" s="16">
        <f t="shared" si="10"/>
        <v>279.45205479452056</v>
      </c>
      <c r="V15" s="16">
        <f t="shared" si="10"/>
        <v>279.45205479452056</v>
      </c>
      <c r="W15" s="16">
        <f t="shared" si="10"/>
        <v>279.45205479452056</v>
      </c>
      <c r="X15" s="16">
        <f t="shared" si="10"/>
        <v>279.45205479452056</v>
      </c>
      <c r="Y15" s="16">
        <f t="shared" si="10"/>
        <v>279.45205479452056</v>
      </c>
      <c r="Z15" s="16">
        <f t="shared" si="10"/>
        <v>279.45205479452056</v>
      </c>
      <c r="AA15" s="16">
        <f t="shared" si="10"/>
        <v>279.45205479452056</v>
      </c>
      <c r="AB15" s="16">
        <f t="shared" si="10"/>
        <v>279.45205479452056</v>
      </c>
    </row>
    <row r="16" spans="1:28" ht="15.75" customHeight="1" x14ac:dyDescent="0.3">
      <c r="A16" s="12">
        <f>RAW!$A$14</f>
        <v>204400</v>
      </c>
      <c r="B16" s="2"/>
      <c r="C16" s="17" t="s">
        <v>27</v>
      </c>
      <c r="D16" s="14">
        <f t="shared" si="2"/>
        <v>560</v>
      </c>
      <c r="E16" s="2"/>
      <c r="F16" s="17" t="s">
        <v>27</v>
      </c>
      <c r="G16" s="14">
        <f t="shared" ref="G16:AB16" si="11">($A16/G$5)/365</f>
        <v>18.666666666666664</v>
      </c>
      <c r="H16" s="14">
        <f t="shared" si="11"/>
        <v>140</v>
      </c>
      <c r="I16" s="14">
        <f t="shared" si="11"/>
        <v>31.111111111111107</v>
      </c>
      <c r="J16" s="14">
        <f t="shared" si="11"/>
        <v>560</v>
      </c>
      <c r="K16" s="14">
        <f t="shared" si="11"/>
        <v>62.222222222222214</v>
      </c>
      <c r="L16" s="14">
        <f t="shared" si="11"/>
        <v>140</v>
      </c>
      <c r="M16" s="14">
        <f t="shared" si="11"/>
        <v>560</v>
      </c>
      <c r="N16" s="14">
        <f t="shared" si="11"/>
        <v>560</v>
      </c>
      <c r="O16" s="15">
        <f t="shared" si="11"/>
        <v>560</v>
      </c>
      <c r="P16" s="16">
        <f t="shared" si="11"/>
        <v>560</v>
      </c>
      <c r="Q16" s="16">
        <f t="shared" si="11"/>
        <v>560</v>
      </c>
      <c r="R16" s="16">
        <f t="shared" si="11"/>
        <v>560</v>
      </c>
      <c r="S16" s="16">
        <f t="shared" si="11"/>
        <v>560</v>
      </c>
      <c r="T16" s="16">
        <f t="shared" si="11"/>
        <v>560</v>
      </c>
      <c r="U16" s="16">
        <f t="shared" si="11"/>
        <v>560</v>
      </c>
      <c r="V16" s="16">
        <f t="shared" si="11"/>
        <v>560</v>
      </c>
      <c r="W16" s="16">
        <f t="shared" si="11"/>
        <v>560</v>
      </c>
      <c r="X16" s="16">
        <f t="shared" si="11"/>
        <v>560</v>
      </c>
      <c r="Y16" s="16">
        <f t="shared" si="11"/>
        <v>560</v>
      </c>
      <c r="Z16" s="16">
        <f t="shared" si="11"/>
        <v>560</v>
      </c>
      <c r="AA16" s="16">
        <f t="shared" si="11"/>
        <v>560</v>
      </c>
      <c r="AB16" s="16">
        <f t="shared" si="11"/>
        <v>560</v>
      </c>
    </row>
    <row r="17" spans="1:28" ht="15.75" customHeight="1" x14ac:dyDescent="0.3">
      <c r="A17" s="12">
        <f>RAW!$A$15</f>
        <v>409200</v>
      </c>
      <c r="B17" s="2"/>
      <c r="C17" s="17" t="s">
        <v>28</v>
      </c>
      <c r="D17" s="14">
        <f t="shared" si="2"/>
        <v>1121.0958904109589</v>
      </c>
      <c r="E17" s="2"/>
      <c r="F17" s="17" t="s">
        <v>28</v>
      </c>
      <c r="G17" s="14">
        <f t="shared" ref="G17:AB17" si="12">($A17/G$5)/365</f>
        <v>37.369863013698627</v>
      </c>
      <c r="H17" s="14">
        <f t="shared" si="12"/>
        <v>280.27397260273972</v>
      </c>
      <c r="I17" s="14">
        <f t="shared" si="12"/>
        <v>62.283105022831045</v>
      </c>
      <c r="J17" s="14">
        <f t="shared" si="12"/>
        <v>1121.0958904109589</v>
      </c>
      <c r="K17" s="14">
        <f t="shared" si="12"/>
        <v>124.56621004566209</v>
      </c>
      <c r="L17" s="14">
        <f t="shared" si="12"/>
        <v>280.27397260273972</v>
      </c>
      <c r="M17" s="14">
        <f t="shared" si="12"/>
        <v>1121.0958904109589</v>
      </c>
      <c r="N17" s="14">
        <f t="shared" si="12"/>
        <v>1121.0958904109589</v>
      </c>
      <c r="O17" s="15">
        <f t="shared" si="12"/>
        <v>1121.0958904109589</v>
      </c>
      <c r="P17" s="16">
        <f t="shared" si="12"/>
        <v>1121.0958904109589</v>
      </c>
      <c r="Q17" s="16">
        <f t="shared" si="12"/>
        <v>1121.0958904109589</v>
      </c>
      <c r="R17" s="16">
        <f t="shared" si="12"/>
        <v>1121.0958904109589</v>
      </c>
      <c r="S17" s="16">
        <f t="shared" si="12"/>
        <v>1121.0958904109589</v>
      </c>
      <c r="T17" s="16">
        <f t="shared" si="12"/>
        <v>1121.0958904109589</v>
      </c>
      <c r="U17" s="16">
        <f t="shared" si="12"/>
        <v>1121.0958904109589</v>
      </c>
      <c r="V17" s="16">
        <f t="shared" si="12"/>
        <v>1121.0958904109589</v>
      </c>
      <c r="W17" s="16">
        <f t="shared" si="12"/>
        <v>1121.0958904109589</v>
      </c>
      <c r="X17" s="16">
        <f t="shared" si="12"/>
        <v>1121.0958904109589</v>
      </c>
      <c r="Y17" s="16">
        <f t="shared" si="12"/>
        <v>1121.0958904109589</v>
      </c>
      <c r="Z17" s="16">
        <f t="shared" si="12"/>
        <v>1121.0958904109589</v>
      </c>
      <c r="AA17" s="16">
        <f t="shared" si="12"/>
        <v>1121.0958904109589</v>
      </c>
      <c r="AB17" s="16">
        <f t="shared" si="12"/>
        <v>1121.0958904109589</v>
      </c>
    </row>
    <row r="18" spans="1:28" ht="15.75" customHeight="1" x14ac:dyDescent="0.3">
      <c r="A18" s="12">
        <f>RAW!$A$16</f>
        <v>818800</v>
      </c>
      <c r="B18" s="2"/>
      <c r="C18" s="17" t="s">
        <v>29</v>
      </c>
      <c r="D18" s="14">
        <f t="shared" si="2"/>
        <v>2243.2876712328766</v>
      </c>
      <c r="E18" s="2"/>
      <c r="F18" s="17" t="s">
        <v>29</v>
      </c>
      <c r="G18" s="14">
        <f t="shared" ref="G18:AB18" si="13">($A18/G$5)/365</f>
        <v>74.776255707762559</v>
      </c>
      <c r="H18" s="14">
        <f t="shared" si="13"/>
        <v>560.82191780821915</v>
      </c>
      <c r="I18" s="14">
        <f t="shared" si="13"/>
        <v>124.62709284627093</v>
      </c>
      <c r="J18" s="14">
        <f t="shared" si="13"/>
        <v>2243.2876712328766</v>
      </c>
      <c r="K18" s="14">
        <f t="shared" si="13"/>
        <v>249.25418569254185</v>
      </c>
      <c r="L18" s="14">
        <f t="shared" si="13"/>
        <v>560.82191780821915</v>
      </c>
      <c r="M18" s="14">
        <f t="shared" si="13"/>
        <v>2243.2876712328766</v>
      </c>
      <c r="N18" s="14">
        <f t="shared" si="13"/>
        <v>2243.2876712328766</v>
      </c>
      <c r="O18" s="15">
        <f t="shared" si="13"/>
        <v>2243.2876712328766</v>
      </c>
      <c r="P18" s="16">
        <f t="shared" si="13"/>
        <v>2243.2876712328766</v>
      </c>
      <c r="Q18" s="16">
        <f t="shared" si="13"/>
        <v>2243.2876712328766</v>
      </c>
      <c r="R18" s="16">
        <f t="shared" si="13"/>
        <v>2243.2876712328766</v>
      </c>
      <c r="S18" s="16">
        <f t="shared" si="13"/>
        <v>2243.2876712328766</v>
      </c>
      <c r="T18" s="16">
        <f t="shared" si="13"/>
        <v>2243.2876712328766</v>
      </c>
      <c r="U18" s="16">
        <f t="shared" si="13"/>
        <v>2243.2876712328766</v>
      </c>
      <c r="V18" s="16">
        <f t="shared" si="13"/>
        <v>2243.2876712328766</v>
      </c>
      <c r="W18" s="16">
        <f t="shared" si="13"/>
        <v>2243.2876712328766</v>
      </c>
      <c r="X18" s="16">
        <f t="shared" si="13"/>
        <v>2243.2876712328766</v>
      </c>
      <c r="Y18" s="16">
        <f t="shared" si="13"/>
        <v>2243.2876712328766</v>
      </c>
      <c r="Z18" s="16">
        <f t="shared" si="13"/>
        <v>2243.2876712328766</v>
      </c>
      <c r="AA18" s="16">
        <f t="shared" si="13"/>
        <v>2243.2876712328766</v>
      </c>
      <c r="AB18" s="16">
        <f t="shared" si="13"/>
        <v>2243.2876712328766</v>
      </c>
    </row>
    <row r="19" spans="1:28" ht="15.75" customHeight="1" x14ac:dyDescent="0.3">
      <c r="A19" s="12">
        <f>RAW!$A$17</f>
        <v>1638000</v>
      </c>
      <c r="B19" s="2"/>
      <c r="C19" s="17" t="s">
        <v>30</v>
      </c>
      <c r="D19" s="14">
        <f t="shared" si="2"/>
        <v>4487.6712328767126</v>
      </c>
      <c r="E19" s="2"/>
      <c r="F19" s="17" t="s">
        <v>30</v>
      </c>
      <c r="G19" s="14">
        <f t="shared" ref="G19:AB19" si="14">($A19/G$5)/365</f>
        <v>149.58904109589042</v>
      </c>
      <c r="H19" s="14">
        <f t="shared" si="14"/>
        <v>1121.9178082191781</v>
      </c>
      <c r="I19" s="14">
        <f t="shared" si="14"/>
        <v>249.31506849315068</v>
      </c>
      <c r="J19" s="14">
        <f t="shared" si="14"/>
        <v>4487.6712328767126</v>
      </c>
      <c r="K19" s="14">
        <f t="shared" si="14"/>
        <v>498.63013698630135</v>
      </c>
      <c r="L19" s="14">
        <f t="shared" si="14"/>
        <v>1121.9178082191781</v>
      </c>
      <c r="M19" s="14">
        <f t="shared" si="14"/>
        <v>4487.6712328767126</v>
      </c>
      <c r="N19" s="14">
        <f t="shared" si="14"/>
        <v>4487.6712328767126</v>
      </c>
      <c r="O19" s="15">
        <f t="shared" si="14"/>
        <v>4487.6712328767126</v>
      </c>
      <c r="P19" s="16">
        <f t="shared" si="14"/>
        <v>4487.6712328767126</v>
      </c>
      <c r="Q19" s="16">
        <f t="shared" si="14"/>
        <v>4487.6712328767126</v>
      </c>
      <c r="R19" s="16">
        <f t="shared" si="14"/>
        <v>4487.6712328767126</v>
      </c>
      <c r="S19" s="16">
        <f t="shared" si="14"/>
        <v>4487.6712328767126</v>
      </c>
      <c r="T19" s="16">
        <f t="shared" si="14"/>
        <v>4487.6712328767126</v>
      </c>
      <c r="U19" s="16">
        <f t="shared" si="14"/>
        <v>4487.6712328767126</v>
      </c>
      <c r="V19" s="16">
        <f t="shared" si="14"/>
        <v>4487.6712328767126</v>
      </c>
      <c r="W19" s="16">
        <f t="shared" si="14"/>
        <v>4487.6712328767126</v>
      </c>
      <c r="X19" s="16">
        <f t="shared" si="14"/>
        <v>4487.6712328767126</v>
      </c>
      <c r="Y19" s="16">
        <f t="shared" si="14"/>
        <v>4487.6712328767126</v>
      </c>
      <c r="Z19" s="16">
        <f t="shared" si="14"/>
        <v>4487.6712328767126</v>
      </c>
      <c r="AA19" s="16">
        <f t="shared" si="14"/>
        <v>4487.6712328767126</v>
      </c>
      <c r="AB19" s="16">
        <f t="shared" si="14"/>
        <v>4487.6712328767126</v>
      </c>
    </row>
    <row r="20" spans="1:28" ht="15.75" customHeight="1" x14ac:dyDescent="0.3">
      <c r="A20" s="12">
        <f>RAW!$A$18</f>
        <v>3276400</v>
      </c>
      <c r="B20" s="2"/>
      <c r="C20" s="17" t="s">
        <v>31</v>
      </c>
      <c r="D20" s="14">
        <f t="shared" si="2"/>
        <v>8976.4383561643845</v>
      </c>
      <c r="E20" s="2"/>
      <c r="F20" s="17" t="s">
        <v>31</v>
      </c>
      <c r="G20" s="14">
        <f t="shared" ref="G20:AB20" si="15">($A20/G$5)/365</f>
        <v>299.21461187214612</v>
      </c>
      <c r="H20" s="14">
        <f t="shared" si="15"/>
        <v>2244.1095890410961</v>
      </c>
      <c r="I20" s="14">
        <f t="shared" si="15"/>
        <v>498.6910197869102</v>
      </c>
      <c r="J20" s="14">
        <f t="shared" si="15"/>
        <v>8976.4383561643845</v>
      </c>
      <c r="K20" s="14">
        <f t="shared" si="15"/>
        <v>997.38203957382041</v>
      </c>
      <c r="L20" s="14">
        <f t="shared" si="15"/>
        <v>2244.1095890410961</v>
      </c>
      <c r="M20" s="14">
        <f t="shared" si="15"/>
        <v>8976.4383561643845</v>
      </c>
      <c r="N20" s="14">
        <f t="shared" si="15"/>
        <v>8976.4383561643845</v>
      </c>
      <c r="O20" s="15">
        <f t="shared" si="15"/>
        <v>8976.4383561643845</v>
      </c>
      <c r="P20" s="16">
        <f t="shared" si="15"/>
        <v>8976.4383561643845</v>
      </c>
      <c r="Q20" s="16">
        <f t="shared" si="15"/>
        <v>8976.4383561643845</v>
      </c>
      <c r="R20" s="16">
        <f t="shared" si="15"/>
        <v>8976.4383561643845</v>
      </c>
      <c r="S20" s="16">
        <f t="shared" si="15"/>
        <v>8976.4383561643845</v>
      </c>
      <c r="T20" s="16">
        <f t="shared" si="15"/>
        <v>8976.4383561643845</v>
      </c>
      <c r="U20" s="16">
        <f t="shared" si="15"/>
        <v>8976.4383561643845</v>
      </c>
      <c r="V20" s="16">
        <f t="shared" si="15"/>
        <v>8976.4383561643845</v>
      </c>
      <c r="W20" s="16">
        <f t="shared" si="15"/>
        <v>8976.4383561643845</v>
      </c>
      <c r="X20" s="16">
        <f t="shared" si="15"/>
        <v>8976.4383561643845</v>
      </c>
      <c r="Y20" s="16">
        <f t="shared" si="15"/>
        <v>8976.4383561643845</v>
      </c>
      <c r="Z20" s="16">
        <f t="shared" si="15"/>
        <v>8976.4383561643845</v>
      </c>
      <c r="AA20" s="16">
        <f t="shared" si="15"/>
        <v>8976.4383561643845</v>
      </c>
      <c r="AB20" s="16">
        <f t="shared" si="15"/>
        <v>8976.4383561643845</v>
      </c>
    </row>
    <row r="21" spans="1:28" ht="15.75" customHeight="1" x14ac:dyDescent="0.3">
      <c r="A21" s="12">
        <f>RAW!$A$19</f>
        <v>6553200</v>
      </c>
      <c r="B21" s="2"/>
      <c r="C21" s="17" t="s">
        <v>32</v>
      </c>
      <c r="D21" s="14">
        <f t="shared" si="2"/>
        <v>17953.972602739726</v>
      </c>
      <c r="E21" s="2"/>
      <c r="F21" s="17" t="s">
        <v>32</v>
      </c>
      <c r="G21" s="14">
        <f t="shared" ref="G21:AB21" si="16">($A21/G$5)/365</f>
        <v>598.46575342465758</v>
      </c>
      <c r="H21" s="14">
        <f t="shared" si="16"/>
        <v>4488.4931506849316</v>
      </c>
      <c r="I21" s="14">
        <f t="shared" si="16"/>
        <v>997.44292237442926</v>
      </c>
      <c r="J21" s="14">
        <f t="shared" si="16"/>
        <v>17953.972602739726</v>
      </c>
      <c r="K21" s="14">
        <f t="shared" si="16"/>
        <v>1994.8858447488585</v>
      </c>
      <c r="L21" s="14">
        <f t="shared" si="16"/>
        <v>4488.4931506849316</v>
      </c>
      <c r="M21" s="14">
        <f t="shared" si="16"/>
        <v>17953.972602739726</v>
      </c>
      <c r="N21" s="14">
        <f t="shared" si="16"/>
        <v>17953.972602739726</v>
      </c>
      <c r="O21" s="15">
        <f t="shared" si="16"/>
        <v>17953.972602739726</v>
      </c>
      <c r="P21" s="16">
        <f t="shared" si="16"/>
        <v>17953.972602739726</v>
      </c>
      <c r="Q21" s="16">
        <f t="shared" si="16"/>
        <v>17953.972602739726</v>
      </c>
      <c r="R21" s="16">
        <f t="shared" si="16"/>
        <v>17953.972602739726</v>
      </c>
      <c r="S21" s="16">
        <f t="shared" si="16"/>
        <v>17953.972602739726</v>
      </c>
      <c r="T21" s="16">
        <f t="shared" si="16"/>
        <v>17953.972602739726</v>
      </c>
      <c r="U21" s="16">
        <f t="shared" si="16"/>
        <v>17953.972602739726</v>
      </c>
      <c r="V21" s="16">
        <f t="shared" si="16"/>
        <v>17953.972602739726</v>
      </c>
      <c r="W21" s="16">
        <f t="shared" si="16"/>
        <v>17953.972602739726</v>
      </c>
      <c r="X21" s="16">
        <f t="shared" si="16"/>
        <v>17953.972602739726</v>
      </c>
      <c r="Y21" s="16">
        <f t="shared" si="16"/>
        <v>17953.972602739726</v>
      </c>
      <c r="Z21" s="16">
        <f t="shared" si="16"/>
        <v>17953.972602739726</v>
      </c>
      <c r="AA21" s="16">
        <f t="shared" si="16"/>
        <v>17953.972602739726</v>
      </c>
      <c r="AB21" s="16">
        <f t="shared" si="16"/>
        <v>17953.972602739726</v>
      </c>
    </row>
    <row r="22" spans="1:28" ht="15.75" customHeight="1" x14ac:dyDescent="0.3">
      <c r="A22" s="12">
        <f>RAW!$A$20</f>
        <v>13106800</v>
      </c>
      <c r="B22" s="2"/>
      <c r="C22" s="17" t="s">
        <v>33</v>
      </c>
      <c r="D22" s="14">
        <f t="shared" si="2"/>
        <v>35909.04109589041</v>
      </c>
      <c r="E22" s="2"/>
      <c r="F22" s="17" t="s">
        <v>33</v>
      </c>
      <c r="G22" s="14">
        <f t="shared" ref="G22:AB22" si="17">($A22/G$5)/365</f>
        <v>1196.9680365296804</v>
      </c>
      <c r="H22" s="14">
        <f t="shared" si="17"/>
        <v>8977.2602739726026</v>
      </c>
      <c r="I22" s="14">
        <f t="shared" si="17"/>
        <v>1994.9467275494671</v>
      </c>
      <c r="J22" s="14">
        <f t="shared" si="17"/>
        <v>35909.04109589041</v>
      </c>
      <c r="K22" s="14">
        <f t="shared" si="17"/>
        <v>3989.8934550989343</v>
      </c>
      <c r="L22" s="14">
        <f t="shared" si="17"/>
        <v>8977.2602739726026</v>
      </c>
      <c r="M22" s="14">
        <f t="shared" si="17"/>
        <v>35909.04109589041</v>
      </c>
      <c r="N22" s="14">
        <f t="shared" si="17"/>
        <v>35909.04109589041</v>
      </c>
      <c r="O22" s="15">
        <f t="shared" si="17"/>
        <v>35909.04109589041</v>
      </c>
      <c r="P22" s="16">
        <f t="shared" si="17"/>
        <v>35909.04109589041</v>
      </c>
      <c r="Q22" s="16">
        <f t="shared" si="17"/>
        <v>35909.04109589041</v>
      </c>
      <c r="R22" s="16">
        <f t="shared" si="17"/>
        <v>35909.04109589041</v>
      </c>
      <c r="S22" s="16">
        <f t="shared" si="17"/>
        <v>35909.04109589041</v>
      </c>
      <c r="T22" s="16">
        <f t="shared" si="17"/>
        <v>35909.04109589041</v>
      </c>
      <c r="U22" s="16">
        <f t="shared" si="17"/>
        <v>35909.04109589041</v>
      </c>
      <c r="V22" s="16">
        <f t="shared" si="17"/>
        <v>35909.04109589041</v>
      </c>
      <c r="W22" s="16">
        <f t="shared" si="17"/>
        <v>35909.04109589041</v>
      </c>
      <c r="X22" s="16">
        <f t="shared" si="17"/>
        <v>35909.04109589041</v>
      </c>
      <c r="Y22" s="16">
        <f t="shared" si="17"/>
        <v>35909.04109589041</v>
      </c>
      <c r="Z22" s="16">
        <f t="shared" si="17"/>
        <v>35909.04109589041</v>
      </c>
      <c r="AA22" s="16">
        <f t="shared" si="17"/>
        <v>35909.04109589041</v>
      </c>
      <c r="AB22" s="16">
        <f t="shared" si="17"/>
        <v>35909.04109589041</v>
      </c>
    </row>
    <row r="23" spans="1:28" ht="15.75" customHeight="1" x14ac:dyDescent="0.3">
      <c r="A23" s="12">
        <f>RAW!$A$21</f>
        <v>26214000</v>
      </c>
      <c r="B23" s="2"/>
      <c r="C23" s="17" t="s">
        <v>34</v>
      </c>
      <c r="D23" s="14">
        <f t="shared" si="2"/>
        <v>71819.178082191778</v>
      </c>
      <c r="E23" s="2"/>
      <c r="F23" s="17" t="s">
        <v>34</v>
      </c>
      <c r="G23" s="14">
        <f t="shared" ref="G23:AB23" si="18">($A23/G$5)/365</f>
        <v>2393.972602739726</v>
      </c>
      <c r="H23" s="14">
        <f t="shared" si="18"/>
        <v>17954.794520547945</v>
      </c>
      <c r="I23" s="14">
        <f t="shared" si="18"/>
        <v>3989.9543378995431</v>
      </c>
      <c r="J23" s="14">
        <f t="shared" si="18"/>
        <v>71819.178082191778</v>
      </c>
      <c r="K23" s="14">
        <f t="shared" si="18"/>
        <v>7979.9086757990863</v>
      </c>
      <c r="L23" s="14">
        <f t="shared" si="18"/>
        <v>17954.794520547945</v>
      </c>
      <c r="M23" s="14">
        <f t="shared" si="18"/>
        <v>71819.178082191778</v>
      </c>
      <c r="N23" s="14">
        <f t="shared" si="18"/>
        <v>71819.178082191778</v>
      </c>
      <c r="O23" s="15">
        <f t="shared" si="18"/>
        <v>71819.178082191778</v>
      </c>
      <c r="P23" s="16">
        <f t="shared" si="18"/>
        <v>71819.178082191778</v>
      </c>
      <c r="Q23" s="16">
        <f t="shared" si="18"/>
        <v>71819.178082191778</v>
      </c>
      <c r="R23" s="16">
        <f t="shared" si="18"/>
        <v>71819.178082191778</v>
      </c>
      <c r="S23" s="16">
        <f t="shared" si="18"/>
        <v>71819.178082191778</v>
      </c>
      <c r="T23" s="16">
        <f t="shared" si="18"/>
        <v>71819.178082191778</v>
      </c>
      <c r="U23" s="16">
        <f t="shared" si="18"/>
        <v>71819.178082191778</v>
      </c>
      <c r="V23" s="16">
        <f t="shared" si="18"/>
        <v>71819.178082191778</v>
      </c>
      <c r="W23" s="16">
        <f t="shared" si="18"/>
        <v>71819.178082191778</v>
      </c>
      <c r="X23" s="16">
        <f t="shared" si="18"/>
        <v>71819.178082191778</v>
      </c>
      <c r="Y23" s="16">
        <f t="shared" si="18"/>
        <v>71819.178082191778</v>
      </c>
      <c r="Z23" s="16">
        <f t="shared" si="18"/>
        <v>71819.178082191778</v>
      </c>
      <c r="AA23" s="16">
        <f t="shared" si="18"/>
        <v>71819.178082191778</v>
      </c>
      <c r="AB23" s="16">
        <f t="shared" si="18"/>
        <v>71819.178082191778</v>
      </c>
    </row>
    <row r="24" spans="1:28" ht="15.75" customHeight="1" x14ac:dyDescent="0.3">
      <c r="A24" s="12">
        <f>RAW!$A$22</f>
        <v>52428400</v>
      </c>
      <c r="B24" s="2"/>
      <c r="C24" s="17" t="s">
        <v>35</v>
      </c>
      <c r="D24" s="14">
        <f t="shared" si="2"/>
        <v>143639.45205479453</v>
      </c>
      <c r="E24" s="2"/>
      <c r="F24" s="17" t="s">
        <v>35</v>
      </c>
      <c r="G24" s="14">
        <f t="shared" ref="G24:AB24" si="19">($A24/G$5)/365</f>
        <v>4787.9817351598167</v>
      </c>
      <c r="H24" s="14">
        <f t="shared" si="19"/>
        <v>35909.863013698632</v>
      </c>
      <c r="I24" s="14">
        <f t="shared" si="19"/>
        <v>7979.969558599696</v>
      </c>
      <c r="J24" s="14">
        <f t="shared" si="19"/>
        <v>143639.45205479453</v>
      </c>
      <c r="K24" s="14">
        <f t="shared" si="19"/>
        <v>15959.939117199392</v>
      </c>
      <c r="L24" s="14">
        <f t="shared" si="19"/>
        <v>35909.863013698632</v>
      </c>
      <c r="M24" s="14">
        <f t="shared" si="19"/>
        <v>143639.45205479453</v>
      </c>
      <c r="N24" s="14">
        <f t="shared" si="19"/>
        <v>143639.45205479453</v>
      </c>
      <c r="O24" s="15">
        <f t="shared" si="19"/>
        <v>143639.45205479453</v>
      </c>
      <c r="P24" s="16">
        <f t="shared" si="19"/>
        <v>143639.45205479453</v>
      </c>
      <c r="Q24" s="16">
        <f t="shared" si="19"/>
        <v>143639.45205479453</v>
      </c>
      <c r="R24" s="16">
        <f t="shared" si="19"/>
        <v>143639.45205479453</v>
      </c>
      <c r="S24" s="16">
        <f t="shared" si="19"/>
        <v>143639.45205479453</v>
      </c>
      <c r="T24" s="16">
        <f t="shared" si="19"/>
        <v>143639.45205479453</v>
      </c>
      <c r="U24" s="16">
        <f t="shared" si="19"/>
        <v>143639.45205479453</v>
      </c>
      <c r="V24" s="16">
        <f t="shared" si="19"/>
        <v>143639.45205479453</v>
      </c>
      <c r="W24" s="16">
        <f t="shared" si="19"/>
        <v>143639.45205479453</v>
      </c>
      <c r="X24" s="16">
        <f t="shared" si="19"/>
        <v>143639.45205479453</v>
      </c>
      <c r="Y24" s="16">
        <f t="shared" si="19"/>
        <v>143639.45205479453</v>
      </c>
      <c r="Z24" s="16">
        <f t="shared" si="19"/>
        <v>143639.45205479453</v>
      </c>
      <c r="AA24" s="16">
        <f t="shared" si="19"/>
        <v>143639.45205479453</v>
      </c>
      <c r="AB24" s="16">
        <f t="shared" si="19"/>
        <v>143639.45205479453</v>
      </c>
    </row>
    <row r="25" spans="1:28" ht="15.75" customHeight="1" x14ac:dyDescent="0.3">
      <c r="A25" s="3"/>
      <c r="B25" s="2"/>
      <c r="C25" s="29"/>
      <c r="D25" s="30"/>
      <c r="E25" s="2"/>
      <c r="F25" s="3"/>
      <c r="G25" s="31" t="s">
        <v>36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28" ht="15.75" customHeight="1" x14ac:dyDescent="0.3">
      <c r="A26" s="19" t="s">
        <v>37</v>
      </c>
      <c r="B26" s="2"/>
      <c r="C26" s="10" t="s">
        <v>9</v>
      </c>
      <c r="D26" s="10" t="s">
        <v>10</v>
      </c>
      <c r="E26" s="2"/>
      <c r="F26" s="20" t="s">
        <v>9</v>
      </c>
      <c r="G26" s="11" t="str">
        <f t="shared" ref="G26:AB26" si="20">G7</f>
        <v>Kozaku</v>
      </c>
      <c r="H26" s="11" t="str">
        <f t="shared" si="20"/>
        <v>Laura</v>
      </c>
      <c r="I26" s="11" t="str">
        <f t="shared" si="20"/>
        <v>Yosuke</v>
      </c>
      <c r="J26" s="11" t="str">
        <f t="shared" si="20"/>
        <v>Rimir</v>
      </c>
      <c r="K26" s="11" t="str">
        <f t="shared" si="20"/>
        <v>Francisco</v>
      </c>
      <c r="L26" s="11" t="str">
        <f t="shared" si="20"/>
        <v>Biny</v>
      </c>
      <c r="M26" s="11">
        <f t="shared" si="20"/>
        <v>0</v>
      </c>
      <c r="N26" s="11">
        <f t="shared" si="20"/>
        <v>0</v>
      </c>
      <c r="O26" s="11">
        <f t="shared" si="20"/>
        <v>0</v>
      </c>
      <c r="P26" s="11">
        <f t="shared" si="20"/>
        <v>0</v>
      </c>
      <c r="Q26" s="11">
        <f t="shared" si="20"/>
        <v>0</v>
      </c>
      <c r="R26" s="11">
        <f t="shared" si="20"/>
        <v>0</v>
      </c>
      <c r="S26" s="11">
        <f t="shared" si="20"/>
        <v>0</v>
      </c>
      <c r="T26" s="11">
        <f t="shared" si="20"/>
        <v>0</v>
      </c>
      <c r="U26" s="11">
        <f t="shared" si="20"/>
        <v>0</v>
      </c>
      <c r="V26" s="11">
        <f t="shared" si="20"/>
        <v>0</v>
      </c>
      <c r="W26" s="11">
        <f t="shared" si="20"/>
        <v>0</v>
      </c>
      <c r="X26" s="11">
        <f t="shared" si="20"/>
        <v>0</v>
      </c>
      <c r="Y26" s="11">
        <f t="shared" si="20"/>
        <v>0</v>
      </c>
      <c r="Z26" s="11">
        <f t="shared" si="20"/>
        <v>0</v>
      </c>
      <c r="AA26" s="11">
        <f t="shared" si="20"/>
        <v>0</v>
      </c>
      <c r="AB26" s="11">
        <f t="shared" si="20"/>
        <v>0</v>
      </c>
    </row>
    <row r="27" spans="1:28" ht="15.75" customHeight="1" x14ac:dyDescent="0.3">
      <c r="A27" s="12">
        <f>RAW!$A$6</f>
        <v>400</v>
      </c>
      <c r="B27" s="2"/>
      <c r="C27" s="21" t="s">
        <v>19</v>
      </c>
      <c r="D27" s="22">
        <f t="shared" ref="D27:D43" si="21">$A27/D$5</f>
        <v>400</v>
      </c>
      <c r="E27" s="2"/>
      <c r="F27" s="21" t="s">
        <v>19</v>
      </c>
      <c r="G27" s="23">
        <f t="shared" ref="G27:AB27" si="22">$A27/G$5</f>
        <v>13.333333333333334</v>
      </c>
      <c r="H27" s="23">
        <f t="shared" si="22"/>
        <v>100</v>
      </c>
      <c r="I27" s="23">
        <f t="shared" si="22"/>
        <v>22.222222222222221</v>
      </c>
      <c r="J27" s="23">
        <f t="shared" si="22"/>
        <v>400</v>
      </c>
      <c r="K27" s="23">
        <f t="shared" si="22"/>
        <v>44.444444444444443</v>
      </c>
      <c r="L27" s="23">
        <f t="shared" si="22"/>
        <v>100</v>
      </c>
      <c r="M27" s="23">
        <f t="shared" si="22"/>
        <v>400</v>
      </c>
      <c r="N27" s="23">
        <f t="shared" si="22"/>
        <v>400</v>
      </c>
      <c r="O27" s="23">
        <f t="shared" si="22"/>
        <v>400</v>
      </c>
      <c r="P27" s="23">
        <f t="shared" si="22"/>
        <v>400</v>
      </c>
      <c r="Q27" s="23">
        <f t="shared" si="22"/>
        <v>400</v>
      </c>
      <c r="R27" s="23">
        <f t="shared" si="22"/>
        <v>400</v>
      </c>
      <c r="S27" s="23">
        <f t="shared" si="22"/>
        <v>400</v>
      </c>
      <c r="T27" s="23">
        <f t="shared" si="22"/>
        <v>400</v>
      </c>
      <c r="U27" s="23">
        <f t="shared" si="22"/>
        <v>400</v>
      </c>
      <c r="V27" s="23">
        <f t="shared" si="22"/>
        <v>400</v>
      </c>
      <c r="W27" s="23">
        <f t="shared" si="22"/>
        <v>400</v>
      </c>
      <c r="X27" s="23">
        <f t="shared" si="22"/>
        <v>400</v>
      </c>
      <c r="Y27" s="23">
        <f t="shared" si="22"/>
        <v>400</v>
      </c>
      <c r="Z27" s="23">
        <f t="shared" si="22"/>
        <v>400</v>
      </c>
      <c r="AA27" s="23">
        <f t="shared" si="22"/>
        <v>400</v>
      </c>
      <c r="AB27" s="23">
        <f t="shared" si="22"/>
        <v>400</v>
      </c>
    </row>
    <row r="28" spans="1:28" ht="15.75" customHeight="1" x14ac:dyDescent="0.3">
      <c r="A28" s="12">
        <f>RAW!$A$7</f>
        <v>1200</v>
      </c>
      <c r="B28" s="2"/>
      <c r="C28" s="24" t="s">
        <v>20</v>
      </c>
      <c r="D28" s="23">
        <f t="shared" si="21"/>
        <v>1200</v>
      </c>
      <c r="E28" s="2"/>
      <c r="F28" s="24" t="s">
        <v>20</v>
      </c>
      <c r="G28" s="23">
        <f t="shared" ref="G28:AB28" si="23">$A28/G$5</f>
        <v>40</v>
      </c>
      <c r="H28" s="23">
        <f t="shared" si="23"/>
        <v>300</v>
      </c>
      <c r="I28" s="23">
        <f t="shared" si="23"/>
        <v>66.666666666666671</v>
      </c>
      <c r="J28" s="23">
        <f t="shared" si="23"/>
        <v>1200</v>
      </c>
      <c r="K28" s="23">
        <f t="shared" si="23"/>
        <v>133.33333333333334</v>
      </c>
      <c r="L28" s="23">
        <f t="shared" si="23"/>
        <v>300</v>
      </c>
      <c r="M28" s="23">
        <f t="shared" si="23"/>
        <v>1200</v>
      </c>
      <c r="N28" s="23">
        <f t="shared" si="23"/>
        <v>1200</v>
      </c>
      <c r="O28" s="23">
        <f t="shared" si="23"/>
        <v>1200</v>
      </c>
      <c r="P28" s="23">
        <f t="shared" si="23"/>
        <v>1200</v>
      </c>
      <c r="Q28" s="23">
        <f t="shared" si="23"/>
        <v>1200</v>
      </c>
      <c r="R28" s="23">
        <f t="shared" si="23"/>
        <v>1200</v>
      </c>
      <c r="S28" s="23">
        <f t="shared" si="23"/>
        <v>1200</v>
      </c>
      <c r="T28" s="23">
        <f t="shared" si="23"/>
        <v>1200</v>
      </c>
      <c r="U28" s="23">
        <f t="shared" si="23"/>
        <v>1200</v>
      </c>
      <c r="V28" s="23">
        <f t="shared" si="23"/>
        <v>1200</v>
      </c>
      <c r="W28" s="23">
        <f t="shared" si="23"/>
        <v>1200</v>
      </c>
      <c r="X28" s="23">
        <f t="shared" si="23"/>
        <v>1200</v>
      </c>
      <c r="Y28" s="23">
        <f t="shared" si="23"/>
        <v>1200</v>
      </c>
      <c r="Z28" s="23">
        <f t="shared" si="23"/>
        <v>1200</v>
      </c>
      <c r="AA28" s="23">
        <f t="shared" si="23"/>
        <v>1200</v>
      </c>
      <c r="AB28" s="23">
        <f t="shared" si="23"/>
        <v>1200</v>
      </c>
    </row>
    <row r="29" spans="1:28" ht="15.75" customHeight="1" x14ac:dyDescent="0.3">
      <c r="A29" s="12">
        <f>RAW!$A$8</f>
        <v>2800</v>
      </c>
      <c r="B29" s="2"/>
      <c r="C29" s="24" t="s">
        <v>21</v>
      </c>
      <c r="D29" s="23">
        <f t="shared" si="21"/>
        <v>2800</v>
      </c>
      <c r="E29" s="2"/>
      <c r="F29" s="24" t="s">
        <v>21</v>
      </c>
      <c r="G29" s="23">
        <f t="shared" ref="G29:AB29" si="24">$A29/G$5</f>
        <v>93.333333333333329</v>
      </c>
      <c r="H29" s="23">
        <f t="shared" si="24"/>
        <v>700</v>
      </c>
      <c r="I29" s="23">
        <f t="shared" si="24"/>
        <v>155.55555555555554</v>
      </c>
      <c r="J29" s="23">
        <f t="shared" si="24"/>
        <v>2800</v>
      </c>
      <c r="K29" s="23">
        <f t="shared" si="24"/>
        <v>311.11111111111109</v>
      </c>
      <c r="L29" s="23">
        <f t="shared" si="24"/>
        <v>700</v>
      </c>
      <c r="M29" s="23">
        <f t="shared" si="24"/>
        <v>2800</v>
      </c>
      <c r="N29" s="23">
        <f t="shared" si="24"/>
        <v>2800</v>
      </c>
      <c r="O29" s="23">
        <f t="shared" si="24"/>
        <v>2800</v>
      </c>
      <c r="P29" s="23">
        <f t="shared" si="24"/>
        <v>2800</v>
      </c>
      <c r="Q29" s="23">
        <f t="shared" si="24"/>
        <v>2800</v>
      </c>
      <c r="R29" s="23">
        <f t="shared" si="24"/>
        <v>2800</v>
      </c>
      <c r="S29" s="23">
        <f t="shared" si="24"/>
        <v>2800</v>
      </c>
      <c r="T29" s="23">
        <f t="shared" si="24"/>
        <v>2800</v>
      </c>
      <c r="U29" s="23">
        <f t="shared" si="24"/>
        <v>2800</v>
      </c>
      <c r="V29" s="23">
        <f t="shared" si="24"/>
        <v>2800</v>
      </c>
      <c r="W29" s="23">
        <f t="shared" si="24"/>
        <v>2800</v>
      </c>
      <c r="X29" s="23">
        <f t="shared" si="24"/>
        <v>2800</v>
      </c>
      <c r="Y29" s="23">
        <f t="shared" si="24"/>
        <v>2800</v>
      </c>
      <c r="Z29" s="23">
        <f t="shared" si="24"/>
        <v>2800</v>
      </c>
      <c r="AA29" s="23">
        <f t="shared" si="24"/>
        <v>2800</v>
      </c>
      <c r="AB29" s="23">
        <f t="shared" si="24"/>
        <v>2800</v>
      </c>
    </row>
    <row r="30" spans="1:28" ht="15.75" customHeight="1" x14ac:dyDescent="0.3">
      <c r="A30" s="12">
        <f>RAW!$A$9</f>
        <v>6000</v>
      </c>
      <c r="B30" s="2"/>
      <c r="C30" s="24" t="s">
        <v>22</v>
      </c>
      <c r="D30" s="23">
        <f t="shared" si="21"/>
        <v>6000</v>
      </c>
      <c r="E30" s="2"/>
      <c r="F30" s="24" t="s">
        <v>22</v>
      </c>
      <c r="G30" s="23">
        <f t="shared" ref="G30:AB30" si="25">$A30/G$5</f>
        <v>200</v>
      </c>
      <c r="H30" s="23">
        <f t="shared" si="25"/>
        <v>1500</v>
      </c>
      <c r="I30" s="23">
        <f t="shared" si="25"/>
        <v>333.33333333333331</v>
      </c>
      <c r="J30" s="23">
        <f t="shared" si="25"/>
        <v>6000</v>
      </c>
      <c r="K30" s="23">
        <f t="shared" si="25"/>
        <v>666.66666666666663</v>
      </c>
      <c r="L30" s="23">
        <f t="shared" si="25"/>
        <v>1500</v>
      </c>
      <c r="M30" s="23">
        <f t="shared" si="25"/>
        <v>6000</v>
      </c>
      <c r="N30" s="23">
        <f t="shared" si="25"/>
        <v>6000</v>
      </c>
      <c r="O30" s="23">
        <f t="shared" si="25"/>
        <v>6000</v>
      </c>
      <c r="P30" s="23">
        <f t="shared" si="25"/>
        <v>6000</v>
      </c>
      <c r="Q30" s="23">
        <f t="shared" si="25"/>
        <v>6000</v>
      </c>
      <c r="R30" s="23">
        <f t="shared" si="25"/>
        <v>6000</v>
      </c>
      <c r="S30" s="23">
        <f t="shared" si="25"/>
        <v>6000</v>
      </c>
      <c r="T30" s="23">
        <f t="shared" si="25"/>
        <v>6000</v>
      </c>
      <c r="U30" s="23">
        <f t="shared" si="25"/>
        <v>6000</v>
      </c>
      <c r="V30" s="23">
        <f t="shared" si="25"/>
        <v>6000</v>
      </c>
      <c r="W30" s="23">
        <f t="shared" si="25"/>
        <v>6000</v>
      </c>
      <c r="X30" s="23">
        <f t="shared" si="25"/>
        <v>6000</v>
      </c>
      <c r="Y30" s="23">
        <f t="shared" si="25"/>
        <v>6000</v>
      </c>
      <c r="Z30" s="23">
        <f t="shared" si="25"/>
        <v>6000</v>
      </c>
      <c r="AA30" s="23">
        <f t="shared" si="25"/>
        <v>6000</v>
      </c>
      <c r="AB30" s="23">
        <f t="shared" si="25"/>
        <v>6000</v>
      </c>
    </row>
    <row r="31" spans="1:28" ht="15.75" customHeight="1" x14ac:dyDescent="0.3">
      <c r="A31" s="12">
        <f>RAW!$A$10</f>
        <v>12400</v>
      </c>
      <c r="B31" s="2"/>
      <c r="C31" s="24" t="s">
        <v>23</v>
      </c>
      <c r="D31" s="23">
        <f t="shared" si="21"/>
        <v>12400</v>
      </c>
      <c r="E31" s="2"/>
      <c r="F31" s="24" t="s">
        <v>23</v>
      </c>
      <c r="G31" s="23">
        <f t="shared" ref="G31:AB31" si="26">$A31/G$5</f>
        <v>413.33333333333331</v>
      </c>
      <c r="H31" s="23">
        <f t="shared" si="26"/>
        <v>3100</v>
      </c>
      <c r="I31" s="23">
        <f t="shared" si="26"/>
        <v>688.88888888888891</v>
      </c>
      <c r="J31" s="23">
        <f t="shared" si="26"/>
        <v>12400</v>
      </c>
      <c r="K31" s="23">
        <f t="shared" si="26"/>
        <v>1377.7777777777778</v>
      </c>
      <c r="L31" s="23">
        <f t="shared" si="26"/>
        <v>3100</v>
      </c>
      <c r="M31" s="23">
        <f t="shared" si="26"/>
        <v>12400</v>
      </c>
      <c r="N31" s="23">
        <f t="shared" si="26"/>
        <v>12400</v>
      </c>
      <c r="O31" s="23">
        <f t="shared" si="26"/>
        <v>12400</v>
      </c>
      <c r="P31" s="23">
        <f t="shared" si="26"/>
        <v>12400</v>
      </c>
      <c r="Q31" s="23">
        <f t="shared" si="26"/>
        <v>12400</v>
      </c>
      <c r="R31" s="23">
        <f t="shared" si="26"/>
        <v>12400</v>
      </c>
      <c r="S31" s="23">
        <f t="shared" si="26"/>
        <v>12400</v>
      </c>
      <c r="T31" s="23">
        <f t="shared" si="26"/>
        <v>12400</v>
      </c>
      <c r="U31" s="23">
        <f t="shared" si="26"/>
        <v>12400</v>
      </c>
      <c r="V31" s="23">
        <f t="shared" si="26"/>
        <v>12400</v>
      </c>
      <c r="W31" s="23">
        <f t="shared" si="26"/>
        <v>12400</v>
      </c>
      <c r="X31" s="23">
        <f t="shared" si="26"/>
        <v>12400</v>
      </c>
      <c r="Y31" s="23">
        <f t="shared" si="26"/>
        <v>12400</v>
      </c>
      <c r="Z31" s="23">
        <f t="shared" si="26"/>
        <v>12400</v>
      </c>
      <c r="AA31" s="23">
        <f t="shared" si="26"/>
        <v>12400</v>
      </c>
      <c r="AB31" s="23">
        <f t="shared" si="26"/>
        <v>12400</v>
      </c>
    </row>
    <row r="32" spans="1:28" ht="15.75" customHeight="1" x14ac:dyDescent="0.3">
      <c r="A32" s="12">
        <f>RAW!$A$11</f>
        <v>25200</v>
      </c>
      <c r="B32" s="2"/>
      <c r="C32" s="24" t="s">
        <v>24</v>
      </c>
      <c r="D32" s="23">
        <f t="shared" si="21"/>
        <v>25200</v>
      </c>
      <c r="E32" s="2"/>
      <c r="F32" s="24" t="s">
        <v>24</v>
      </c>
      <c r="G32" s="23">
        <f t="shared" ref="G32:AB32" si="27">$A32/G$5</f>
        <v>840</v>
      </c>
      <c r="H32" s="23">
        <f t="shared" si="27"/>
        <v>6300</v>
      </c>
      <c r="I32" s="23">
        <f t="shared" si="27"/>
        <v>1400</v>
      </c>
      <c r="J32" s="23">
        <f t="shared" si="27"/>
        <v>25200</v>
      </c>
      <c r="K32" s="23">
        <f t="shared" si="27"/>
        <v>2800</v>
      </c>
      <c r="L32" s="23">
        <f t="shared" si="27"/>
        <v>6300</v>
      </c>
      <c r="M32" s="23">
        <f t="shared" si="27"/>
        <v>25200</v>
      </c>
      <c r="N32" s="23">
        <f t="shared" si="27"/>
        <v>25200</v>
      </c>
      <c r="O32" s="23">
        <f t="shared" si="27"/>
        <v>25200</v>
      </c>
      <c r="P32" s="23">
        <f t="shared" si="27"/>
        <v>25200</v>
      </c>
      <c r="Q32" s="23">
        <f t="shared" si="27"/>
        <v>25200</v>
      </c>
      <c r="R32" s="23">
        <f t="shared" si="27"/>
        <v>25200</v>
      </c>
      <c r="S32" s="23">
        <f t="shared" si="27"/>
        <v>25200</v>
      </c>
      <c r="T32" s="23">
        <f t="shared" si="27"/>
        <v>25200</v>
      </c>
      <c r="U32" s="23">
        <f t="shared" si="27"/>
        <v>25200</v>
      </c>
      <c r="V32" s="23">
        <f t="shared" si="27"/>
        <v>25200</v>
      </c>
      <c r="W32" s="23">
        <f t="shared" si="27"/>
        <v>25200</v>
      </c>
      <c r="X32" s="23">
        <f t="shared" si="27"/>
        <v>25200</v>
      </c>
      <c r="Y32" s="23">
        <f t="shared" si="27"/>
        <v>25200</v>
      </c>
      <c r="Z32" s="23">
        <f t="shared" si="27"/>
        <v>25200</v>
      </c>
      <c r="AA32" s="23">
        <f t="shared" si="27"/>
        <v>25200</v>
      </c>
      <c r="AB32" s="23">
        <f t="shared" si="27"/>
        <v>25200</v>
      </c>
    </row>
    <row r="33" spans="1:28" ht="15.75" customHeight="1" x14ac:dyDescent="0.3">
      <c r="A33" s="12">
        <f>RAW!$A$12</f>
        <v>50800</v>
      </c>
      <c r="B33" s="2"/>
      <c r="C33" s="24" t="s">
        <v>25</v>
      </c>
      <c r="D33" s="23">
        <f t="shared" si="21"/>
        <v>50800</v>
      </c>
      <c r="E33" s="2"/>
      <c r="F33" s="24" t="s">
        <v>25</v>
      </c>
      <c r="G33" s="23">
        <f t="shared" ref="G33:AB33" si="28">$A33/G$5</f>
        <v>1693.3333333333333</v>
      </c>
      <c r="H33" s="23">
        <f t="shared" si="28"/>
        <v>12700</v>
      </c>
      <c r="I33" s="23">
        <f t="shared" si="28"/>
        <v>2822.2222222222222</v>
      </c>
      <c r="J33" s="23">
        <f t="shared" si="28"/>
        <v>50800</v>
      </c>
      <c r="K33" s="23">
        <f t="shared" si="28"/>
        <v>5644.4444444444443</v>
      </c>
      <c r="L33" s="23">
        <f t="shared" si="28"/>
        <v>12700</v>
      </c>
      <c r="M33" s="23">
        <f t="shared" si="28"/>
        <v>50800</v>
      </c>
      <c r="N33" s="23">
        <f t="shared" si="28"/>
        <v>50800</v>
      </c>
      <c r="O33" s="23">
        <f t="shared" si="28"/>
        <v>50800</v>
      </c>
      <c r="P33" s="23">
        <f t="shared" si="28"/>
        <v>50800</v>
      </c>
      <c r="Q33" s="23">
        <f t="shared" si="28"/>
        <v>50800</v>
      </c>
      <c r="R33" s="23">
        <f t="shared" si="28"/>
        <v>50800</v>
      </c>
      <c r="S33" s="23">
        <f t="shared" si="28"/>
        <v>50800</v>
      </c>
      <c r="T33" s="23">
        <f t="shared" si="28"/>
        <v>50800</v>
      </c>
      <c r="U33" s="23">
        <f t="shared" si="28"/>
        <v>50800</v>
      </c>
      <c r="V33" s="23">
        <f t="shared" si="28"/>
        <v>50800</v>
      </c>
      <c r="W33" s="23">
        <f t="shared" si="28"/>
        <v>50800</v>
      </c>
      <c r="X33" s="23">
        <f t="shared" si="28"/>
        <v>50800</v>
      </c>
      <c r="Y33" s="23">
        <f t="shared" si="28"/>
        <v>50800</v>
      </c>
      <c r="Z33" s="23">
        <f t="shared" si="28"/>
        <v>50800</v>
      </c>
      <c r="AA33" s="23">
        <f t="shared" si="28"/>
        <v>50800</v>
      </c>
      <c r="AB33" s="23">
        <f t="shared" si="28"/>
        <v>50800</v>
      </c>
    </row>
    <row r="34" spans="1:28" ht="15.75" customHeight="1" x14ac:dyDescent="0.3">
      <c r="A34" s="12">
        <f>RAW!$A$13</f>
        <v>102000</v>
      </c>
      <c r="B34" s="2"/>
      <c r="C34" s="24" t="s">
        <v>26</v>
      </c>
      <c r="D34" s="23">
        <f t="shared" si="21"/>
        <v>102000</v>
      </c>
      <c r="E34" s="2"/>
      <c r="F34" s="24" t="s">
        <v>26</v>
      </c>
      <c r="G34" s="23">
        <f t="shared" ref="G34:AB34" si="29">$A34/G$5</f>
        <v>3400</v>
      </c>
      <c r="H34" s="23">
        <f t="shared" si="29"/>
        <v>25500</v>
      </c>
      <c r="I34" s="23">
        <f t="shared" si="29"/>
        <v>5666.666666666667</v>
      </c>
      <c r="J34" s="23">
        <f t="shared" si="29"/>
        <v>102000</v>
      </c>
      <c r="K34" s="23">
        <f t="shared" si="29"/>
        <v>11333.333333333334</v>
      </c>
      <c r="L34" s="23">
        <f t="shared" si="29"/>
        <v>25500</v>
      </c>
      <c r="M34" s="23">
        <f t="shared" si="29"/>
        <v>102000</v>
      </c>
      <c r="N34" s="23">
        <f t="shared" si="29"/>
        <v>102000</v>
      </c>
      <c r="O34" s="23">
        <f t="shared" si="29"/>
        <v>102000</v>
      </c>
      <c r="P34" s="23">
        <f t="shared" si="29"/>
        <v>102000</v>
      </c>
      <c r="Q34" s="23">
        <f t="shared" si="29"/>
        <v>102000</v>
      </c>
      <c r="R34" s="23">
        <f t="shared" si="29"/>
        <v>102000</v>
      </c>
      <c r="S34" s="23">
        <f t="shared" si="29"/>
        <v>102000</v>
      </c>
      <c r="T34" s="23">
        <f t="shared" si="29"/>
        <v>102000</v>
      </c>
      <c r="U34" s="23">
        <f t="shared" si="29"/>
        <v>102000</v>
      </c>
      <c r="V34" s="23">
        <f t="shared" si="29"/>
        <v>102000</v>
      </c>
      <c r="W34" s="23">
        <f t="shared" si="29"/>
        <v>102000</v>
      </c>
      <c r="X34" s="23">
        <f t="shared" si="29"/>
        <v>102000</v>
      </c>
      <c r="Y34" s="23">
        <f t="shared" si="29"/>
        <v>102000</v>
      </c>
      <c r="Z34" s="23">
        <f t="shared" si="29"/>
        <v>102000</v>
      </c>
      <c r="AA34" s="23">
        <f t="shared" si="29"/>
        <v>102000</v>
      </c>
      <c r="AB34" s="23">
        <f t="shared" si="29"/>
        <v>102000</v>
      </c>
    </row>
    <row r="35" spans="1:28" ht="15.75" customHeight="1" x14ac:dyDescent="0.3">
      <c r="A35" s="12">
        <f>RAW!$A$14</f>
        <v>204400</v>
      </c>
      <c r="B35" s="2"/>
      <c r="C35" s="24" t="s">
        <v>27</v>
      </c>
      <c r="D35" s="23">
        <f t="shared" si="21"/>
        <v>204400</v>
      </c>
      <c r="E35" s="2"/>
      <c r="F35" s="24" t="s">
        <v>27</v>
      </c>
      <c r="G35" s="23">
        <f t="shared" ref="G35:AB35" si="30">$A35/G$5</f>
        <v>6813.333333333333</v>
      </c>
      <c r="H35" s="23">
        <f t="shared" si="30"/>
        <v>51100</v>
      </c>
      <c r="I35" s="23">
        <f t="shared" si="30"/>
        <v>11355.555555555555</v>
      </c>
      <c r="J35" s="23">
        <f t="shared" si="30"/>
        <v>204400</v>
      </c>
      <c r="K35" s="23">
        <f t="shared" si="30"/>
        <v>22711.111111111109</v>
      </c>
      <c r="L35" s="23">
        <f t="shared" si="30"/>
        <v>51100</v>
      </c>
      <c r="M35" s="23">
        <f t="shared" si="30"/>
        <v>204400</v>
      </c>
      <c r="N35" s="23">
        <f t="shared" si="30"/>
        <v>204400</v>
      </c>
      <c r="O35" s="23">
        <f t="shared" si="30"/>
        <v>204400</v>
      </c>
      <c r="P35" s="23">
        <f t="shared" si="30"/>
        <v>204400</v>
      </c>
      <c r="Q35" s="23">
        <f t="shared" si="30"/>
        <v>204400</v>
      </c>
      <c r="R35" s="23">
        <f t="shared" si="30"/>
        <v>204400</v>
      </c>
      <c r="S35" s="23">
        <f t="shared" si="30"/>
        <v>204400</v>
      </c>
      <c r="T35" s="23">
        <f t="shared" si="30"/>
        <v>204400</v>
      </c>
      <c r="U35" s="23">
        <f t="shared" si="30"/>
        <v>204400</v>
      </c>
      <c r="V35" s="23">
        <f t="shared" si="30"/>
        <v>204400</v>
      </c>
      <c r="W35" s="23">
        <f t="shared" si="30"/>
        <v>204400</v>
      </c>
      <c r="X35" s="23">
        <f t="shared" si="30"/>
        <v>204400</v>
      </c>
      <c r="Y35" s="23">
        <f t="shared" si="30"/>
        <v>204400</v>
      </c>
      <c r="Z35" s="23">
        <f t="shared" si="30"/>
        <v>204400</v>
      </c>
      <c r="AA35" s="23">
        <f t="shared" si="30"/>
        <v>204400</v>
      </c>
      <c r="AB35" s="23">
        <f t="shared" si="30"/>
        <v>204400</v>
      </c>
    </row>
    <row r="36" spans="1:28" ht="15.75" customHeight="1" x14ac:dyDescent="0.3">
      <c r="A36" s="12">
        <f>RAW!$A$15</f>
        <v>409200</v>
      </c>
      <c r="B36" s="2"/>
      <c r="C36" s="24" t="s">
        <v>28</v>
      </c>
      <c r="D36" s="23">
        <f t="shared" si="21"/>
        <v>409200</v>
      </c>
      <c r="E36" s="2"/>
      <c r="F36" s="24" t="s">
        <v>28</v>
      </c>
      <c r="G36" s="23">
        <f t="shared" ref="G36:AB36" si="31">$A36/G$5</f>
        <v>13640</v>
      </c>
      <c r="H36" s="23">
        <f t="shared" si="31"/>
        <v>102300</v>
      </c>
      <c r="I36" s="23">
        <f t="shared" si="31"/>
        <v>22733.333333333332</v>
      </c>
      <c r="J36" s="23">
        <f t="shared" si="31"/>
        <v>409200</v>
      </c>
      <c r="K36" s="23">
        <f t="shared" si="31"/>
        <v>45466.666666666664</v>
      </c>
      <c r="L36" s="23">
        <f t="shared" si="31"/>
        <v>102300</v>
      </c>
      <c r="M36" s="23">
        <f t="shared" si="31"/>
        <v>409200</v>
      </c>
      <c r="N36" s="23">
        <f t="shared" si="31"/>
        <v>409200</v>
      </c>
      <c r="O36" s="23">
        <f t="shared" si="31"/>
        <v>409200</v>
      </c>
      <c r="P36" s="23">
        <f t="shared" si="31"/>
        <v>409200</v>
      </c>
      <c r="Q36" s="23">
        <f t="shared" si="31"/>
        <v>409200</v>
      </c>
      <c r="R36" s="23">
        <f t="shared" si="31"/>
        <v>409200</v>
      </c>
      <c r="S36" s="23">
        <f t="shared" si="31"/>
        <v>409200</v>
      </c>
      <c r="T36" s="23">
        <f t="shared" si="31"/>
        <v>409200</v>
      </c>
      <c r="U36" s="23">
        <f t="shared" si="31"/>
        <v>409200</v>
      </c>
      <c r="V36" s="23">
        <f t="shared" si="31"/>
        <v>409200</v>
      </c>
      <c r="W36" s="23">
        <f t="shared" si="31"/>
        <v>409200</v>
      </c>
      <c r="X36" s="23">
        <f t="shared" si="31"/>
        <v>409200</v>
      </c>
      <c r="Y36" s="23">
        <f t="shared" si="31"/>
        <v>409200</v>
      </c>
      <c r="Z36" s="23">
        <f t="shared" si="31"/>
        <v>409200</v>
      </c>
      <c r="AA36" s="23">
        <f t="shared" si="31"/>
        <v>409200</v>
      </c>
      <c r="AB36" s="23">
        <f t="shared" si="31"/>
        <v>409200</v>
      </c>
    </row>
    <row r="37" spans="1:28" ht="15.75" customHeight="1" x14ac:dyDescent="0.3">
      <c r="A37" s="12">
        <f>RAW!$A$16</f>
        <v>818800</v>
      </c>
      <c r="B37" s="2"/>
      <c r="C37" s="24" t="s">
        <v>29</v>
      </c>
      <c r="D37" s="23">
        <f t="shared" si="21"/>
        <v>818800</v>
      </c>
      <c r="E37" s="2"/>
      <c r="F37" s="24" t="s">
        <v>29</v>
      </c>
      <c r="G37" s="23">
        <f t="shared" ref="G37:AB37" si="32">$A37/G$5</f>
        <v>27293.333333333332</v>
      </c>
      <c r="H37" s="23">
        <f t="shared" si="32"/>
        <v>204700</v>
      </c>
      <c r="I37" s="23">
        <f t="shared" si="32"/>
        <v>45488.888888888891</v>
      </c>
      <c r="J37" s="23">
        <f t="shared" si="32"/>
        <v>818800</v>
      </c>
      <c r="K37" s="23">
        <f t="shared" si="32"/>
        <v>90977.777777777781</v>
      </c>
      <c r="L37" s="23">
        <f t="shared" si="32"/>
        <v>204700</v>
      </c>
      <c r="M37" s="23">
        <f t="shared" si="32"/>
        <v>818800</v>
      </c>
      <c r="N37" s="23">
        <f t="shared" si="32"/>
        <v>818800</v>
      </c>
      <c r="O37" s="23">
        <f t="shared" si="32"/>
        <v>818800</v>
      </c>
      <c r="P37" s="23">
        <f t="shared" si="32"/>
        <v>818800</v>
      </c>
      <c r="Q37" s="23">
        <f t="shared" si="32"/>
        <v>818800</v>
      </c>
      <c r="R37" s="23">
        <f t="shared" si="32"/>
        <v>818800</v>
      </c>
      <c r="S37" s="23">
        <f t="shared" si="32"/>
        <v>818800</v>
      </c>
      <c r="T37" s="23">
        <f t="shared" si="32"/>
        <v>818800</v>
      </c>
      <c r="U37" s="23">
        <f t="shared" si="32"/>
        <v>818800</v>
      </c>
      <c r="V37" s="23">
        <f t="shared" si="32"/>
        <v>818800</v>
      </c>
      <c r="W37" s="23">
        <f t="shared" si="32"/>
        <v>818800</v>
      </c>
      <c r="X37" s="23">
        <f t="shared" si="32"/>
        <v>818800</v>
      </c>
      <c r="Y37" s="23">
        <f t="shared" si="32"/>
        <v>818800</v>
      </c>
      <c r="Z37" s="23">
        <f t="shared" si="32"/>
        <v>818800</v>
      </c>
      <c r="AA37" s="23">
        <f t="shared" si="32"/>
        <v>818800</v>
      </c>
      <c r="AB37" s="23">
        <f t="shared" si="32"/>
        <v>818800</v>
      </c>
    </row>
    <row r="38" spans="1:28" ht="15.75" customHeight="1" x14ac:dyDescent="0.3">
      <c r="A38" s="12">
        <f>RAW!$A$17</f>
        <v>1638000</v>
      </c>
      <c r="B38" s="2"/>
      <c r="C38" s="24" t="s">
        <v>30</v>
      </c>
      <c r="D38" s="23">
        <f t="shared" si="21"/>
        <v>1638000</v>
      </c>
      <c r="E38" s="2"/>
      <c r="F38" s="24" t="s">
        <v>30</v>
      </c>
      <c r="G38" s="23">
        <f t="shared" ref="G38:AB38" si="33">$A38/G$5</f>
        <v>54600</v>
      </c>
      <c r="H38" s="23">
        <f t="shared" si="33"/>
        <v>409500</v>
      </c>
      <c r="I38" s="23">
        <f t="shared" si="33"/>
        <v>91000</v>
      </c>
      <c r="J38" s="23">
        <f t="shared" si="33"/>
        <v>1638000</v>
      </c>
      <c r="K38" s="23">
        <f t="shared" si="33"/>
        <v>182000</v>
      </c>
      <c r="L38" s="23">
        <f t="shared" si="33"/>
        <v>409500</v>
      </c>
      <c r="M38" s="23">
        <f t="shared" si="33"/>
        <v>1638000</v>
      </c>
      <c r="N38" s="23">
        <f t="shared" si="33"/>
        <v>1638000</v>
      </c>
      <c r="O38" s="23">
        <f t="shared" si="33"/>
        <v>1638000</v>
      </c>
      <c r="P38" s="23">
        <f t="shared" si="33"/>
        <v>1638000</v>
      </c>
      <c r="Q38" s="23">
        <f t="shared" si="33"/>
        <v>1638000</v>
      </c>
      <c r="R38" s="23">
        <f t="shared" si="33"/>
        <v>1638000</v>
      </c>
      <c r="S38" s="23">
        <f t="shared" si="33"/>
        <v>1638000</v>
      </c>
      <c r="T38" s="23">
        <f t="shared" si="33"/>
        <v>1638000</v>
      </c>
      <c r="U38" s="23">
        <f t="shared" si="33"/>
        <v>1638000</v>
      </c>
      <c r="V38" s="23">
        <f t="shared" si="33"/>
        <v>1638000</v>
      </c>
      <c r="W38" s="23">
        <f t="shared" si="33"/>
        <v>1638000</v>
      </c>
      <c r="X38" s="23">
        <f t="shared" si="33"/>
        <v>1638000</v>
      </c>
      <c r="Y38" s="23">
        <f t="shared" si="33"/>
        <v>1638000</v>
      </c>
      <c r="Z38" s="23">
        <f t="shared" si="33"/>
        <v>1638000</v>
      </c>
      <c r="AA38" s="23">
        <f t="shared" si="33"/>
        <v>1638000</v>
      </c>
      <c r="AB38" s="23">
        <f t="shared" si="33"/>
        <v>1638000</v>
      </c>
    </row>
    <row r="39" spans="1:28" ht="15.75" customHeight="1" x14ac:dyDescent="0.3">
      <c r="A39" s="12">
        <f>RAW!$A$18</f>
        <v>3276400</v>
      </c>
      <c r="B39" s="2"/>
      <c r="C39" s="24" t="s">
        <v>31</v>
      </c>
      <c r="D39" s="23">
        <f t="shared" si="21"/>
        <v>3276400</v>
      </c>
      <c r="E39" s="2"/>
      <c r="F39" s="24" t="s">
        <v>31</v>
      </c>
      <c r="G39" s="23">
        <f t="shared" ref="G39:AB39" si="34">$A39/G$5</f>
        <v>109213.33333333333</v>
      </c>
      <c r="H39" s="23">
        <f t="shared" si="34"/>
        <v>819100</v>
      </c>
      <c r="I39" s="23">
        <f t="shared" si="34"/>
        <v>182022.22222222222</v>
      </c>
      <c r="J39" s="23">
        <f t="shared" si="34"/>
        <v>3276400</v>
      </c>
      <c r="K39" s="23">
        <f t="shared" si="34"/>
        <v>364044.44444444444</v>
      </c>
      <c r="L39" s="23">
        <f t="shared" si="34"/>
        <v>819100</v>
      </c>
      <c r="M39" s="23">
        <f t="shared" si="34"/>
        <v>3276400</v>
      </c>
      <c r="N39" s="23">
        <f t="shared" si="34"/>
        <v>3276400</v>
      </c>
      <c r="O39" s="23">
        <f t="shared" si="34"/>
        <v>3276400</v>
      </c>
      <c r="P39" s="23">
        <f t="shared" si="34"/>
        <v>3276400</v>
      </c>
      <c r="Q39" s="23">
        <f t="shared" si="34"/>
        <v>3276400</v>
      </c>
      <c r="R39" s="23">
        <f t="shared" si="34"/>
        <v>3276400</v>
      </c>
      <c r="S39" s="23">
        <f t="shared" si="34"/>
        <v>3276400</v>
      </c>
      <c r="T39" s="23">
        <f t="shared" si="34"/>
        <v>3276400</v>
      </c>
      <c r="U39" s="23">
        <f t="shared" si="34"/>
        <v>3276400</v>
      </c>
      <c r="V39" s="23">
        <f t="shared" si="34"/>
        <v>3276400</v>
      </c>
      <c r="W39" s="23">
        <f t="shared" si="34"/>
        <v>3276400</v>
      </c>
      <c r="X39" s="23">
        <f t="shared" si="34"/>
        <v>3276400</v>
      </c>
      <c r="Y39" s="23">
        <f t="shared" si="34"/>
        <v>3276400</v>
      </c>
      <c r="Z39" s="23">
        <f t="shared" si="34"/>
        <v>3276400</v>
      </c>
      <c r="AA39" s="23">
        <f t="shared" si="34"/>
        <v>3276400</v>
      </c>
      <c r="AB39" s="23">
        <f t="shared" si="34"/>
        <v>3276400</v>
      </c>
    </row>
    <row r="40" spans="1:28" ht="15.75" customHeight="1" x14ac:dyDescent="0.3">
      <c r="A40" s="12">
        <f>RAW!$A$19</f>
        <v>6553200</v>
      </c>
      <c r="B40" s="2"/>
      <c r="C40" s="24" t="s">
        <v>32</v>
      </c>
      <c r="D40" s="23">
        <f t="shared" si="21"/>
        <v>6553200</v>
      </c>
      <c r="E40" s="2"/>
      <c r="F40" s="24" t="s">
        <v>32</v>
      </c>
      <c r="G40" s="23">
        <f t="shared" ref="G40:AB40" si="35">$A40/G$5</f>
        <v>218440</v>
      </c>
      <c r="H40" s="23">
        <f t="shared" si="35"/>
        <v>1638300</v>
      </c>
      <c r="I40" s="23">
        <f t="shared" si="35"/>
        <v>364066.66666666669</v>
      </c>
      <c r="J40" s="23">
        <f t="shared" si="35"/>
        <v>6553200</v>
      </c>
      <c r="K40" s="23">
        <f t="shared" si="35"/>
        <v>728133.33333333337</v>
      </c>
      <c r="L40" s="23">
        <f t="shared" si="35"/>
        <v>1638300</v>
      </c>
      <c r="M40" s="23">
        <f t="shared" si="35"/>
        <v>6553200</v>
      </c>
      <c r="N40" s="23">
        <f t="shared" si="35"/>
        <v>6553200</v>
      </c>
      <c r="O40" s="23">
        <f t="shared" si="35"/>
        <v>6553200</v>
      </c>
      <c r="P40" s="23">
        <f t="shared" si="35"/>
        <v>6553200</v>
      </c>
      <c r="Q40" s="23">
        <f t="shared" si="35"/>
        <v>6553200</v>
      </c>
      <c r="R40" s="23">
        <f t="shared" si="35"/>
        <v>6553200</v>
      </c>
      <c r="S40" s="23">
        <f t="shared" si="35"/>
        <v>6553200</v>
      </c>
      <c r="T40" s="23">
        <f t="shared" si="35"/>
        <v>6553200</v>
      </c>
      <c r="U40" s="23">
        <f t="shared" si="35"/>
        <v>6553200</v>
      </c>
      <c r="V40" s="23">
        <f t="shared" si="35"/>
        <v>6553200</v>
      </c>
      <c r="W40" s="23">
        <f t="shared" si="35"/>
        <v>6553200</v>
      </c>
      <c r="X40" s="23">
        <f t="shared" si="35"/>
        <v>6553200</v>
      </c>
      <c r="Y40" s="23">
        <f t="shared" si="35"/>
        <v>6553200</v>
      </c>
      <c r="Z40" s="23">
        <f t="shared" si="35"/>
        <v>6553200</v>
      </c>
      <c r="AA40" s="23">
        <f t="shared" si="35"/>
        <v>6553200</v>
      </c>
      <c r="AB40" s="23">
        <f t="shared" si="35"/>
        <v>6553200</v>
      </c>
    </row>
    <row r="41" spans="1:28" ht="15.75" customHeight="1" x14ac:dyDescent="0.3">
      <c r="A41" s="12">
        <f>RAW!$A$20</f>
        <v>13106800</v>
      </c>
      <c r="B41" s="2"/>
      <c r="C41" s="24" t="s">
        <v>33</v>
      </c>
      <c r="D41" s="23">
        <f t="shared" si="21"/>
        <v>13106800</v>
      </c>
      <c r="E41" s="2"/>
      <c r="F41" s="24" t="s">
        <v>33</v>
      </c>
      <c r="G41" s="23">
        <f t="shared" ref="G41:AB41" si="36">$A41/G$5</f>
        <v>436893.33333333331</v>
      </c>
      <c r="H41" s="23">
        <f t="shared" si="36"/>
        <v>3276700</v>
      </c>
      <c r="I41" s="23">
        <f t="shared" si="36"/>
        <v>728155.5555555555</v>
      </c>
      <c r="J41" s="23">
        <f t="shared" si="36"/>
        <v>13106800</v>
      </c>
      <c r="K41" s="23">
        <f t="shared" si="36"/>
        <v>1456311.111111111</v>
      </c>
      <c r="L41" s="23">
        <f t="shared" si="36"/>
        <v>3276700</v>
      </c>
      <c r="M41" s="23">
        <f t="shared" si="36"/>
        <v>13106800</v>
      </c>
      <c r="N41" s="23">
        <f t="shared" si="36"/>
        <v>13106800</v>
      </c>
      <c r="O41" s="23">
        <f t="shared" si="36"/>
        <v>13106800</v>
      </c>
      <c r="P41" s="23">
        <f t="shared" si="36"/>
        <v>13106800</v>
      </c>
      <c r="Q41" s="23">
        <f t="shared" si="36"/>
        <v>13106800</v>
      </c>
      <c r="R41" s="23">
        <f t="shared" si="36"/>
        <v>13106800</v>
      </c>
      <c r="S41" s="23">
        <f t="shared" si="36"/>
        <v>13106800</v>
      </c>
      <c r="T41" s="23">
        <f t="shared" si="36"/>
        <v>13106800</v>
      </c>
      <c r="U41" s="23">
        <f t="shared" si="36"/>
        <v>13106800</v>
      </c>
      <c r="V41" s="23">
        <f t="shared" si="36"/>
        <v>13106800</v>
      </c>
      <c r="W41" s="23">
        <f t="shared" si="36"/>
        <v>13106800</v>
      </c>
      <c r="X41" s="23">
        <f t="shared" si="36"/>
        <v>13106800</v>
      </c>
      <c r="Y41" s="23">
        <f t="shared" si="36"/>
        <v>13106800</v>
      </c>
      <c r="Z41" s="23">
        <f t="shared" si="36"/>
        <v>13106800</v>
      </c>
      <c r="AA41" s="23">
        <f t="shared" si="36"/>
        <v>13106800</v>
      </c>
      <c r="AB41" s="23">
        <f t="shared" si="36"/>
        <v>13106800</v>
      </c>
    </row>
    <row r="42" spans="1:28" ht="15.75" customHeight="1" x14ac:dyDescent="0.3">
      <c r="A42" s="12">
        <f>RAW!$A$21</f>
        <v>26214000</v>
      </c>
      <c r="B42" s="2"/>
      <c r="C42" s="24" t="s">
        <v>34</v>
      </c>
      <c r="D42" s="23">
        <f t="shared" si="21"/>
        <v>26214000</v>
      </c>
      <c r="E42" s="2"/>
      <c r="F42" s="24" t="s">
        <v>34</v>
      </c>
      <c r="G42" s="23">
        <f t="shared" ref="G42:AB42" si="37">$A42/G$5</f>
        <v>873800</v>
      </c>
      <c r="H42" s="23">
        <f t="shared" si="37"/>
        <v>6553500</v>
      </c>
      <c r="I42" s="23">
        <f t="shared" si="37"/>
        <v>1456333.3333333333</v>
      </c>
      <c r="J42" s="23">
        <f t="shared" si="37"/>
        <v>26214000</v>
      </c>
      <c r="K42" s="23">
        <f t="shared" si="37"/>
        <v>2912666.6666666665</v>
      </c>
      <c r="L42" s="23">
        <f t="shared" si="37"/>
        <v>6553500</v>
      </c>
      <c r="M42" s="23">
        <f t="shared" si="37"/>
        <v>26214000</v>
      </c>
      <c r="N42" s="23">
        <f t="shared" si="37"/>
        <v>26214000</v>
      </c>
      <c r="O42" s="23">
        <f t="shared" si="37"/>
        <v>26214000</v>
      </c>
      <c r="P42" s="23">
        <f t="shared" si="37"/>
        <v>26214000</v>
      </c>
      <c r="Q42" s="23">
        <f t="shared" si="37"/>
        <v>26214000</v>
      </c>
      <c r="R42" s="23">
        <f t="shared" si="37"/>
        <v>26214000</v>
      </c>
      <c r="S42" s="23">
        <f t="shared" si="37"/>
        <v>26214000</v>
      </c>
      <c r="T42" s="23">
        <f t="shared" si="37"/>
        <v>26214000</v>
      </c>
      <c r="U42" s="23">
        <f t="shared" si="37"/>
        <v>26214000</v>
      </c>
      <c r="V42" s="23">
        <f t="shared" si="37"/>
        <v>26214000</v>
      </c>
      <c r="W42" s="23">
        <f t="shared" si="37"/>
        <v>26214000</v>
      </c>
      <c r="X42" s="23">
        <f t="shared" si="37"/>
        <v>26214000</v>
      </c>
      <c r="Y42" s="23">
        <f t="shared" si="37"/>
        <v>26214000</v>
      </c>
      <c r="Z42" s="23">
        <f t="shared" si="37"/>
        <v>26214000</v>
      </c>
      <c r="AA42" s="23">
        <f t="shared" si="37"/>
        <v>26214000</v>
      </c>
      <c r="AB42" s="23">
        <f t="shared" si="37"/>
        <v>26214000</v>
      </c>
    </row>
    <row r="43" spans="1:28" ht="15.75" customHeight="1" x14ac:dyDescent="0.3">
      <c r="A43" s="12">
        <f>RAW!$A$22</f>
        <v>52428400</v>
      </c>
      <c r="B43" s="2"/>
      <c r="C43" s="24" t="s">
        <v>35</v>
      </c>
      <c r="D43" s="23">
        <f t="shared" si="21"/>
        <v>52428400</v>
      </c>
      <c r="E43" s="2"/>
      <c r="F43" s="24" t="s">
        <v>35</v>
      </c>
      <c r="G43" s="23">
        <f t="shared" ref="G43:AB43" si="38">$A43/G$5</f>
        <v>1747613.3333333333</v>
      </c>
      <c r="H43" s="23">
        <f t="shared" si="38"/>
        <v>13107100</v>
      </c>
      <c r="I43" s="23">
        <f t="shared" si="38"/>
        <v>2912688.888888889</v>
      </c>
      <c r="J43" s="23">
        <f t="shared" si="38"/>
        <v>52428400</v>
      </c>
      <c r="K43" s="23">
        <f t="shared" si="38"/>
        <v>5825377.777777778</v>
      </c>
      <c r="L43" s="23">
        <f t="shared" si="38"/>
        <v>13107100</v>
      </c>
      <c r="M43" s="23">
        <f t="shared" si="38"/>
        <v>52428400</v>
      </c>
      <c r="N43" s="23">
        <f t="shared" si="38"/>
        <v>52428400</v>
      </c>
      <c r="O43" s="23">
        <f t="shared" si="38"/>
        <v>52428400</v>
      </c>
      <c r="P43" s="23">
        <f t="shared" si="38"/>
        <v>52428400</v>
      </c>
      <c r="Q43" s="23">
        <f t="shared" si="38"/>
        <v>52428400</v>
      </c>
      <c r="R43" s="23">
        <f t="shared" si="38"/>
        <v>52428400</v>
      </c>
      <c r="S43" s="23">
        <f t="shared" si="38"/>
        <v>52428400</v>
      </c>
      <c r="T43" s="23">
        <f t="shared" si="38"/>
        <v>52428400</v>
      </c>
      <c r="U43" s="23">
        <f t="shared" si="38"/>
        <v>52428400</v>
      </c>
      <c r="V43" s="23">
        <f t="shared" si="38"/>
        <v>52428400</v>
      </c>
      <c r="W43" s="23">
        <f t="shared" si="38"/>
        <v>52428400</v>
      </c>
      <c r="X43" s="23">
        <f t="shared" si="38"/>
        <v>52428400</v>
      </c>
      <c r="Y43" s="23">
        <f t="shared" si="38"/>
        <v>52428400</v>
      </c>
      <c r="Z43" s="23">
        <f t="shared" si="38"/>
        <v>52428400</v>
      </c>
      <c r="AA43" s="23">
        <f t="shared" si="38"/>
        <v>52428400</v>
      </c>
      <c r="AB43" s="23">
        <f t="shared" si="38"/>
        <v>52428400</v>
      </c>
    </row>
    <row r="44" spans="1:28" ht="15.75" customHeight="1" x14ac:dyDescent="0.3">
      <c r="A44" s="3"/>
      <c r="B44" s="2"/>
      <c r="C44" s="29"/>
      <c r="D44" s="30"/>
      <c r="E44" s="2"/>
      <c r="F44" s="3"/>
      <c r="G44" s="31" t="s">
        <v>38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15.75" customHeight="1" x14ac:dyDescent="0.3">
      <c r="A45" s="19" t="s">
        <v>37</v>
      </c>
      <c r="B45" s="2"/>
      <c r="C45" s="10" t="s">
        <v>9</v>
      </c>
      <c r="D45" s="10" t="s">
        <v>10</v>
      </c>
      <c r="E45" s="2"/>
      <c r="F45" s="20" t="s">
        <v>9</v>
      </c>
      <c r="G45" s="11" t="str">
        <f t="shared" ref="G45:AB45" si="39">G26</f>
        <v>Kozaku</v>
      </c>
      <c r="H45" s="11" t="str">
        <f t="shared" si="39"/>
        <v>Laura</v>
      </c>
      <c r="I45" s="11" t="str">
        <f t="shared" si="39"/>
        <v>Yosuke</v>
      </c>
      <c r="J45" s="11" t="str">
        <f t="shared" si="39"/>
        <v>Rimir</v>
      </c>
      <c r="K45" s="11" t="str">
        <f t="shared" si="39"/>
        <v>Francisco</v>
      </c>
      <c r="L45" s="11" t="str">
        <f t="shared" si="39"/>
        <v>Biny</v>
      </c>
      <c r="M45" s="11">
        <f t="shared" si="39"/>
        <v>0</v>
      </c>
      <c r="N45" s="11">
        <f t="shared" si="39"/>
        <v>0</v>
      </c>
      <c r="O45" s="11">
        <f t="shared" si="39"/>
        <v>0</v>
      </c>
      <c r="P45" s="11">
        <f t="shared" si="39"/>
        <v>0</v>
      </c>
      <c r="Q45" s="11">
        <f t="shared" si="39"/>
        <v>0</v>
      </c>
      <c r="R45" s="11">
        <f t="shared" si="39"/>
        <v>0</v>
      </c>
      <c r="S45" s="11">
        <f t="shared" si="39"/>
        <v>0</v>
      </c>
      <c r="T45" s="11">
        <f t="shared" si="39"/>
        <v>0</v>
      </c>
      <c r="U45" s="11">
        <f t="shared" si="39"/>
        <v>0</v>
      </c>
      <c r="V45" s="11">
        <f t="shared" si="39"/>
        <v>0</v>
      </c>
      <c r="W45" s="11">
        <f t="shared" si="39"/>
        <v>0</v>
      </c>
      <c r="X45" s="11">
        <f t="shared" si="39"/>
        <v>0</v>
      </c>
      <c r="Y45" s="11">
        <f t="shared" si="39"/>
        <v>0</v>
      </c>
      <c r="Z45" s="11">
        <f t="shared" si="39"/>
        <v>0</v>
      </c>
      <c r="AA45" s="11">
        <f t="shared" si="39"/>
        <v>0</v>
      </c>
      <c r="AB45" s="11">
        <f t="shared" si="39"/>
        <v>0</v>
      </c>
    </row>
    <row r="46" spans="1:28" ht="15.75" customHeight="1" x14ac:dyDescent="0.3">
      <c r="A46" s="12">
        <f>RAW!$A$6</f>
        <v>400</v>
      </c>
      <c r="B46" s="2"/>
      <c r="C46" s="21" t="s">
        <v>19</v>
      </c>
      <c r="D46" s="22">
        <f t="shared" ref="D46:D62" si="40">($A46/D$5)/365</f>
        <v>1.095890410958904</v>
      </c>
      <c r="E46" s="2"/>
      <c r="F46" s="21" t="s">
        <v>19</v>
      </c>
      <c r="G46" s="23">
        <f t="shared" ref="G46:AB46" si="41">($A46/G$5)/365</f>
        <v>3.6529680365296809E-2</v>
      </c>
      <c r="H46" s="23">
        <f t="shared" si="41"/>
        <v>0.27397260273972601</v>
      </c>
      <c r="I46" s="23">
        <f t="shared" si="41"/>
        <v>6.0882800608828003E-2</v>
      </c>
      <c r="J46" s="23">
        <f t="shared" si="41"/>
        <v>1.095890410958904</v>
      </c>
      <c r="K46" s="23">
        <f t="shared" si="41"/>
        <v>0.12176560121765601</v>
      </c>
      <c r="L46" s="23">
        <f t="shared" si="41"/>
        <v>0.27397260273972601</v>
      </c>
      <c r="M46" s="23">
        <f t="shared" si="41"/>
        <v>1.095890410958904</v>
      </c>
      <c r="N46" s="23">
        <f t="shared" si="41"/>
        <v>1.095890410958904</v>
      </c>
      <c r="O46" s="23">
        <f t="shared" si="41"/>
        <v>1.095890410958904</v>
      </c>
      <c r="P46" s="23">
        <f t="shared" si="41"/>
        <v>1.095890410958904</v>
      </c>
      <c r="Q46" s="23">
        <f t="shared" si="41"/>
        <v>1.095890410958904</v>
      </c>
      <c r="R46" s="23">
        <f t="shared" si="41"/>
        <v>1.095890410958904</v>
      </c>
      <c r="S46" s="23">
        <f t="shared" si="41"/>
        <v>1.095890410958904</v>
      </c>
      <c r="T46" s="23">
        <f t="shared" si="41"/>
        <v>1.095890410958904</v>
      </c>
      <c r="U46" s="23">
        <f t="shared" si="41"/>
        <v>1.095890410958904</v>
      </c>
      <c r="V46" s="23">
        <f t="shared" si="41"/>
        <v>1.095890410958904</v>
      </c>
      <c r="W46" s="23">
        <f t="shared" si="41"/>
        <v>1.095890410958904</v>
      </c>
      <c r="X46" s="23">
        <f t="shared" si="41"/>
        <v>1.095890410958904</v>
      </c>
      <c r="Y46" s="23">
        <f t="shared" si="41"/>
        <v>1.095890410958904</v>
      </c>
      <c r="Z46" s="23">
        <f t="shared" si="41"/>
        <v>1.095890410958904</v>
      </c>
      <c r="AA46" s="23">
        <f t="shared" si="41"/>
        <v>1.095890410958904</v>
      </c>
      <c r="AB46" s="23">
        <f t="shared" si="41"/>
        <v>1.095890410958904</v>
      </c>
    </row>
    <row r="47" spans="1:28" ht="15.75" customHeight="1" x14ac:dyDescent="0.3">
      <c r="A47" s="12">
        <f>RAW!$A$7</f>
        <v>1200</v>
      </c>
      <c r="B47" s="2"/>
      <c r="C47" s="24" t="s">
        <v>20</v>
      </c>
      <c r="D47" s="23">
        <f t="shared" si="40"/>
        <v>3.2876712328767121</v>
      </c>
      <c r="E47" s="2"/>
      <c r="F47" s="24" t="s">
        <v>20</v>
      </c>
      <c r="G47" s="23">
        <f t="shared" ref="G47:AB47" si="42">($A47/G$5)/365</f>
        <v>0.1095890410958904</v>
      </c>
      <c r="H47" s="23">
        <f t="shared" si="42"/>
        <v>0.82191780821917804</v>
      </c>
      <c r="I47" s="23">
        <f t="shared" si="42"/>
        <v>0.18264840182648404</v>
      </c>
      <c r="J47" s="23">
        <f t="shared" si="42"/>
        <v>3.2876712328767121</v>
      </c>
      <c r="K47" s="23">
        <f t="shared" si="42"/>
        <v>0.36529680365296807</v>
      </c>
      <c r="L47" s="23">
        <f t="shared" si="42"/>
        <v>0.82191780821917804</v>
      </c>
      <c r="M47" s="23">
        <f t="shared" si="42"/>
        <v>3.2876712328767121</v>
      </c>
      <c r="N47" s="23">
        <f t="shared" si="42"/>
        <v>3.2876712328767121</v>
      </c>
      <c r="O47" s="23">
        <f t="shared" si="42"/>
        <v>3.2876712328767121</v>
      </c>
      <c r="P47" s="23">
        <f t="shared" si="42"/>
        <v>3.2876712328767121</v>
      </c>
      <c r="Q47" s="23">
        <f t="shared" si="42"/>
        <v>3.2876712328767121</v>
      </c>
      <c r="R47" s="23">
        <f t="shared" si="42"/>
        <v>3.2876712328767121</v>
      </c>
      <c r="S47" s="23">
        <f t="shared" si="42"/>
        <v>3.2876712328767121</v>
      </c>
      <c r="T47" s="23">
        <f t="shared" si="42"/>
        <v>3.2876712328767121</v>
      </c>
      <c r="U47" s="23">
        <f t="shared" si="42"/>
        <v>3.2876712328767121</v>
      </c>
      <c r="V47" s="23">
        <f t="shared" si="42"/>
        <v>3.2876712328767121</v>
      </c>
      <c r="W47" s="23">
        <f t="shared" si="42"/>
        <v>3.2876712328767121</v>
      </c>
      <c r="X47" s="23">
        <f t="shared" si="42"/>
        <v>3.2876712328767121</v>
      </c>
      <c r="Y47" s="23">
        <f t="shared" si="42"/>
        <v>3.2876712328767121</v>
      </c>
      <c r="Z47" s="23">
        <f t="shared" si="42"/>
        <v>3.2876712328767121</v>
      </c>
      <c r="AA47" s="23">
        <f t="shared" si="42"/>
        <v>3.2876712328767121</v>
      </c>
      <c r="AB47" s="23">
        <f t="shared" si="42"/>
        <v>3.2876712328767121</v>
      </c>
    </row>
    <row r="48" spans="1:28" ht="15.75" customHeight="1" x14ac:dyDescent="0.3">
      <c r="A48" s="12">
        <f>RAW!$A$8</f>
        <v>2800</v>
      </c>
      <c r="B48" s="2"/>
      <c r="C48" s="24" t="s">
        <v>21</v>
      </c>
      <c r="D48" s="23">
        <f t="shared" si="40"/>
        <v>7.6712328767123283</v>
      </c>
      <c r="E48" s="2"/>
      <c r="F48" s="24" t="s">
        <v>21</v>
      </c>
      <c r="G48" s="23">
        <f t="shared" ref="G48:AB48" si="43">($A48/G$5)/365</f>
        <v>0.25570776255707761</v>
      </c>
      <c r="H48" s="23">
        <f t="shared" si="43"/>
        <v>1.9178082191780821</v>
      </c>
      <c r="I48" s="23">
        <f t="shared" si="43"/>
        <v>0.42617960426179602</v>
      </c>
      <c r="J48" s="23">
        <f t="shared" si="43"/>
        <v>7.6712328767123283</v>
      </c>
      <c r="K48" s="23">
        <f t="shared" si="43"/>
        <v>0.85235920852359204</v>
      </c>
      <c r="L48" s="23">
        <f t="shared" si="43"/>
        <v>1.9178082191780821</v>
      </c>
      <c r="M48" s="23">
        <f t="shared" si="43"/>
        <v>7.6712328767123283</v>
      </c>
      <c r="N48" s="23">
        <f t="shared" si="43"/>
        <v>7.6712328767123283</v>
      </c>
      <c r="O48" s="23">
        <f t="shared" si="43"/>
        <v>7.6712328767123283</v>
      </c>
      <c r="P48" s="23">
        <f t="shared" si="43"/>
        <v>7.6712328767123283</v>
      </c>
      <c r="Q48" s="23">
        <f t="shared" si="43"/>
        <v>7.6712328767123283</v>
      </c>
      <c r="R48" s="23">
        <f t="shared" si="43"/>
        <v>7.6712328767123283</v>
      </c>
      <c r="S48" s="23">
        <f t="shared" si="43"/>
        <v>7.6712328767123283</v>
      </c>
      <c r="T48" s="23">
        <f t="shared" si="43"/>
        <v>7.6712328767123283</v>
      </c>
      <c r="U48" s="23">
        <f t="shared" si="43"/>
        <v>7.6712328767123283</v>
      </c>
      <c r="V48" s="23">
        <f t="shared" si="43"/>
        <v>7.6712328767123283</v>
      </c>
      <c r="W48" s="23">
        <f t="shared" si="43"/>
        <v>7.6712328767123283</v>
      </c>
      <c r="X48" s="23">
        <f t="shared" si="43"/>
        <v>7.6712328767123283</v>
      </c>
      <c r="Y48" s="23">
        <f t="shared" si="43"/>
        <v>7.6712328767123283</v>
      </c>
      <c r="Z48" s="23">
        <f t="shared" si="43"/>
        <v>7.6712328767123283</v>
      </c>
      <c r="AA48" s="23">
        <f t="shared" si="43"/>
        <v>7.6712328767123283</v>
      </c>
      <c r="AB48" s="23">
        <f t="shared" si="43"/>
        <v>7.6712328767123283</v>
      </c>
    </row>
    <row r="49" spans="1:28" ht="15.75" customHeight="1" x14ac:dyDescent="0.3">
      <c r="A49" s="12">
        <f>RAW!$A$9</f>
        <v>6000</v>
      </c>
      <c r="B49" s="2"/>
      <c r="C49" s="24" t="s">
        <v>22</v>
      </c>
      <c r="D49" s="23">
        <f t="shared" si="40"/>
        <v>16.438356164383563</v>
      </c>
      <c r="E49" s="2"/>
      <c r="F49" s="24" t="s">
        <v>22</v>
      </c>
      <c r="G49" s="23">
        <f t="shared" ref="G49:AB49" si="44">($A49/G$5)/365</f>
        <v>0.54794520547945202</v>
      </c>
      <c r="H49" s="23">
        <f t="shared" si="44"/>
        <v>4.1095890410958908</v>
      </c>
      <c r="I49" s="23">
        <f t="shared" si="44"/>
        <v>0.91324200913242004</v>
      </c>
      <c r="J49" s="23">
        <f t="shared" si="44"/>
        <v>16.438356164383563</v>
      </c>
      <c r="K49" s="23">
        <f t="shared" si="44"/>
        <v>1.8264840182648401</v>
      </c>
      <c r="L49" s="23">
        <f t="shared" si="44"/>
        <v>4.1095890410958908</v>
      </c>
      <c r="M49" s="23">
        <f t="shared" si="44"/>
        <v>16.438356164383563</v>
      </c>
      <c r="N49" s="23">
        <f t="shared" si="44"/>
        <v>16.438356164383563</v>
      </c>
      <c r="O49" s="23">
        <f t="shared" si="44"/>
        <v>16.438356164383563</v>
      </c>
      <c r="P49" s="23">
        <f t="shared" si="44"/>
        <v>16.438356164383563</v>
      </c>
      <c r="Q49" s="23">
        <f t="shared" si="44"/>
        <v>16.438356164383563</v>
      </c>
      <c r="R49" s="23">
        <f t="shared" si="44"/>
        <v>16.438356164383563</v>
      </c>
      <c r="S49" s="23">
        <f t="shared" si="44"/>
        <v>16.438356164383563</v>
      </c>
      <c r="T49" s="23">
        <f t="shared" si="44"/>
        <v>16.438356164383563</v>
      </c>
      <c r="U49" s="23">
        <f t="shared" si="44"/>
        <v>16.438356164383563</v>
      </c>
      <c r="V49" s="23">
        <f t="shared" si="44"/>
        <v>16.438356164383563</v>
      </c>
      <c r="W49" s="23">
        <f t="shared" si="44"/>
        <v>16.438356164383563</v>
      </c>
      <c r="X49" s="23">
        <f t="shared" si="44"/>
        <v>16.438356164383563</v>
      </c>
      <c r="Y49" s="23">
        <f t="shared" si="44"/>
        <v>16.438356164383563</v>
      </c>
      <c r="Z49" s="23">
        <f t="shared" si="44"/>
        <v>16.438356164383563</v>
      </c>
      <c r="AA49" s="23">
        <f t="shared" si="44"/>
        <v>16.438356164383563</v>
      </c>
      <c r="AB49" s="23">
        <f t="shared" si="44"/>
        <v>16.438356164383563</v>
      </c>
    </row>
    <row r="50" spans="1:28" ht="15.75" customHeight="1" x14ac:dyDescent="0.3">
      <c r="A50" s="12">
        <f>RAW!$A$10</f>
        <v>12400</v>
      </c>
      <c r="B50" s="2"/>
      <c r="C50" s="24" t="s">
        <v>23</v>
      </c>
      <c r="D50" s="23">
        <f t="shared" si="40"/>
        <v>33.972602739726028</v>
      </c>
      <c r="E50" s="2"/>
      <c r="F50" s="24" t="s">
        <v>23</v>
      </c>
      <c r="G50" s="23">
        <f t="shared" ref="G50:AB50" si="45">($A50/G$5)/365</f>
        <v>1.1324200913242009</v>
      </c>
      <c r="H50" s="23">
        <f t="shared" si="45"/>
        <v>8.493150684931507</v>
      </c>
      <c r="I50" s="23">
        <f t="shared" si="45"/>
        <v>1.8873668188736683</v>
      </c>
      <c r="J50" s="23">
        <f t="shared" si="45"/>
        <v>33.972602739726028</v>
      </c>
      <c r="K50" s="23">
        <f t="shared" si="45"/>
        <v>3.7747336377473366</v>
      </c>
      <c r="L50" s="23">
        <f t="shared" si="45"/>
        <v>8.493150684931507</v>
      </c>
      <c r="M50" s="23">
        <f t="shared" si="45"/>
        <v>33.972602739726028</v>
      </c>
      <c r="N50" s="23">
        <f t="shared" si="45"/>
        <v>33.972602739726028</v>
      </c>
      <c r="O50" s="23">
        <f t="shared" si="45"/>
        <v>33.972602739726028</v>
      </c>
      <c r="P50" s="23">
        <f t="shared" si="45"/>
        <v>33.972602739726028</v>
      </c>
      <c r="Q50" s="23">
        <f t="shared" si="45"/>
        <v>33.972602739726028</v>
      </c>
      <c r="R50" s="23">
        <f t="shared" si="45"/>
        <v>33.972602739726028</v>
      </c>
      <c r="S50" s="23">
        <f t="shared" si="45"/>
        <v>33.972602739726028</v>
      </c>
      <c r="T50" s="23">
        <f t="shared" si="45"/>
        <v>33.972602739726028</v>
      </c>
      <c r="U50" s="23">
        <f t="shared" si="45"/>
        <v>33.972602739726028</v>
      </c>
      <c r="V50" s="23">
        <f t="shared" si="45"/>
        <v>33.972602739726028</v>
      </c>
      <c r="W50" s="23">
        <f t="shared" si="45"/>
        <v>33.972602739726028</v>
      </c>
      <c r="X50" s="23">
        <f t="shared" si="45"/>
        <v>33.972602739726028</v>
      </c>
      <c r="Y50" s="23">
        <f t="shared" si="45"/>
        <v>33.972602739726028</v>
      </c>
      <c r="Z50" s="23">
        <f t="shared" si="45"/>
        <v>33.972602739726028</v>
      </c>
      <c r="AA50" s="23">
        <f t="shared" si="45"/>
        <v>33.972602739726028</v>
      </c>
      <c r="AB50" s="23">
        <f t="shared" si="45"/>
        <v>33.972602739726028</v>
      </c>
    </row>
    <row r="51" spans="1:28" ht="15.75" customHeight="1" x14ac:dyDescent="0.3">
      <c r="A51" s="12">
        <f>RAW!$A$11</f>
        <v>25200</v>
      </c>
      <c r="B51" s="2"/>
      <c r="C51" s="24" t="s">
        <v>24</v>
      </c>
      <c r="D51" s="23">
        <f t="shared" si="40"/>
        <v>69.041095890410958</v>
      </c>
      <c r="E51" s="2"/>
      <c r="F51" s="24" t="s">
        <v>24</v>
      </c>
      <c r="G51" s="23">
        <f t="shared" ref="G51:AB51" si="46">($A51/G$5)/365</f>
        <v>2.3013698630136985</v>
      </c>
      <c r="H51" s="23">
        <f t="shared" si="46"/>
        <v>17.260273972602739</v>
      </c>
      <c r="I51" s="23">
        <f t="shared" si="46"/>
        <v>3.8356164383561642</v>
      </c>
      <c r="J51" s="23">
        <f t="shared" si="46"/>
        <v>69.041095890410958</v>
      </c>
      <c r="K51" s="23">
        <f t="shared" si="46"/>
        <v>7.6712328767123283</v>
      </c>
      <c r="L51" s="23">
        <f t="shared" si="46"/>
        <v>17.260273972602739</v>
      </c>
      <c r="M51" s="23">
        <f t="shared" si="46"/>
        <v>69.041095890410958</v>
      </c>
      <c r="N51" s="23">
        <f t="shared" si="46"/>
        <v>69.041095890410958</v>
      </c>
      <c r="O51" s="23">
        <f t="shared" si="46"/>
        <v>69.041095890410958</v>
      </c>
      <c r="P51" s="23">
        <f t="shared" si="46"/>
        <v>69.041095890410958</v>
      </c>
      <c r="Q51" s="23">
        <f t="shared" si="46"/>
        <v>69.041095890410958</v>
      </c>
      <c r="R51" s="23">
        <f t="shared" si="46"/>
        <v>69.041095890410958</v>
      </c>
      <c r="S51" s="23">
        <f t="shared" si="46"/>
        <v>69.041095890410958</v>
      </c>
      <c r="T51" s="23">
        <f t="shared" si="46"/>
        <v>69.041095890410958</v>
      </c>
      <c r="U51" s="23">
        <f t="shared" si="46"/>
        <v>69.041095890410958</v>
      </c>
      <c r="V51" s="23">
        <f t="shared" si="46"/>
        <v>69.041095890410958</v>
      </c>
      <c r="W51" s="23">
        <f t="shared" si="46"/>
        <v>69.041095890410958</v>
      </c>
      <c r="X51" s="23">
        <f t="shared" si="46"/>
        <v>69.041095890410958</v>
      </c>
      <c r="Y51" s="23">
        <f t="shared" si="46"/>
        <v>69.041095890410958</v>
      </c>
      <c r="Z51" s="23">
        <f t="shared" si="46"/>
        <v>69.041095890410958</v>
      </c>
      <c r="AA51" s="23">
        <f t="shared" si="46"/>
        <v>69.041095890410958</v>
      </c>
      <c r="AB51" s="23">
        <f t="shared" si="46"/>
        <v>69.041095890410958</v>
      </c>
    </row>
    <row r="52" spans="1:28" ht="15.75" customHeight="1" x14ac:dyDescent="0.3">
      <c r="A52" s="12">
        <f>RAW!$A$12</f>
        <v>50800</v>
      </c>
      <c r="B52" s="2"/>
      <c r="C52" s="24" t="s">
        <v>25</v>
      </c>
      <c r="D52" s="23">
        <f t="shared" si="40"/>
        <v>139.17808219178082</v>
      </c>
      <c r="E52" s="2"/>
      <c r="F52" s="24" t="s">
        <v>25</v>
      </c>
      <c r="G52" s="23">
        <f t="shared" ref="G52:AB52" si="47">($A52/G$5)/365</f>
        <v>4.6392694063926943</v>
      </c>
      <c r="H52" s="23">
        <f t="shared" si="47"/>
        <v>34.794520547945204</v>
      </c>
      <c r="I52" s="23">
        <f t="shared" si="47"/>
        <v>7.7321156773211568</v>
      </c>
      <c r="J52" s="23">
        <f t="shared" si="47"/>
        <v>139.17808219178082</v>
      </c>
      <c r="K52" s="23">
        <f t="shared" si="47"/>
        <v>15.464231354642314</v>
      </c>
      <c r="L52" s="23">
        <f t="shared" si="47"/>
        <v>34.794520547945204</v>
      </c>
      <c r="M52" s="23">
        <f t="shared" si="47"/>
        <v>139.17808219178082</v>
      </c>
      <c r="N52" s="23">
        <f t="shared" si="47"/>
        <v>139.17808219178082</v>
      </c>
      <c r="O52" s="23">
        <f t="shared" si="47"/>
        <v>139.17808219178082</v>
      </c>
      <c r="P52" s="23">
        <f t="shared" si="47"/>
        <v>139.17808219178082</v>
      </c>
      <c r="Q52" s="23">
        <f t="shared" si="47"/>
        <v>139.17808219178082</v>
      </c>
      <c r="R52" s="23">
        <f t="shared" si="47"/>
        <v>139.17808219178082</v>
      </c>
      <c r="S52" s="23">
        <f t="shared" si="47"/>
        <v>139.17808219178082</v>
      </c>
      <c r="T52" s="23">
        <f t="shared" si="47"/>
        <v>139.17808219178082</v>
      </c>
      <c r="U52" s="23">
        <f t="shared" si="47"/>
        <v>139.17808219178082</v>
      </c>
      <c r="V52" s="23">
        <f t="shared" si="47"/>
        <v>139.17808219178082</v>
      </c>
      <c r="W52" s="23">
        <f t="shared" si="47"/>
        <v>139.17808219178082</v>
      </c>
      <c r="X52" s="23">
        <f t="shared" si="47"/>
        <v>139.17808219178082</v>
      </c>
      <c r="Y52" s="23">
        <f t="shared" si="47"/>
        <v>139.17808219178082</v>
      </c>
      <c r="Z52" s="23">
        <f t="shared" si="47"/>
        <v>139.17808219178082</v>
      </c>
      <c r="AA52" s="23">
        <f t="shared" si="47"/>
        <v>139.17808219178082</v>
      </c>
      <c r="AB52" s="23">
        <f t="shared" si="47"/>
        <v>139.17808219178082</v>
      </c>
    </row>
    <row r="53" spans="1:28" ht="15.75" customHeight="1" x14ac:dyDescent="0.3">
      <c r="A53" s="12">
        <f>RAW!$A$13</f>
        <v>102000</v>
      </c>
      <c r="B53" s="2"/>
      <c r="C53" s="24" t="s">
        <v>26</v>
      </c>
      <c r="D53" s="23">
        <f t="shared" si="40"/>
        <v>279.45205479452056</v>
      </c>
      <c r="E53" s="2"/>
      <c r="F53" s="24" t="s">
        <v>26</v>
      </c>
      <c r="G53" s="23">
        <f t="shared" ref="G53:AB53" si="48">($A53/G$5)/365</f>
        <v>9.3150684931506849</v>
      </c>
      <c r="H53" s="23">
        <f t="shared" si="48"/>
        <v>69.863013698630141</v>
      </c>
      <c r="I53" s="23">
        <f t="shared" si="48"/>
        <v>15.525114155251142</v>
      </c>
      <c r="J53" s="23">
        <f t="shared" si="48"/>
        <v>279.45205479452056</v>
      </c>
      <c r="K53" s="23">
        <f t="shared" si="48"/>
        <v>31.050228310502284</v>
      </c>
      <c r="L53" s="23">
        <f t="shared" si="48"/>
        <v>69.863013698630141</v>
      </c>
      <c r="M53" s="23">
        <f t="shared" si="48"/>
        <v>279.45205479452056</v>
      </c>
      <c r="N53" s="23">
        <f t="shared" si="48"/>
        <v>279.45205479452056</v>
      </c>
      <c r="O53" s="23">
        <f t="shared" si="48"/>
        <v>279.45205479452056</v>
      </c>
      <c r="P53" s="23">
        <f t="shared" si="48"/>
        <v>279.45205479452056</v>
      </c>
      <c r="Q53" s="23">
        <f t="shared" si="48"/>
        <v>279.45205479452056</v>
      </c>
      <c r="R53" s="23">
        <f t="shared" si="48"/>
        <v>279.45205479452056</v>
      </c>
      <c r="S53" s="23">
        <f t="shared" si="48"/>
        <v>279.45205479452056</v>
      </c>
      <c r="T53" s="23">
        <f t="shared" si="48"/>
        <v>279.45205479452056</v>
      </c>
      <c r="U53" s="23">
        <f t="shared" si="48"/>
        <v>279.45205479452056</v>
      </c>
      <c r="V53" s="23">
        <f t="shared" si="48"/>
        <v>279.45205479452056</v>
      </c>
      <c r="W53" s="23">
        <f t="shared" si="48"/>
        <v>279.45205479452056</v>
      </c>
      <c r="X53" s="23">
        <f t="shared" si="48"/>
        <v>279.45205479452056</v>
      </c>
      <c r="Y53" s="23">
        <f t="shared" si="48"/>
        <v>279.45205479452056</v>
      </c>
      <c r="Z53" s="23">
        <f t="shared" si="48"/>
        <v>279.45205479452056</v>
      </c>
      <c r="AA53" s="23">
        <f t="shared" si="48"/>
        <v>279.45205479452056</v>
      </c>
      <c r="AB53" s="23">
        <f t="shared" si="48"/>
        <v>279.45205479452056</v>
      </c>
    </row>
    <row r="54" spans="1:28" ht="15.75" customHeight="1" x14ac:dyDescent="0.3">
      <c r="A54" s="12">
        <f>RAW!$A$14</f>
        <v>204400</v>
      </c>
      <c r="B54" s="2"/>
      <c r="C54" s="24" t="s">
        <v>27</v>
      </c>
      <c r="D54" s="23">
        <f t="shared" si="40"/>
        <v>560</v>
      </c>
      <c r="E54" s="2"/>
      <c r="F54" s="24" t="s">
        <v>27</v>
      </c>
      <c r="G54" s="23">
        <f t="shared" ref="G54:AB54" si="49">($A54/G$5)/365</f>
        <v>18.666666666666664</v>
      </c>
      <c r="H54" s="23">
        <f t="shared" si="49"/>
        <v>140</v>
      </c>
      <c r="I54" s="23">
        <f t="shared" si="49"/>
        <v>31.111111111111107</v>
      </c>
      <c r="J54" s="23">
        <f t="shared" si="49"/>
        <v>560</v>
      </c>
      <c r="K54" s="23">
        <f t="shared" si="49"/>
        <v>62.222222222222214</v>
      </c>
      <c r="L54" s="23">
        <f t="shared" si="49"/>
        <v>140</v>
      </c>
      <c r="M54" s="23">
        <f t="shared" si="49"/>
        <v>560</v>
      </c>
      <c r="N54" s="23">
        <f t="shared" si="49"/>
        <v>560</v>
      </c>
      <c r="O54" s="23">
        <f t="shared" si="49"/>
        <v>560</v>
      </c>
      <c r="P54" s="23">
        <f t="shared" si="49"/>
        <v>560</v>
      </c>
      <c r="Q54" s="23">
        <f t="shared" si="49"/>
        <v>560</v>
      </c>
      <c r="R54" s="23">
        <f t="shared" si="49"/>
        <v>560</v>
      </c>
      <c r="S54" s="23">
        <f t="shared" si="49"/>
        <v>560</v>
      </c>
      <c r="T54" s="23">
        <f t="shared" si="49"/>
        <v>560</v>
      </c>
      <c r="U54" s="23">
        <f t="shared" si="49"/>
        <v>560</v>
      </c>
      <c r="V54" s="23">
        <f t="shared" si="49"/>
        <v>560</v>
      </c>
      <c r="W54" s="23">
        <f t="shared" si="49"/>
        <v>560</v>
      </c>
      <c r="X54" s="23">
        <f t="shared" si="49"/>
        <v>560</v>
      </c>
      <c r="Y54" s="23">
        <f t="shared" si="49"/>
        <v>560</v>
      </c>
      <c r="Z54" s="23">
        <f t="shared" si="49"/>
        <v>560</v>
      </c>
      <c r="AA54" s="23">
        <f t="shared" si="49"/>
        <v>560</v>
      </c>
      <c r="AB54" s="23">
        <f t="shared" si="49"/>
        <v>560</v>
      </c>
    </row>
    <row r="55" spans="1:28" ht="15.75" customHeight="1" x14ac:dyDescent="0.3">
      <c r="A55" s="12">
        <f>RAW!$A$15</f>
        <v>409200</v>
      </c>
      <c r="B55" s="2"/>
      <c r="C55" s="24" t="s">
        <v>28</v>
      </c>
      <c r="D55" s="23">
        <f t="shared" si="40"/>
        <v>1121.0958904109589</v>
      </c>
      <c r="E55" s="2"/>
      <c r="F55" s="24" t="s">
        <v>28</v>
      </c>
      <c r="G55" s="23">
        <f t="shared" ref="G55:AB55" si="50">($A55/G$5)/365</f>
        <v>37.369863013698627</v>
      </c>
      <c r="H55" s="23">
        <f t="shared" si="50"/>
        <v>280.27397260273972</v>
      </c>
      <c r="I55" s="23">
        <f t="shared" si="50"/>
        <v>62.283105022831045</v>
      </c>
      <c r="J55" s="23">
        <f t="shared" si="50"/>
        <v>1121.0958904109589</v>
      </c>
      <c r="K55" s="23">
        <f t="shared" si="50"/>
        <v>124.56621004566209</v>
      </c>
      <c r="L55" s="23">
        <f t="shared" si="50"/>
        <v>280.27397260273972</v>
      </c>
      <c r="M55" s="23">
        <f t="shared" si="50"/>
        <v>1121.0958904109589</v>
      </c>
      <c r="N55" s="23">
        <f t="shared" si="50"/>
        <v>1121.0958904109589</v>
      </c>
      <c r="O55" s="23">
        <f t="shared" si="50"/>
        <v>1121.0958904109589</v>
      </c>
      <c r="P55" s="23">
        <f t="shared" si="50"/>
        <v>1121.0958904109589</v>
      </c>
      <c r="Q55" s="23">
        <f t="shared" si="50"/>
        <v>1121.0958904109589</v>
      </c>
      <c r="R55" s="23">
        <f t="shared" si="50"/>
        <v>1121.0958904109589</v>
      </c>
      <c r="S55" s="23">
        <f t="shared" si="50"/>
        <v>1121.0958904109589</v>
      </c>
      <c r="T55" s="23">
        <f t="shared" si="50"/>
        <v>1121.0958904109589</v>
      </c>
      <c r="U55" s="23">
        <f t="shared" si="50"/>
        <v>1121.0958904109589</v>
      </c>
      <c r="V55" s="23">
        <f t="shared" si="50"/>
        <v>1121.0958904109589</v>
      </c>
      <c r="W55" s="23">
        <f t="shared" si="50"/>
        <v>1121.0958904109589</v>
      </c>
      <c r="X55" s="23">
        <f t="shared" si="50"/>
        <v>1121.0958904109589</v>
      </c>
      <c r="Y55" s="23">
        <f t="shared" si="50"/>
        <v>1121.0958904109589</v>
      </c>
      <c r="Z55" s="23">
        <f t="shared" si="50"/>
        <v>1121.0958904109589</v>
      </c>
      <c r="AA55" s="23">
        <f t="shared" si="50"/>
        <v>1121.0958904109589</v>
      </c>
      <c r="AB55" s="23">
        <f t="shared" si="50"/>
        <v>1121.0958904109589</v>
      </c>
    </row>
    <row r="56" spans="1:28" ht="15.75" customHeight="1" x14ac:dyDescent="0.3">
      <c r="A56" s="12">
        <f>RAW!$A$16</f>
        <v>818800</v>
      </c>
      <c r="B56" s="2"/>
      <c r="C56" s="24" t="s">
        <v>29</v>
      </c>
      <c r="D56" s="23">
        <f t="shared" si="40"/>
        <v>2243.2876712328766</v>
      </c>
      <c r="E56" s="2"/>
      <c r="F56" s="24" t="s">
        <v>29</v>
      </c>
      <c r="G56" s="23">
        <f t="shared" ref="G56:AB56" si="51">($A56/G$5)/365</f>
        <v>74.776255707762559</v>
      </c>
      <c r="H56" s="23">
        <f t="shared" si="51"/>
        <v>560.82191780821915</v>
      </c>
      <c r="I56" s="23">
        <f t="shared" si="51"/>
        <v>124.62709284627093</v>
      </c>
      <c r="J56" s="23">
        <f t="shared" si="51"/>
        <v>2243.2876712328766</v>
      </c>
      <c r="K56" s="23">
        <f t="shared" si="51"/>
        <v>249.25418569254185</v>
      </c>
      <c r="L56" s="23">
        <f t="shared" si="51"/>
        <v>560.82191780821915</v>
      </c>
      <c r="M56" s="23">
        <f t="shared" si="51"/>
        <v>2243.2876712328766</v>
      </c>
      <c r="N56" s="23">
        <f t="shared" si="51"/>
        <v>2243.2876712328766</v>
      </c>
      <c r="O56" s="23">
        <f t="shared" si="51"/>
        <v>2243.2876712328766</v>
      </c>
      <c r="P56" s="23">
        <f t="shared" si="51"/>
        <v>2243.2876712328766</v>
      </c>
      <c r="Q56" s="23">
        <f t="shared" si="51"/>
        <v>2243.2876712328766</v>
      </c>
      <c r="R56" s="23">
        <f t="shared" si="51"/>
        <v>2243.2876712328766</v>
      </c>
      <c r="S56" s="23">
        <f t="shared" si="51"/>
        <v>2243.2876712328766</v>
      </c>
      <c r="T56" s="23">
        <f t="shared" si="51"/>
        <v>2243.2876712328766</v>
      </c>
      <c r="U56" s="23">
        <f t="shared" si="51"/>
        <v>2243.2876712328766</v>
      </c>
      <c r="V56" s="23">
        <f t="shared" si="51"/>
        <v>2243.2876712328766</v>
      </c>
      <c r="W56" s="23">
        <f t="shared" si="51"/>
        <v>2243.2876712328766</v>
      </c>
      <c r="X56" s="23">
        <f t="shared" si="51"/>
        <v>2243.2876712328766</v>
      </c>
      <c r="Y56" s="23">
        <f t="shared" si="51"/>
        <v>2243.2876712328766</v>
      </c>
      <c r="Z56" s="23">
        <f t="shared" si="51"/>
        <v>2243.2876712328766</v>
      </c>
      <c r="AA56" s="23">
        <f t="shared" si="51"/>
        <v>2243.2876712328766</v>
      </c>
      <c r="AB56" s="23">
        <f t="shared" si="51"/>
        <v>2243.2876712328766</v>
      </c>
    </row>
    <row r="57" spans="1:28" ht="15.75" customHeight="1" x14ac:dyDescent="0.3">
      <c r="A57" s="12">
        <f>RAW!$A$17</f>
        <v>1638000</v>
      </c>
      <c r="B57" s="2"/>
      <c r="C57" s="24" t="s">
        <v>30</v>
      </c>
      <c r="D57" s="23">
        <f t="shared" si="40"/>
        <v>4487.6712328767126</v>
      </c>
      <c r="E57" s="2"/>
      <c r="F57" s="24" t="s">
        <v>30</v>
      </c>
      <c r="G57" s="23">
        <f t="shared" ref="G57:AB57" si="52">($A57/G$5)/365</f>
        <v>149.58904109589042</v>
      </c>
      <c r="H57" s="23">
        <f t="shared" si="52"/>
        <v>1121.9178082191781</v>
      </c>
      <c r="I57" s="23">
        <f t="shared" si="52"/>
        <v>249.31506849315068</v>
      </c>
      <c r="J57" s="23">
        <f t="shared" si="52"/>
        <v>4487.6712328767126</v>
      </c>
      <c r="K57" s="23">
        <f t="shared" si="52"/>
        <v>498.63013698630135</v>
      </c>
      <c r="L57" s="23">
        <f t="shared" si="52"/>
        <v>1121.9178082191781</v>
      </c>
      <c r="M57" s="23">
        <f t="shared" si="52"/>
        <v>4487.6712328767126</v>
      </c>
      <c r="N57" s="23">
        <f t="shared" si="52"/>
        <v>4487.6712328767126</v>
      </c>
      <c r="O57" s="23">
        <f t="shared" si="52"/>
        <v>4487.6712328767126</v>
      </c>
      <c r="P57" s="23">
        <f t="shared" si="52"/>
        <v>4487.6712328767126</v>
      </c>
      <c r="Q57" s="23">
        <f t="shared" si="52"/>
        <v>4487.6712328767126</v>
      </c>
      <c r="R57" s="23">
        <f t="shared" si="52"/>
        <v>4487.6712328767126</v>
      </c>
      <c r="S57" s="23">
        <f t="shared" si="52"/>
        <v>4487.6712328767126</v>
      </c>
      <c r="T57" s="23">
        <f t="shared" si="52"/>
        <v>4487.6712328767126</v>
      </c>
      <c r="U57" s="23">
        <f t="shared" si="52"/>
        <v>4487.6712328767126</v>
      </c>
      <c r="V57" s="23">
        <f t="shared" si="52"/>
        <v>4487.6712328767126</v>
      </c>
      <c r="W57" s="23">
        <f t="shared" si="52"/>
        <v>4487.6712328767126</v>
      </c>
      <c r="X57" s="23">
        <f t="shared" si="52"/>
        <v>4487.6712328767126</v>
      </c>
      <c r="Y57" s="23">
        <f t="shared" si="52"/>
        <v>4487.6712328767126</v>
      </c>
      <c r="Z57" s="23">
        <f t="shared" si="52"/>
        <v>4487.6712328767126</v>
      </c>
      <c r="AA57" s="23">
        <f t="shared" si="52"/>
        <v>4487.6712328767126</v>
      </c>
      <c r="AB57" s="23">
        <f t="shared" si="52"/>
        <v>4487.6712328767126</v>
      </c>
    </row>
    <row r="58" spans="1:28" ht="15.75" customHeight="1" x14ac:dyDescent="0.3">
      <c r="A58" s="12">
        <f>RAW!$A$18</f>
        <v>3276400</v>
      </c>
      <c r="B58" s="2"/>
      <c r="C58" s="24" t="s">
        <v>31</v>
      </c>
      <c r="D58" s="23">
        <f t="shared" si="40"/>
        <v>8976.4383561643845</v>
      </c>
      <c r="E58" s="2"/>
      <c r="F58" s="24" t="s">
        <v>31</v>
      </c>
      <c r="G58" s="23">
        <f t="shared" ref="G58:AB58" si="53">($A58/G$5)/365</f>
        <v>299.21461187214612</v>
      </c>
      <c r="H58" s="23">
        <f t="shared" si="53"/>
        <v>2244.1095890410961</v>
      </c>
      <c r="I58" s="23">
        <f t="shared" si="53"/>
        <v>498.6910197869102</v>
      </c>
      <c r="J58" s="23">
        <f t="shared" si="53"/>
        <v>8976.4383561643845</v>
      </c>
      <c r="K58" s="23">
        <f t="shared" si="53"/>
        <v>997.38203957382041</v>
      </c>
      <c r="L58" s="23">
        <f t="shared" si="53"/>
        <v>2244.1095890410961</v>
      </c>
      <c r="M58" s="23">
        <f t="shared" si="53"/>
        <v>8976.4383561643845</v>
      </c>
      <c r="N58" s="23">
        <f t="shared" si="53"/>
        <v>8976.4383561643845</v>
      </c>
      <c r="O58" s="23">
        <f t="shared" si="53"/>
        <v>8976.4383561643845</v>
      </c>
      <c r="P58" s="23">
        <f t="shared" si="53"/>
        <v>8976.4383561643845</v>
      </c>
      <c r="Q58" s="23">
        <f t="shared" si="53"/>
        <v>8976.4383561643845</v>
      </c>
      <c r="R58" s="23">
        <f t="shared" si="53"/>
        <v>8976.4383561643845</v>
      </c>
      <c r="S58" s="23">
        <f t="shared" si="53"/>
        <v>8976.4383561643845</v>
      </c>
      <c r="T58" s="23">
        <f t="shared" si="53"/>
        <v>8976.4383561643845</v>
      </c>
      <c r="U58" s="23">
        <f t="shared" si="53"/>
        <v>8976.4383561643845</v>
      </c>
      <c r="V58" s="23">
        <f t="shared" si="53"/>
        <v>8976.4383561643845</v>
      </c>
      <c r="W58" s="23">
        <f t="shared" si="53"/>
        <v>8976.4383561643845</v>
      </c>
      <c r="X58" s="23">
        <f t="shared" si="53"/>
        <v>8976.4383561643845</v>
      </c>
      <c r="Y58" s="23">
        <f t="shared" si="53"/>
        <v>8976.4383561643845</v>
      </c>
      <c r="Z58" s="23">
        <f t="shared" si="53"/>
        <v>8976.4383561643845</v>
      </c>
      <c r="AA58" s="23">
        <f t="shared" si="53"/>
        <v>8976.4383561643845</v>
      </c>
      <c r="AB58" s="23">
        <f t="shared" si="53"/>
        <v>8976.4383561643845</v>
      </c>
    </row>
    <row r="59" spans="1:28" ht="15.75" customHeight="1" x14ac:dyDescent="0.3">
      <c r="A59" s="12">
        <f>RAW!$A$19</f>
        <v>6553200</v>
      </c>
      <c r="B59" s="2"/>
      <c r="C59" s="24" t="s">
        <v>32</v>
      </c>
      <c r="D59" s="23">
        <f t="shared" si="40"/>
        <v>17953.972602739726</v>
      </c>
      <c r="E59" s="2"/>
      <c r="F59" s="24" t="s">
        <v>32</v>
      </c>
      <c r="G59" s="23">
        <f t="shared" ref="G59:AB59" si="54">($A59/G$5)/365</f>
        <v>598.46575342465758</v>
      </c>
      <c r="H59" s="23">
        <f t="shared" si="54"/>
        <v>4488.4931506849316</v>
      </c>
      <c r="I59" s="23">
        <f t="shared" si="54"/>
        <v>997.44292237442926</v>
      </c>
      <c r="J59" s="23">
        <f t="shared" si="54"/>
        <v>17953.972602739726</v>
      </c>
      <c r="K59" s="23">
        <f t="shared" si="54"/>
        <v>1994.8858447488585</v>
      </c>
      <c r="L59" s="23">
        <f t="shared" si="54"/>
        <v>4488.4931506849316</v>
      </c>
      <c r="M59" s="23">
        <f t="shared" si="54"/>
        <v>17953.972602739726</v>
      </c>
      <c r="N59" s="23">
        <f t="shared" si="54"/>
        <v>17953.972602739726</v>
      </c>
      <c r="O59" s="23">
        <f t="shared" si="54"/>
        <v>17953.972602739726</v>
      </c>
      <c r="P59" s="23">
        <f t="shared" si="54"/>
        <v>17953.972602739726</v>
      </c>
      <c r="Q59" s="23">
        <f t="shared" si="54"/>
        <v>17953.972602739726</v>
      </c>
      <c r="R59" s="23">
        <f t="shared" si="54"/>
        <v>17953.972602739726</v>
      </c>
      <c r="S59" s="23">
        <f t="shared" si="54"/>
        <v>17953.972602739726</v>
      </c>
      <c r="T59" s="23">
        <f t="shared" si="54"/>
        <v>17953.972602739726</v>
      </c>
      <c r="U59" s="23">
        <f t="shared" si="54"/>
        <v>17953.972602739726</v>
      </c>
      <c r="V59" s="23">
        <f t="shared" si="54"/>
        <v>17953.972602739726</v>
      </c>
      <c r="W59" s="23">
        <f t="shared" si="54"/>
        <v>17953.972602739726</v>
      </c>
      <c r="X59" s="23">
        <f t="shared" si="54"/>
        <v>17953.972602739726</v>
      </c>
      <c r="Y59" s="23">
        <f t="shared" si="54"/>
        <v>17953.972602739726</v>
      </c>
      <c r="Z59" s="23">
        <f t="shared" si="54"/>
        <v>17953.972602739726</v>
      </c>
      <c r="AA59" s="23">
        <f t="shared" si="54"/>
        <v>17953.972602739726</v>
      </c>
      <c r="AB59" s="23">
        <f t="shared" si="54"/>
        <v>17953.972602739726</v>
      </c>
    </row>
    <row r="60" spans="1:28" ht="15.75" customHeight="1" x14ac:dyDescent="0.3">
      <c r="A60" s="12">
        <f>RAW!$A$20</f>
        <v>13106800</v>
      </c>
      <c r="B60" s="2"/>
      <c r="C60" s="24" t="s">
        <v>33</v>
      </c>
      <c r="D60" s="23">
        <f t="shared" si="40"/>
        <v>35909.04109589041</v>
      </c>
      <c r="E60" s="2"/>
      <c r="F60" s="24" t="s">
        <v>33</v>
      </c>
      <c r="G60" s="23">
        <f t="shared" ref="G60:AB60" si="55">($A60/G$5)/365</f>
        <v>1196.9680365296804</v>
      </c>
      <c r="H60" s="23">
        <f t="shared" si="55"/>
        <v>8977.2602739726026</v>
      </c>
      <c r="I60" s="23">
        <f t="shared" si="55"/>
        <v>1994.9467275494671</v>
      </c>
      <c r="J60" s="23">
        <f t="shared" si="55"/>
        <v>35909.04109589041</v>
      </c>
      <c r="K60" s="23">
        <f t="shared" si="55"/>
        <v>3989.8934550989343</v>
      </c>
      <c r="L60" s="23">
        <f t="shared" si="55"/>
        <v>8977.2602739726026</v>
      </c>
      <c r="M60" s="23">
        <f t="shared" si="55"/>
        <v>35909.04109589041</v>
      </c>
      <c r="N60" s="23">
        <f t="shared" si="55"/>
        <v>35909.04109589041</v>
      </c>
      <c r="O60" s="23">
        <f t="shared" si="55"/>
        <v>35909.04109589041</v>
      </c>
      <c r="P60" s="23">
        <f t="shared" si="55"/>
        <v>35909.04109589041</v>
      </c>
      <c r="Q60" s="23">
        <f t="shared" si="55"/>
        <v>35909.04109589041</v>
      </c>
      <c r="R60" s="23">
        <f t="shared" si="55"/>
        <v>35909.04109589041</v>
      </c>
      <c r="S60" s="23">
        <f t="shared" si="55"/>
        <v>35909.04109589041</v>
      </c>
      <c r="T60" s="23">
        <f t="shared" si="55"/>
        <v>35909.04109589041</v>
      </c>
      <c r="U60" s="23">
        <f t="shared" si="55"/>
        <v>35909.04109589041</v>
      </c>
      <c r="V60" s="23">
        <f t="shared" si="55"/>
        <v>35909.04109589041</v>
      </c>
      <c r="W60" s="23">
        <f t="shared" si="55"/>
        <v>35909.04109589041</v>
      </c>
      <c r="X60" s="23">
        <f t="shared" si="55"/>
        <v>35909.04109589041</v>
      </c>
      <c r="Y60" s="23">
        <f t="shared" si="55"/>
        <v>35909.04109589041</v>
      </c>
      <c r="Z60" s="23">
        <f t="shared" si="55"/>
        <v>35909.04109589041</v>
      </c>
      <c r="AA60" s="23">
        <f t="shared" si="55"/>
        <v>35909.04109589041</v>
      </c>
      <c r="AB60" s="23">
        <f t="shared" si="55"/>
        <v>35909.04109589041</v>
      </c>
    </row>
    <row r="61" spans="1:28" ht="15.75" customHeight="1" x14ac:dyDescent="0.3">
      <c r="A61" s="12">
        <f>RAW!$A$21</f>
        <v>26214000</v>
      </c>
      <c r="B61" s="2"/>
      <c r="C61" s="24" t="s">
        <v>34</v>
      </c>
      <c r="D61" s="23">
        <f t="shared" si="40"/>
        <v>71819.178082191778</v>
      </c>
      <c r="E61" s="2"/>
      <c r="F61" s="24" t="s">
        <v>34</v>
      </c>
      <c r="G61" s="23">
        <f t="shared" ref="G61:AB61" si="56">($A61/G$5)/365</f>
        <v>2393.972602739726</v>
      </c>
      <c r="H61" s="23">
        <f t="shared" si="56"/>
        <v>17954.794520547945</v>
      </c>
      <c r="I61" s="23">
        <f t="shared" si="56"/>
        <v>3989.9543378995431</v>
      </c>
      <c r="J61" s="23">
        <f t="shared" si="56"/>
        <v>71819.178082191778</v>
      </c>
      <c r="K61" s="23">
        <f t="shared" si="56"/>
        <v>7979.9086757990863</v>
      </c>
      <c r="L61" s="23">
        <f t="shared" si="56"/>
        <v>17954.794520547945</v>
      </c>
      <c r="M61" s="23">
        <f t="shared" si="56"/>
        <v>71819.178082191778</v>
      </c>
      <c r="N61" s="23">
        <f t="shared" si="56"/>
        <v>71819.178082191778</v>
      </c>
      <c r="O61" s="23">
        <f t="shared" si="56"/>
        <v>71819.178082191778</v>
      </c>
      <c r="P61" s="23">
        <f t="shared" si="56"/>
        <v>71819.178082191778</v>
      </c>
      <c r="Q61" s="23">
        <f t="shared" si="56"/>
        <v>71819.178082191778</v>
      </c>
      <c r="R61" s="23">
        <f t="shared" si="56"/>
        <v>71819.178082191778</v>
      </c>
      <c r="S61" s="23">
        <f t="shared" si="56"/>
        <v>71819.178082191778</v>
      </c>
      <c r="T61" s="23">
        <f t="shared" si="56"/>
        <v>71819.178082191778</v>
      </c>
      <c r="U61" s="23">
        <f t="shared" si="56"/>
        <v>71819.178082191778</v>
      </c>
      <c r="V61" s="23">
        <f t="shared" si="56"/>
        <v>71819.178082191778</v>
      </c>
      <c r="W61" s="23">
        <f t="shared" si="56"/>
        <v>71819.178082191778</v>
      </c>
      <c r="X61" s="23">
        <f t="shared" si="56"/>
        <v>71819.178082191778</v>
      </c>
      <c r="Y61" s="23">
        <f t="shared" si="56"/>
        <v>71819.178082191778</v>
      </c>
      <c r="Z61" s="23">
        <f t="shared" si="56"/>
        <v>71819.178082191778</v>
      </c>
      <c r="AA61" s="23">
        <f t="shared" si="56"/>
        <v>71819.178082191778</v>
      </c>
      <c r="AB61" s="23">
        <f t="shared" si="56"/>
        <v>71819.178082191778</v>
      </c>
    </row>
    <row r="62" spans="1:28" ht="15.75" customHeight="1" x14ac:dyDescent="0.3">
      <c r="A62" s="12">
        <f>RAW!$A$22</f>
        <v>52428400</v>
      </c>
      <c r="B62" s="2"/>
      <c r="C62" s="24" t="s">
        <v>35</v>
      </c>
      <c r="D62" s="23">
        <f t="shared" si="40"/>
        <v>143639.45205479453</v>
      </c>
      <c r="E62" s="2"/>
      <c r="F62" s="24" t="s">
        <v>35</v>
      </c>
      <c r="G62" s="23">
        <f t="shared" ref="G62:AB62" si="57">($A62/G$5)/365</f>
        <v>4787.9817351598167</v>
      </c>
      <c r="H62" s="23">
        <f t="shared" si="57"/>
        <v>35909.863013698632</v>
      </c>
      <c r="I62" s="23">
        <f t="shared" si="57"/>
        <v>7979.969558599696</v>
      </c>
      <c r="J62" s="23">
        <f t="shared" si="57"/>
        <v>143639.45205479453</v>
      </c>
      <c r="K62" s="23">
        <f t="shared" si="57"/>
        <v>15959.939117199392</v>
      </c>
      <c r="L62" s="23">
        <f t="shared" si="57"/>
        <v>35909.863013698632</v>
      </c>
      <c r="M62" s="23">
        <f t="shared" si="57"/>
        <v>143639.45205479453</v>
      </c>
      <c r="N62" s="23">
        <f t="shared" si="57"/>
        <v>143639.45205479453</v>
      </c>
      <c r="O62" s="23">
        <f t="shared" si="57"/>
        <v>143639.45205479453</v>
      </c>
      <c r="P62" s="23">
        <f t="shared" si="57"/>
        <v>143639.45205479453</v>
      </c>
      <c r="Q62" s="23">
        <f t="shared" si="57"/>
        <v>143639.45205479453</v>
      </c>
      <c r="R62" s="23">
        <f t="shared" si="57"/>
        <v>143639.45205479453</v>
      </c>
      <c r="S62" s="23">
        <f t="shared" si="57"/>
        <v>143639.45205479453</v>
      </c>
      <c r="T62" s="23">
        <f t="shared" si="57"/>
        <v>143639.45205479453</v>
      </c>
      <c r="U62" s="23">
        <f t="shared" si="57"/>
        <v>143639.45205479453</v>
      </c>
      <c r="V62" s="23">
        <f t="shared" si="57"/>
        <v>143639.45205479453</v>
      </c>
      <c r="W62" s="23">
        <f t="shared" si="57"/>
        <v>143639.45205479453</v>
      </c>
      <c r="X62" s="23">
        <f t="shared" si="57"/>
        <v>143639.45205479453</v>
      </c>
      <c r="Y62" s="23">
        <f t="shared" si="57"/>
        <v>143639.45205479453</v>
      </c>
      <c r="Z62" s="23">
        <f t="shared" si="57"/>
        <v>143639.45205479453</v>
      </c>
      <c r="AA62" s="23">
        <f t="shared" si="57"/>
        <v>143639.45205479453</v>
      </c>
      <c r="AB62" s="23">
        <f t="shared" si="57"/>
        <v>143639.45205479453</v>
      </c>
    </row>
    <row r="63" spans="1:28" ht="15.75" customHeight="1" x14ac:dyDescent="0.3">
      <c r="B63" s="2"/>
      <c r="E63" s="2"/>
    </row>
    <row r="64" spans="1:28" ht="15.75" customHeight="1" x14ac:dyDescent="0.3">
      <c r="B64" s="2"/>
      <c r="E64" s="2"/>
    </row>
    <row r="65" spans="2:5" ht="15.75" customHeight="1" x14ac:dyDescent="0.3">
      <c r="B65" s="2"/>
      <c r="E65" s="2"/>
    </row>
    <row r="66" spans="2:5" ht="15.75" customHeight="1" x14ac:dyDescent="0.3">
      <c r="B66" s="2"/>
      <c r="E66" s="2"/>
    </row>
    <row r="67" spans="2:5" ht="15.75" customHeight="1" x14ac:dyDescent="0.3">
      <c r="B67" s="2"/>
      <c r="E67" s="2"/>
    </row>
    <row r="68" spans="2:5" ht="15.75" customHeight="1" x14ac:dyDescent="0.3">
      <c r="B68" s="2"/>
      <c r="E68" s="2"/>
    </row>
    <row r="69" spans="2:5" ht="15.75" customHeight="1" x14ac:dyDescent="0.3">
      <c r="B69" s="2"/>
      <c r="E69" s="2"/>
    </row>
    <row r="70" spans="2:5" ht="15.75" customHeight="1" x14ac:dyDescent="0.3">
      <c r="B70" s="2"/>
      <c r="E70" s="2"/>
    </row>
    <row r="71" spans="2:5" ht="15.75" customHeight="1" x14ac:dyDescent="0.3">
      <c r="B71" s="2"/>
      <c r="E71" s="2"/>
    </row>
    <row r="72" spans="2:5" ht="15.75" customHeight="1" x14ac:dyDescent="0.3">
      <c r="B72" s="2"/>
      <c r="E72" s="2"/>
    </row>
    <row r="73" spans="2:5" ht="15.75" customHeight="1" x14ac:dyDescent="0.3">
      <c r="B73" s="2"/>
      <c r="E73" s="2"/>
    </row>
    <row r="74" spans="2:5" ht="15.75" customHeight="1" x14ac:dyDescent="0.3">
      <c r="B74" s="2"/>
      <c r="E74" s="2"/>
    </row>
    <row r="75" spans="2:5" ht="15.75" customHeight="1" x14ac:dyDescent="0.3">
      <c r="B75" s="2"/>
      <c r="E75" s="2"/>
    </row>
    <row r="76" spans="2:5" ht="15.75" customHeight="1" x14ac:dyDescent="0.3">
      <c r="B76" s="2"/>
      <c r="E76" s="2"/>
    </row>
    <row r="77" spans="2:5" ht="15.75" customHeight="1" x14ac:dyDescent="0.3">
      <c r="B77" s="2"/>
      <c r="E77" s="2"/>
    </row>
    <row r="78" spans="2:5" ht="15.75" customHeight="1" x14ac:dyDescent="0.3">
      <c r="B78" s="2"/>
      <c r="E78" s="2"/>
    </row>
    <row r="79" spans="2:5" ht="15.75" customHeight="1" x14ac:dyDescent="0.3">
      <c r="B79" s="2"/>
      <c r="E79" s="2"/>
    </row>
    <row r="80" spans="2:5" ht="15.75" customHeight="1" x14ac:dyDescent="0.3">
      <c r="B80" s="2"/>
      <c r="E80" s="2"/>
    </row>
    <row r="81" spans="2:5" ht="15.75" customHeight="1" x14ac:dyDescent="0.3">
      <c r="B81" s="2"/>
      <c r="E81" s="2"/>
    </row>
    <row r="82" spans="2:5" ht="15.75" customHeight="1" x14ac:dyDescent="0.3">
      <c r="B82" s="2"/>
      <c r="E82" s="2"/>
    </row>
    <row r="83" spans="2:5" ht="15.75" customHeight="1" x14ac:dyDescent="0.3">
      <c r="B83" s="2"/>
      <c r="E83" s="2"/>
    </row>
    <row r="84" spans="2:5" ht="15.75" customHeight="1" x14ac:dyDescent="0.3">
      <c r="B84" s="2"/>
      <c r="E84" s="2"/>
    </row>
    <row r="85" spans="2:5" ht="15.75" customHeight="1" x14ac:dyDescent="0.3">
      <c r="B85" s="2"/>
      <c r="E85" s="2"/>
    </row>
    <row r="86" spans="2:5" ht="15.75" customHeight="1" x14ac:dyDescent="0.3">
      <c r="B86" s="2"/>
      <c r="E86" s="2"/>
    </row>
    <row r="87" spans="2:5" ht="15.75" customHeight="1" x14ac:dyDescent="0.3">
      <c r="B87" s="2"/>
      <c r="E87" s="2"/>
    </row>
    <row r="88" spans="2:5" ht="15.75" customHeight="1" x14ac:dyDescent="0.3">
      <c r="B88" s="2"/>
      <c r="E88" s="2"/>
    </row>
    <row r="89" spans="2:5" ht="15.75" customHeight="1" x14ac:dyDescent="0.3">
      <c r="B89" s="2"/>
      <c r="E89" s="2"/>
    </row>
    <row r="90" spans="2:5" ht="15.75" customHeight="1" x14ac:dyDescent="0.3">
      <c r="B90" s="2"/>
      <c r="E90" s="2"/>
    </row>
    <row r="91" spans="2:5" ht="15.75" customHeight="1" x14ac:dyDescent="0.3">
      <c r="B91" s="2"/>
      <c r="E91" s="2"/>
    </row>
    <row r="92" spans="2:5" ht="15.75" customHeight="1" x14ac:dyDescent="0.3">
      <c r="B92" s="2"/>
      <c r="E92" s="2"/>
    </row>
    <row r="93" spans="2:5" ht="15.75" customHeight="1" x14ac:dyDescent="0.3">
      <c r="B93" s="2"/>
      <c r="E93" s="2"/>
    </row>
    <row r="94" spans="2:5" ht="15.75" customHeight="1" x14ac:dyDescent="0.3">
      <c r="B94" s="2"/>
      <c r="E94" s="2"/>
    </row>
    <row r="95" spans="2:5" ht="15.75" customHeight="1" x14ac:dyDescent="0.3">
      <c r="B95" s="2"/>
      <c r="E95" s="2"/>
    </row>
    <row r="96" spans="2:5" ht="15.75" customHeight="1" x14ac:dyDescent="0.3">
      <c r="B96" s="2"/>
      <c r="E96" s="2"/>
    </row>
    <row r="97" spans="2:5" ht="15.75" customHeight="1" x14ac:dyDescent="0.3">
      <c r="B97" s="2"/>
      <c r="E97" s="2"/>
    </row>
    <row r="98" spans="2:5" ht="15.75" customHeight="1" x14ac:dyDescent="0.3">
      <c r="B98" s="2"/>
      <c r="E98" s="2"/>
    </row>
    <row r="99" spans="2:5" ht="15.75" customHeight="1" x14ac:dyDescent="0.3">
      <c r="B99" s="2"/>
      <c r="E99" s="2"/>
    </row>
    <row r="100" spans="2:5" ht="15.75" customHeight="1" x14ac:dyDescent="0.3">
      <c r="B100" s="2"/>
      <c r="E100" s="2"/>
    </row>
    <row r="101" spans="2:5" ht="15.75" customHeight="1" x14ac:dyDescent="0.3">
      <c r="B101" s="2"/>
      <c r="E101" s="2"/>
    </row>
    <row r="102" spans="2:5" ht="15.75" customHeight="1" x14ac:dyDescent="0.3">
      <c r="B102" s="2"/>
      <c r="E102" s="2"/>
    </row>
    <row r="103" spans="2:5" ht="15.75" customHeight="1" x14ac:dyDescent="0.3">
      <c r="B103" s="2"/>
      <c r="E103" s="2"/>
    </row>
    <row r="104" spans="2:5" ht="15.75" customHeight="1" x14ac:dyDescent="0.3">
      <c r="B104" s="2"/>
      <c r="E104" s="2"/>
    </row>
    <row r="105" spans="2:5" ht="15.75" customHeight="1" x14ac:dyDescent="0.3">
      <c r="B105" s="2"/>
      <c r="E105" s="2"/>
    </row>
    <row r="106" spans="2:5" ht="15.75" customHeight="1" x14ac:dyDescent="0.3">
      <c r="B106" s="2"/>
      <c r="E106" s="2"/>
    </row>
    <row r="107" spans="2:5" ht="15.75" customHeight="1" x14ac:dyDescent="0.3">
      <c r="B107" s="2"/>
      <c r="E107" s="2"/>
    </row>
    <row r="108" spans="2:5" ht="15.75" customHeight="1" x14ac:dyDescent="0.3">
      <c r="B108" s="2"/>
      <c r="E108" s="2"/>
    </row>
    <row r="109" spans="2:5" ht="15.75" customHeight="1" x14ac:dyDescent="0.3">
      <c r="B109" s="2"/>
      <c r="E109" s="2"/>
    </row>
    <row r="110" spans="2:5" ht="15.75" customHeight="1" x14ac:dyDescent="0.3">
      <c r="B110" s="2"/>
      <c r="E110" s="2"/>
    </row>
    <row r="111" spans="2:5" ht="15.75" customHeight="1" x14ac:dyDescent="0.3">
      <c r="B111" s="2"/>
      <c r="E111" s="2"/>
    </row>
    <row r="112" spans="2:5" ht="15.75" customHeight="1" x14ac:dyDescent="0.3">
      <c r="B112" s="2"/>
      <c r="E112" s="2"/>
    </row>
    <row r="113" spans="2:5" ht="15.75" customHeight="1" x14ac:dyDescent="0.3">
      <c r="B113" s="2"/>
      <c r="E113" s="2"/>
    </row>
    <row r="114" spans="2:5" ht="15.75" customHeight="1" x14ac:dyDescent="0.3">
      <c r="B114" s="2"/>
      <c r="E114" s="2"/>
    </row>
    <row r="115" spans="2:5" ht="15.75" customHeight="1" x14ac:dyDescent="0.3">
      <c r="B115" s="2"/>
      <c r="E115" s="2"/>
    </row>
    <row r="116" spans="2:5" ht="15.75" customHeight="1" x14ac:dyDescent="0.3">
      <c r="B116" s="2"/>
      <c r="E116" s="2"/>
    </row>
    <row r="117" spans="2:5" ht="15.75" customHeight="1" x14ac:dyDescent="0.3">
      <c r="B117" s="2"/>
      <c r="E117" s="2"/>
    </row>
    <row r="118" spans="2:5" ht="15.75" customHeight="1" x14ac:dyDescent="0.3">
      <c r="B118" s="2"/>
      <c r="E118" s="2"/>
    </row>
    <row r="119" spans="2:5" ht="15.75" customHeight="1" x14ac:dyDescent="0.3">
      <c r="B119" s="2"/>
      <c r="E119" s="2"/>
    </row>
    <row r="120" spans="2:5" ht="15.75" customHeight="1" x14ac:dyDescent="0.3">
      <c r="B120" s="2"/>
      <c r="E120" s="2"/>
    </row>
    <row r="121" spans="2:5" ht="15.75" customHeight="1" x14ac:dyDescent="0.3">
      <c r="B121" s="2"/>
      <c r="E121" s="2"/>
    </row>
    <row r="122" spans="2:5" ht="15.75" customHeight="1" x14ac:dyDescent="0.3">
      <c r="B122" s="2"/>
      <c r="E122" s="2"/>
    </row>
    <row r="123" spans="2:5" ht="15.75" customHeight="1" x14ac:dyDescent="0.3">
      <c r="B123" s="2"/>
      <c r="E123" s="2"/>
    </row>
    <row r="124" spans="2:5" ht="15.75" customHeight="1" x14ac:dyDescent="0.3">
      <c r="B124" s="2"/>
      <c r="E124" s="2"/>
    </row>
    <row r="125" spans="2:5" ht="15.75" customHeight="1" x14ac:dyDescent="0.3">
      <c r="B125" s="2"/>
      <c r="E125" s="2"/>
    </row>
    <row r="126" spans="2:5" ht="15.75" customHeight="1" x14ac:dyDescent="0.3">
      <c r="B126" s="2"/>
      <c r="E126" s="2"/>
    </row>
    <row r="127" spans="2:5" ht="15.75" customHeight="1" x14ac:dyDescent="0.3">
      <c r="B127" s="2"/>
      <c r="E127" s="2"/>
    </row>
    <row r="128" spans="2:5" ht="15.75" customHeight="1" x14ac:dyDescent="0.3">
      <c r="B128" s="2"/>
      <c r="E128" s="2"/>
    </row>
    <row r="129" spans="2:5" ht="15.75" customHeight="1" x14ac:dyDescent="0.3">
      <c r="B129" s="2"/>
      <c r="E129" s="2"/>
    </row>
    <row r="130" spans="2:5" ht="15.75" customHeight="1" x14ac:dyDescent="0.3">
      <c r="B130" s="2"/>
      <c r="E130" s="2"/>
    </row>
    <row r="131" spans="2:5" ht="15.75" customHeight="1" x14ac:dyDescent="0.3">
      <c r="B131" s="2"/>
      <c r="E131" s="2"/>
    </row>
    <row r="132" spans="2:5" ht="15.75" customHeight="1" x14ac:dyDescent="0.3">
      <c r="B132" s="2"/>
      <c r="E132" s="2"/>
    </row>
    <row r="133" spans="2:5" ht="15.75" customHeight="1" x14ac:dyDescent="0.3">
      <c r="B133" s="2"/>
      <c r="E133" s="2"/>
    </row>
    <row r="134" spans="2:5" ht="15.75" customHeight="1" x14ac:dyDescent="0.3">
      <c r="B134" s="2"/>
      <c r="E134" s="2"/>
    </row>
    <row r="135" spans="2:5" ht="15.75" customHeight="1" x14ac:dyDescent="0.3">
      <c r="B135" s="2"/>
      <c r="E135" s="2"/>
    </row>
    <row r="136" spans="2:5" ht="15.75" customHeight="1" x14ac:dyDescent="0.3">
      <c r="B136" s="2"/>
      <c r="E136" s="2"/>
    </row>
    <row r="137" spans="2:5" ht="15.75" customHeight="1" x14ac:dyDescent="0.3">
      <c r="B137" s="2"/>
      <c r="E137" s="2"/>
    </row>
    <row r="138" spans="2:5" ht="15.75" customHeight="1" x14ac:dyDescent="0.3">
      <c r="B138" s="2"/>
      <c r="E138" s="2"/>
    </row>
    <row r="139" spans="2:5" ht="15.75" customHeight="1" x14ac:dyDescent="0.3">
      <c r="B139" s="2"/>
      <c r="E139" s="2"/>
    </row>
    <row r="140" spans="2:5" ht="15.75" customHeight="1" x14ac:dyDescent="0.3">
      <c r="B140" s="2"/>
      <c r="E140" s="2"/>
    </row>
    <row r="141" spans="2:5" ht="15.75" customHeight="1" x14ac:dyDescent="0.3">
      <c r="B141" s="2"/>
      <c r="E141" s="2"/>
    </row>
    <row r="142" spans="2:5" ht="15.75" customHeight="1" x14ac:dyDescent="0.3">
      <c r="B142" s="2"/>
      <c r="E142" s="2"/>
    </row>
    <row r="143" spans="2:5" ht="15.75" customHeight="1" x14ac:dyDescent="0.3">
      <c r="B143" s="2"/>
      <c r="E143" s="2"/>
    </row>
    <row r="144" spans="2:5" ht="15.75" customHeight="1" x14ac:dyDescent="0.3">
      <c r="B144" s="2"/>
      <c r="E144" s="2"/>
    </row>
    <row r="145" spans="2:5" ht="15.75" customHeight="1" x14ac:dyDescent="0.3">
      <c r="B145" s="2"/>
      <c r="E145" s="2"/>
    </row>
    <row r="146" spans="2:5" ht="15.75" customHeight="1" x14ac:dyDescent="0.3">
      <c r="B146" s="2"/>
      <c r="E146" s="2"/>
    </row>
    <row r="147" spans="2:5" ht="15.75" customHeight="1" x14ac:dyDescent="0.3">
      <c r="B147" s="2"/>
      <c r="E147" s="2"/>
    </row>
    <row r="148" spans="2:5" ht="15.75" customHeight="1" x14ac:dyDescent="0.3">
      <c r="B148" s="2"/>
      <c r="E148" s="2"/>
    </row>
    <row r="149" spans="2:5" ht="15.75" customHeight="1" x14ac:dyDescent="0.3">
      <c r="B149" s="2"/>
      <c r="E149" s="2"/>
    </row>
    <row r="150" spans="2:5" ht="15.75" customHeight="1" x14ac:dyDescent="0.3">
      <c r="B150" s="2"/>
      <c r="E150" s="2"/>
    </row>
    <row r="151" spans="2:5" ht="15.75" customHeight="1" x14ac:dyDescent="0.3">
      <c r="B151" s="2"/>
      <c r="E151" s="2"/>
    </row>
    <row r="152" spans="2:5" ht="15.75" customHeight="1" x14ac:dyDescent="0.3">
      <c r="B152" s="2"/>
      <c r="E152" s="2"/>
    </row>
    <row r="153" spans="2:5" ht="15.75" customHeight="1" x14ac:dyDescent="0.3">
      <c r="B153" s="2"/>
      <c r="E153" s="2"/>
    </row>
    <row r="154" spans="2:5" ht="15.75" customHeight="1" x14ac:dyDescent="0.3">
      <c r="B154" s="2"/>
      <c r="E154" s="2"/>
    </row>
    <row r="155" spans="2:5" ht="15.75" customHeight="1" x14ac:dyDescent="0.3">
      <c r="B155" s="2"/>
      <c r="E155" s="2"/>
    </row>
    <row r="156" spans="2:5" ht="15.75" customHeight="1" x14ac:dyDescent="0.3">
      <c r="B156" s="2"/>
      <c r="E156" s="2"/>
    </row>
    <row r="157" spans="2:5" ht="15.75" customHeight="1" x14ac:dyDescent="0.3">
      <c r="B157" s="2"/>
      <c r="E157" s="2"/>
    </row>
    <row r="158" spans="2:5" ht="15.75" customHeight="1" x14ac:dyDescent="0.3">
      <c r="B158" s="2"/>
      <c r="E158" s="2"/>
    </row>
    <row r="159" spans="2:5" ht="15.75" customHeight="1" x14ac:dyDescent="0.3">
      <c r="B159" s="2"/>
      <c r="E159" s="2"/>
    </row>
    <row r="160" spans="2:5" ht="15.75" customHeight="1" x14ac:dyDescent="0.3">
      <c r="B160" s="2"/>
      <c r="E160" s="2"/>
    </row>
    <row r="161" spans="2:5" ht="15.75" customHeight="1" x14ac:dyDescent="0.3">
      <c r="B161" s="2"/>
      <c r="E161" s="2"/>
    </row>
    <row r="162" spans="2:5" ht="15.75" customHeight="1" x14ac:dyDescent="0.3">
      <c r="B162" s="2"/>
      <c r="E162" s="2"/>
    </row>
    <row r="163" spans="2:5" ht="15.75" customHeight="1" x14ac:dyDescent="0.3">
      <c r="B163" s="2"/>
      <c r="E163" s="2"/>
    </row>
    <row r="164" spans="2:5" ht="15.75" customHeight="1" x14ac:dyDescent="0.3">
      <c r="B164" s="2"/>
      <c r="E164" s="2"/>
    </row>
    <row r="165" spans="2:5" ht="15.75" customHeight="1" x14ac:dyDescent="0.3">
      <c r="B165" s="2"/>
      <c r="E165" s="2"/>
    </row>
    <row r="166" spans="2:5" ht="15.75" customHeight="1" x14ac:dyDescent="0.3">
      <c r="B166" s="2"/>
      <c r="E166" s="2"/>
    </row>
    <row r="167" spans="2:5" ht="15.75" customHeight="1" x14ac:dyDescent="0.3">
      <c r="B167" s="2"/>
      <c r="E167" s="2"/>
    </row>
    <row r="168" spans="2:5" ht="15.75" customHeight="1" x14ac:dyDescent="0.3">
      <c r="B168" s="2"/>
      <c r="E168" s="2"/>
    </row>
    <row r="169" spans="2:5" ht="15.75" customHeight="1" x14ac:dyDescent="0.3">
      <c r="B169" s="2"/>
      <c r="E169" s="2"/>
    </row>
    <row r="170" spans="2:5" ht="15.75" customHeight="1" x14ac:dyDescent="0.3">
      <c r="B170" s="2"/>
      <c r="E170" s="2"/>
    </row>
    <row r="171" spans="2:5" ht="15.75" customHeight="1" x14ac:dyDescent="0.3">
      <c r="B171" s="2"/>
      <c r="E171" s="2"/>
    </row>
    <row r="172" spans="2:5" ht="15.75" customHeight="1" x14ac:dyDescent="0.3">
      <c r="B172" s="2"/>
      <c r="E172" s="2"/>
    </row>
    <row r="173" spans="2:5" ht="15.75" customHeight="1" x14ac:dyDescent="0.3">
      <c r="B173" s="2"/>
      <c r="E173" s="2"/>
    </row>
    <row r="174" spans="2:5" ht="15.75" customHeight="1" x14ac:dyDescent="0.3">
      <c r="B174" s="2"/>
      <c r="E174" s="2"/>
    </row>
    <row r="175" spans="2:5" ht="15.75" customHeight="1" x14ac:dyDescent="0.3">
      <c r="B175" s="2"/>
      <c r="E175" s="2"/>
    </row>
    <row r="176" spans="2:5" ht="15.75" customHeight="1" x14ac:dyDescent="0.3">
      <c r="B176" s="2"/>
      <c r="E176" s="2"/>
    </row>
    <row r="177" spans="2:5" ht="15.75" customHeight="1" x14ac:dyDescent="0.3">
      <c r="B177" s="2"/>
      <c r="E177" s="2"/>
    </row>
    <row r="178" spans="2:5" ht="15.75" customHeight="1" x14ac:dyDescent="0.3">
      <c r="B178" s="2"/>
      <c r="E178" s="2"/>
    </row>
    <row r="179" spans="2:5" ht="15.75" customHeight="1" x14ac:dyDescent="0.3">
      <c r="B179" s="2"/>
      <c r="E179" s="2"/>
    </row>
    <row r="180" spans="2:5" ht="15.75" customHeight="1" x14ac:dyDescent="0.3">
      <c r="B180" s="2"/>
      <c r="E180" s="2"/>
    </row>
    <row r="181" spans="2:5" ht="15.75" customHeight="1" x14ac:dyDescent="0.3">
      <c r="B181" s="2"/>
      <c r="E181" s="2"/>
    </row>
    <row r="182" spans="2:5" ht="15.75" customHeight="1" x14ac:dyDescent="0.3">
      <c r="B182" s="2"/>
      <c r="E182" s="2"/>
    </row>
    <row r="183" spans="2:5" ht="15.75" customHeight="1" x14ac:dyDescent="0.3">
      <c r="B183" s="2"/>
      <c r="E183" s="2"/>
    </row>
    <row r="184" spans="2:5" ht="15.75" customHeight="1" x14ac:dyDescent="0.3">
      <c r="B184" s="2"/>
      <c r="E184" s="2"/>
    </row>
    <row r="185" spans="2:5" ht="15.75" customHeight="1" x14ac:dyDescent="0.3">
      <c r="B185" s="2"/>
      <c r="E185" s="2"/>
    </row>
    <row r="186" spans="2:5" ht="15.75" customHeight="1" x14ac:dyDescent="0.3">
      <c r="B186" s="2"/>
      <c r="E186" s="2"/>
    </row>
    <row r="187" spans="2:5" ht="15.75" customHeight="1" x14ac:dyDescent="0.3">
      <c r="B187" s="2"/>
      <c r="E187" s="2"/>
    </row>
    <row r="188" spans="2:5" ht="15.75" customHeight="1" x14ac:dyDescent="0.3">
      <c r="B188" s="2"/>
      <c r="E188" s="2"/>
    </row>
    <row r="189" spans="2:5" ht="15.75" customHeight="1" x14ac:dyDescent="0.3">
      <c r="B189" s="2"/>
      <c r="E189" s="2"/>
    </row>
    <row r="190" spans="2:5" ht="15.75" customHeight="1" x14ac:dyDescent="0.3">
      <c r="B190" s="2"/>
      <c r="E190" s="2"/>
    </row>
    <row r="191" spans="2:5" ht="15.75" customHeight="1" x14ac:dyDescent="0.3">
      <c r="B191" s="2"/>
      <c r="E191" s="2"/>
    </row>
    <row r="192" spans="2:5" ht="15.75" customHeight="1" x14ac:dyDescent="0.3">
      <c r="B192" s="2"/>
      <c r="E192" s="2"/>
    </row>
    <row r="193" spans="2:5" ht="15.75" customHeight="1" x14ac:dyDescent="0.3">
      <c r="B193" s="2"/>
      <c r="E193" s="2"/>
    </row>
    <row r="194" spans="2:5" ht="15.75" customHeight="1" x14ac:dyDescent="0.3">
      <c r="B194" s="2"/>
      <c r="E194" s="2"/>
    </row>
    <row r="195" spans="2:5" ht="15.75" customHeight="1" x14ac:dyDescent="0.3">
      <c r="B195" s="2"/>
      <c r="E195" s="2"/>
    </row>
    <row r="196" spans="2:5" ht="15.75" customHeight="1" x14ac:dyDescent="0.3">
      <c r="B196" s="2"/>
      <c r="E196" s="2"/>
    </row>
    <row r="197" spans="2:5" ht="15.75" customHeight="1" x14ac:dyDescent="0.3">
      <c r="B197" s="2"/>
      <c r="E197" s="2"/>
    </row>
    <row r="198" spans="2:5" ht="15.75" customHeight="1" x14ac:dyDescent="0.3">
      <c r="B198" s="2"/>
      <c r="E198" s="2"/>
    </row>
    <row r="199" spans="2:5" ht="15.75" customHeight="1" x14ac:dyDescent="0.3">
      <c r="B199" s="2"/>
      <c r="E199" s="2"/>
    </row>
    <row r="200" spans="2:5" ht="15.75" customHeight="1" x14ac:dyDescent="0.3">
      <c r="B200" s="2"/>
      <c r="E200" s="2"/>
    </row>
    <row r="201" spans="2:5" ht="15.75" customHeight="1" x14ac:dyDescent="0.3">
      <c r="B201" s="2"/>
      <c r="E201" s="2"/>
    </row>
    <row r="202" spans="2:5" ht="15.75" customHeight="1" x14ac:dyDescent="0.3">
      <c r="B202" s="2"/>
      <c r="E202" s="2"/>
    </row>
    <row r="203" spans="2:5" ht="15.75" customHeight="1" x14ac:dyDescent="0.3">
      <c r="B203" s="2"/>
      <c r="E203" s="2"/>
    </row>
    <row r="204" spans="2:5" ht="15.75" customHeight="1" x14ac:dyDescent="0.3">
      <c r="B204" s="2"/>
      <c r="E204" s="2"/>
    </row>
    <row r="205" spans="2:5" ht="15.75" customHeight="1" x14ac:dyDescent="0.3">
      <c r="B205" s="2"/>
      <c r="E205" s="2"/>
    </row>
    <row r="206" spans="2:5" ht="15.75" customHeight="1" x14ac:dyDescent="0.3">
      <c r="B206" s="2"/>
      <c r="E206" s="2"/>
    </row>
    <row r="207" spans="2:5" ht="15.75" customHeight="1" x14ac:dyDescent="0.3">
      <c r="B207" s="2"/>
      <c r="E207" s="2"/>
    </row>
    <row r="208" spans="2:5" ht="15.75" customHeight="1" x14ac:dyDescent="0.3">
      <c r="B208" s="2"/>
      <c r="E208" s="2"/>
    </row>
    <row r="209" spans="2:5" ht="15.75" customHeight="1" x14ac:dyDescent="0.3">
      <c r="B209" s="2"/>
      <c r="E209" s="2"/>
    </row>
    <row r="210" spans="2:5" ht="15.75" customHeight="1" x14ac:dyDescent="0.3">
      <c r="B210" s="2"/>
      <c r="E210" s="2"/>
    </row>
    <row r="211" spans="2:5" ht="15.75" customHeight="1" x14ac:dyDescent="0.3">
      <c r="B211" s="2"/>
      <c r="E211" s="2"/>
    </row>
    <row r="212" spans="2:5" ht="15.75" customHeight="1" x14ac:dyDescent="0.3">
      <c r="B212" s="2"/>
      <c r="E212" s="2"/>
    </row>
    <row r="213" spans="2:5" ht="15.75" customHeight="1" x14ac:dyDescent="0.3">
      <c r="B213" s="2"/>
      <c r="E213" s="2"/>
    </row>
    <row r="214" spans="2:5" ht="15.75" customHeight="1" x14ac:dyDescent="0.3">
      <c r="B214" s="2"/>
      <c r="E214" s="2"/>
    </row>
    <row r="215" spans="2:5" ht="15.75" customHeight="1" x14ac:dyDescent="0.3">
      <c r="B215" s="2"/>
      <c r="E215" s="2"/>
    </row>
    <row r="216" spans="2:5" ht="15.75" customHeight="1" x14ac:dyDescent="0.3">
      <c r="B216" s="2"/>
      <c r="E216" s="2"/>
    </row>
    <row r="217" spans="2:5" ht="15.75" customHeight="1" x14ac:dyDescent="0.3">
      <c r="B217" s="2"/>
      <c r="E217" s="2"/>
    </row>
    <row r="218" spans="2:5" ht="15.75" customHeight="1" x14ac:dyDescent="0.3">
      <c r="B218" s="2"/>
      <c r="E218" s="2"/>
    </row>
    <row r="219" spans="2:5" ht="15.75" customHeight="1" x14ac:dyDescent="0.3">
      <c r="B219" s="2"/>
      <c r="E219" s="2"/>
    </row>
    <row r="220" spans="2:5" ht="15.75" customHeight="1" x14ac:dyDescent="0.3">
      <c r="B220" s="2"/>
      <c r="E220" s="2"/>
    </row>
    <row r="221" spans="2:5" ht="15.75" customHeight="1" x14ac:dyDescent="0.3">
      <c r="B221" s="2"/>
      <c r="E221" s="2"/>
    </row>
    <row r="222" spans="2:5" ht="15.75" customHeight="1" x14ac:dyDescent="0.3">
      <c r="B222" s="2"/>
      <c r="E222" s="2"/>
    </row>
    <row r="223" spans="2:5" ht="15.75" customHeight="1" x14ac:dyDescent="0.3">
      <c r="B223" s="2"/>
      <c r="E223" s="2"/>
    </row>
    <row r="224" spans="2:5" ht="15.75" customHeight="1" x14ac:dyDescent="0.3">
      <c r="B224" s="2"/>
      <c r="E224" s="2"/>
    </row>
    <row r="225" spans="2:5" ht="15.75" customHeight="1" x14ac:dyDescent="0.3">
      <c r="B225" s="2"/>
      <c r="E225" s="2"/>
    </row>
    <row r="226" spans="2:5" ht="15.75" customHeight="1" x14ac:dyDescent="0.3">
      <c r="B226" s="2"/>
      <c r="E226" s="2"/>
    </row>
    <row r="227" spans="2:5" ht="15.75" customHeight="1" x14ac:dyDescent="0.3">
      <c r="B227" s="2"/>
      <c r="E227" s="2"/>
    </row>
    <row r="228" spans="2:5" ht="15.75" customHeight="1" x14ac:dyDescent="0.3">
      <c r="B228" s="2"/>
      <c r="E228" s="2"/>
    </row>
    <row r="229" spans="2:5" ht="15.75" customHeight="1" x14ac:dyDescent="0.3">
      <c r="B229" s="2"/>
      <c r="E229" s="2"/>
    </row>
    <row r="230" spans="2:5" ht="15.75" customHeight="1" x14ac:dyDescent="0.3">
      <c r="B230" s="2"/>
      <c r="E230" s="2"/>
    </row>
    <row r="231" spans="2:5" ht="15.75" customHeight="1" x14ac:dyDescent="0.3">
      <c r="B231" s="2"/>
      <c r="E231" s="2"/>
    </row>
    <row r="232" spans="2:5" ht="15.75" customHeight="1" x14ac:dyDescent="0.3">
      <c r="B232" s="2"/>
      <c r="E232" s="2"/>
    </row>
    <row r="233" spans="2:5" ht="15.75" customHeight="1" x14ac:dyDescent="0.3">
      <c r="B233" s="2"/>
      <c r="E233" s="2"/>
    </row>
    <row r="234" spans="2:5" ht="15.75" customHeight="1" x14ac:dyDescent="0.3">
      <c r="B234" s="2"/>
      <c r="E234" s="2"/>
    </row>
    <row r="235" spans="2:5" ht="15.75" customHeight="1" x14ac:dyDescent="0.3">
      <c r="B235" s="2"/>
      <c r="E235" s="2"/>
    </row>
    <row r="236" spans="2:5" ht="15.75" customHeight="1" x14ac:dyDescent="0.3">
      <c r="B236" s="2"/>
      <c r="E236" s="2"/>
    </row>
    <row r="237" spans="2:5" ht="15.75" customHeight="1" x14ac:dyDescent="0.3">
      <c r="B237" s="2"/>
      <c r="E237" s="2"/>
    </row>
    <row r="238" spans="2:5" ht="15.75" customHeight="1" x14ac:dyDescent="0.3">
      <c r="B238" s="2"/>
      <c r="E238" s="2"/>
    </row>
    <row r="239" spans="2:5" ht="15.75" customHeight="1" x14ac:dyDescent="0.3">
      <c r="B239" s="2"/>
      <c r="E239" s="2"/>
    </row>
    <row r="240" spans="2:5" ht="15.75" customHeight="1" x14ac:dyDescent="0.3">
      <c r="B240" s="2"/>
      <c r="E240" s="2"/>
    </row>
    <row r="241" spans="2:5" ht="15.75" customHeight="1" x14ac:dyDescent="0.3">
      <c r="B241" s="2"/>
      <c r="E241" s="2"/>
    </row>
    <row r="242" spans="2:5" ht="15.75" customHeight="1" x14ac:dyDescent="0.3">
      <c r="B242" s="2"/>
      <c r="E242" s="2"/>
    </row>
    <row r="243" spans="2:5" ht="15.75" customHeight="1" x14ac:dyDescent="0.3">
      <c r="B243" s="2"/>
      <c r="E243" s="2"/>
    </row>
    <row r="244" spans="2:5" ht="15.75" customHeight="1" x14ac:dyDescent="0.3">
      <c r="B244" s="2"/>
      <c r="E244" s="2"/>
    </row>
    <row r="245" spans="2:5" ht="15.75" customHeight="1" x14ac:dyDescent="0.3">
      <c r="B245" s="2"/>
      <c r="E245" s="2"/>
    </row>
    <row r="246" spans="2:5" ht="15.75" customHeight="1" x14ac:dyDescent="0.3">
      <c r="B246" s="2"/>
      <c r="E246" s="2"/>
    </row>
    <row r="247" spans="2:5" ht="15.75" customHeight="1" x14ac:dyDescent="0.3">
      <c r="B247" s="2"/>
      <c r="E247" s="2"/>
    </row>
    <row r="248" spans="2:5" ht="15.75" customHeight="1" x14ac:dyDescent="0.3">
      <c r="B248" s="2"/>
      <c r="E248" s="2"/>
    </row>
    <row r="249" spans="2:5" ht="15.75" customHeight="1" x14ac:dyDescent="0.3">
      <c r="B249" s="2"/>
      <c r="E249" s="2"/>
    </row>
    <row r="250" spans="2:5" ht="15.75" customHeight="1" x14ac:dyDescent="0.3">
      <c r="B250" s="2"/>
      <c r="E250" s="2"/>
    </row>
    <row r="251" spans="2:5" ht="15.75" customHeight="1" x14ac:dyDescent="0.3">
      <c r="B251" s="2"/>
      <c r="E251" s="2"/>
    </row>
    <row r="252" spans="2:5" ht="15.75" customHeight="1" x14ac:dyDescent="0.3">
      <c r="B252" s="2"/>
      <c r="E252" s="2"/>
    </row>
    <row r="253" spans="2:5" ht="15.75" customHeight="1" x14ac:dyDescent="0.3">
      <c r="B253" s="2"/>
      <c r="E253" s="2"/>
    </row>
    <row r="254" spans="2:5" ht="15.75" customHeight="1" x14ac:dyDescent="0.3">
      <c r="B254" s="2"/>
      <c r="E254" s="2"/>
    </row>
    <row r="255" spans="2:5" ht="15.75" customHeight="1" x14ac:dyDescent="0.3">
      <c r="B255" s="2"/>
      <c r="E255" s="2"/>
    </row>
    <row r="256" spans="2:5" ht="15.75" customHeight="1" x14ac:dyDescent="0.3">
      <c r="B256" s="2"/>
      <c r="E256" s="2"/>
    </row>
    <row r="257" spans="2:5" ht="15.75" customHeight="1" x14ac:dyDescent="0.3">
      <c r="B257" s="2"/>
      <c r="E257" s="2"/>
    </row>
    <row r="258" spans="2:5" ht="15.75" customHeight="1" x14ac:dyDescent="0.3">
      <c r="B258" s="2"/>
      <c r="E258" s="2"/>
    </row>
    <row r="259" spans="2:5" ht="15.75" customHeight="1" x14ac:dyDescent="0.3">
      <c r="B259" s="2"/>
      <c r="E259" s="2"/>
    </row>
    <row r="260" spans="2:5" ht="15.75" customHeight="1" x14ac:dyDescent="0.3">
      <c r="B260" s="2"/>
      <c r="E260" s="2"/>
    </row>
    <row r="261" spans="2:5" ht="15.75" customHeight="1" x14ac:dyDescent="0.3">
      <c r="B261" s="2"/>
      <c r="E261" s="2"/>
    </row>
    <row r="262" spans="2:5" ht="15.75" customHeight="1" x14ac:dyDescent="0.3">
      <c r="B262" s="2"/>
      <c r="E262" s="2"/>
    </row>
    <row r="263" spans="2:5" ht="15.75" customHeight="1" x14ac:dyDescent="0.3"/>
    <row r="264" spans="2:5" ht="15.75" customHeight="1" x14ac:dyDescent="0.3"/>
    <row r="265" spans="2:5" ht="15.75" customHeight="1" x14ac:dyDescent="0.3"/>
    <row r="266" spans="2:5" ht="15.75" customHeight="1" x14ac:dyDescent="0.3"/>
    <row r="267" spans="2:5" ht="15.75" customHeight="1" x14ac:dyDescent="0.3"/>
    <row r="268" spans="2:5" ht="15.75" customHeight="1" x14ac:dyDescent="0.3"/>
    <row r="269" spans="2:5" ht="15.75" customHeight="1" x14ac:dyDescent="0.3"/>
    <row r="270" spans="2:5" ht="15.75" customHeight="1" x14ac:dyDescent="0.3"/>
    <row r="271" spans="2:5" ht="15.75" customHeight="1" x14ac:dyDescent="0.3"/>
    <row r="272" spans="2:5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C44:D44"/>
    <mergeCell ref="G44:AB44"/>
    <mergeCell ref="C1:D1"/>
    <mergeCell ref="G1:AB1"/>
    <mergeCell ref="A2:A5"/>
    <mergeCell ref="C6:D6"/>
    <mergeCell ref="G6:AB6"/>
    <mergeCell ref="C25:D25"/>
    <mergeCell ref="G25:AB25"/>
  </mergeCells>
  <conditionalFormatting sqref="D8:D24">
    <cfRule type="cellIs" dxfId="638" priority="22" operator="greaterThanOrEqual">
      <formula>$D$4</formula>
    </cfRule>
    <cfRule type="cellIs" dxfId="637" priority="24" operator="between">
      <formula>$D$3</formula>
      <formula>$D$4</formula>
    </cfRule>
    <cfRule type="cellIs" dxfId="636" priority="23" operator="lessThanOrEqual">
      <formula>$D$2</formula>
    </cfRule>
  </conditionalFormatting>
  <conditionalFormatting sqref="D27:D43 G27:AB43">
    <cfRule type="cellIs" dxfId="635" priority="21" operator="greaterThanOrEqual">
      <formula>365</formula>
    </cfRule>
  </conditionalFormatting>
  <conditionalFormatting sqref="D46:D62 G46:AB62">
    <cfRule type="cellIs" dxfId="634" priority="20" operator="lessThanOrEqual">
      <formula>1</formula>
    </cfRule>
  </conditionalFormatting>
  <conditionalFormatting sqref="G8:G24">
    <cfRule type="cellIs" dxfId="633" priority="1" operator="greaterThanOrEqual">
      <formula>$G$4</formula>
    </cfRule>
    <cfRule type="cellIs" dxfId="632" priority="19" operator="lessThanOrEqual">
      <formula>$G$2</formula>
    </cfRule>
    <cfRule type="cellIs" dxfId="631" priority="10" operator="between">
      <formula>$G$3</formula>
      <formula>$G$4</formula>
    </cfRule>
  </conditionalFormatting>
  <conditionalFormatting sqref="H8:H24">
    <cfRule type="cellIs" dxfId="630" priority="2" operator="greaterThanOrEqual">
      <formula>$H$4</formula>
    </cfRule>
    <cfRule type="cellIs" dxfId="629" priority="11" operator="between">
      <formula>$H$3</formula>
      <formula>$H$4</formula>
    </cfRule>
    <cfRule type="cellIs" dxfId="628" priority="26" operator="lessThanOrEqual">
      <formula>$H$2</formula>
    </cfRule>
  </conditionalFormatting>
  <conditionalFormatting sqref="I8:I24">
    <cfRule type="cellIs" dxfId="627" priority="3" operator="greaterThanOrEqual">
      <formula>$I$4</formula>
    </cfRule>
    <cfRule type="cellIs" dxfId="626" priority="12" operator="between">
      <formula>I$3</formula>
      <formula>I$4</formula>
    </cfRule>
    <cfRule type="cellIs" dxfId="625" priority="27" operator="lessThanOrEqual">
      <formula>$I$2</formula>
    </cfRule>
  </conditionalFormatting>
  <conditionalFormatting sqref="J8:J24">
    <cfRule type="cellIs" dxfId="624" priority="4" operator="greaterThanOrEqual">
      <formula>$J$4</formula>
    </cfRule>
    <cfRule type="cellIs" dxfId="623" priority="13" operator="between">
      <formula>$J$3</formula>
      <formula>$J$4</formula>
    </cfRule>
    <cfRule type="cellIs" dxfId="622" priority="28" operator="lessThanOrEqual">
      <formula>$J$2</formula>
    </cfRule>
  </conditionalFormatting>
  <conditionalFormatting sqref="K8:K24">
    <cfRule type="cellIs" dxfId="621" priority="5" operator="greaterThanOrEqual">
      <formula>$K$4</formula>
    </cfRule>
    <cfRule type="cellIs" dxfId="620" priority="14" operator="between">
      <formula>$K$3</formula>
      <formula>$K$4</formula>
    </cfRule>
    <cfRule type="cellIs" dxfId="619" priority="29" operator="lessThanOrEqual">
      <formula>$K$2</formula>
    </cfRule>
  </conditionalFormatting>
  <conditionalFormatting sqref="L8:L24">
    <cfRule type="cellIs" dxfId="618" priority="6" operator="greaterThanOrEqual">
      <formula>$L$4</formula>
    </cfRule>
    <cfRule type="cellIs" dxfId="617" priority="15" operator="between">
      <formula>$L$3</formula>
      <formula>$L$4</formula>
    </cfRule>
    <cfRule type="cellIs" dxfId="616" priority="30" operator="lessThanOrEqual">
      <formula>$L$2</formula>
    </cfRule>
  </conditionalFormatting>
  <conditionalFormatting sqref="M8:M24">
    <cfRule type="cellIs" dxfId="615" priority="7" operator="greaterThanOrEqual">
      <formula>$M$4</formula>
    </cfRule>
    <cfRule type="cellIs" dxfId="614" priority="16" operator="between">
      <formula>$M$3</formula>
      <formula>$M$4</formula>
    </cfRule>
    <cfRule type="cellIs" dxfId="613" priority="31" operator="lessThanOrEqual">
      <formula>$M$2</formula>
    </cfRule>
  </conditionalFormatting>
  <conditionalFormatting sqref="N8:N24">
    <cfRule type="cellIs" dxfId="612" priority="8" operator="greaterThanOrEqual">
      <formula>$N$4</formula>
    </cfRule>
    <cfRule type="cellIs" dxfId="611" priority="17" operator="between">
      <formula>$N$3</formula>
      <formula>$N$4</formula>
    </cfRule>
    <cfRule type="cellIs" dxfId="610" priority="32" operator="lessThanOrEqual">
      <formula>$N$2</formula>
    </cfRule>
  </conditionalFormatting>
  <conditionalFormatting sqref="O8:O24">
    <cfRule type="cellIs" dxfId="609" priority="18" operator="between">
      <formula>$O$3</formula>
      <formula>$O$4</formula>
    </cfRule>
    <cfRule type="cellIs" dxfId="608" priority="9" operator="greaterThanOrEqual">
      <formula>$O$4</formula>
    </cfRule>
    <cfRule type="cellIs" dxfId="607" priority="33" operator="lessThanOrEqual">
      <formula>$O$2</formula>
    </cfRule>
  </conditionalFormatting>
  <conditionalFormatting sqref="P7:P24">
    <cfRule type="cellIs" dxfId="606" priority="46" operator="between">
      <formula>$P$3</formula>
      <formula>$P$4</formula>
    </cfRule>
  </conditionalFormatting>
  <conditionalFormatting sqref="P8:P24">
    <cfRule type="cellIs" dxfId="605" priority="25" operator="lessThanOrEqual">
      <formula>$P$2</formula>
    </cfRule>
    <cfRule type="cellIs" dxfId="604" priority="59" operator="greaterThanOrEqual">
      <formula>$P$4</formula>
    </cfRule>
  </conditionalFormatting>
  <conditionalFormatting sqref="Q8:Q24">
    <cfRule type="cellIs" dxfId="603" priority="34" operator="lessThanOrEqual">
      <formula>$Q$2</formula>
    </cfRule>
    <cfRule type="cellIs" dxfId="602" priority="47" operator="between">
      <formula>$Q$3</formula>
      <formula>$Q$4</formula>
    </cfRule>
    <cfRule type="cellIs" dxfId="601" priority="60" operator="greaterThanOrEqual">
      <formula>$Q$4</formula>
    </cfRule>
  </conditionalFormatting>
  <conditionalFormatting sqref="R8:R24">
    <cfRule type="cellIs" dxfId="600" priority="48" operator="between">
      <formula>$R$3</formula>
      <formula>$R$4</formula>
    </cfRule>
    <cfRule type="cellIs" dxfId="599" priority="35" operator="lessThanOrEqual">
      <formula>$R$2</formula>
    </cfRule>
    <cfRule type="cellIs" dxfId="598" priority="61" operator="greaterThanOrEqual">
      <formula>$R$4</formula>
    </cfRule>
  </conditionalFormatting>
  <conditionalFormatting sqref="S8:S24">
    <cfRule type="cellIs" dxfId="597" priority="49" operator="between">
      <formula>$S$3</formula>
      <formula>$S$4</formula>
    </cfRule>
    <cfRule type="cellIs" dxfId="596" priority="36" operator="lessThanOrEqual">
      <formula>$S$2</formula>
    </cfRule>
    <cfRule type="cellIs" dxfId="595" priority="62" operator="greaterThanOrEqual">
      <formula>$S$4</formula>
    </cfRule>
  </conditionalFormatting>
  <conditionalFormatting sqref="T8:T24">
    <cfRule type="cellIs" dxfId="594" priority="37" operator="lessThanOrEqual">
      <formula>$T$2</formula>
    </cfRule>
    <cfRule type="cellIs" dxfId="593" priority="50" operator="between">
      <formula>$T$3</formula>
      <formula>$T$4</formula>
    </cfRule>
    <cfRule type="cellIs" dxfId="592" priority="63" operator="greaterThanOrEqual">
      <formula>$T$4</formula>
    </cfRule>
  </conditionalFormatting>
  <conditionalFormatting sqref="U8:U24">
    <cfRule type="cellIs" dxfId="591" priority="38" operator="lessThanOrEqual">
      <formula>$U$2</formula>
    </cfRule>
    <cfRule type="cellIs" dxfId="590" priority="51" operator="between">
      <formula>$U$3</formula>
      <formula>$U$4</formula>
    </cfRule>
    <cfRule type="cellIs" dxfId="589" priority="64" operator="greaterThanOrEqual">
      <formula>$U$4</formula>
    </cfRule>
  </conditionalFormatting>
  <conditionalFormatting sqref="V8:V24">
    <cfRule type="cellIs" dxfId="588" priority="39" operator="lessThanOrEqual">
      <formula>$V$2</formula>
    </cfRule>
    <cfRule type="cellIs" dxfId="587" priority="52" operator="between">
      <formula>$V$3</formula>
      <formula>$V$4</formula>
    </cfRule>
    <cfRule type="cellIs" dxfId="586" priority="65" operator="greaterThanOrEqual">
      <formula>$V$4</formula>
    </cfRule>
  </conditionalFormatting>
  <conditionalFormatting sqref="W8:W24">
    <cfRule type="cellIs" dxfId="585" priority="40" operator="lessThanOrEqual">
      <formula>$W$2</formula>
    </cfRule>
    <cfRule type="cellIs" dxfId="584" priority="53" operator="between">
      <formula>$W$3</formula>
      <formula>$W$4</formula>
    </cfRule>
    <cfRule type="cellIs" dxfId="583" priority="66" operator="greaterThanOrEqual">
      <formula>$W$4</formula>
    </cfRule>
  </conditionalFormatting>
  <conditionalFormatting sqref="X8:X24">
    <cfRule type="cellIs" dxfId="582" priority="54" operator="between">
      <formula>$X$3</formula>
      <formula>$X$4</formula>
    </cfRule>
    <cfRule type="cellIs" dxfId="581" priority="41" operator="lessThanOrEqual">
      <formula>$X$2</formula>
    </cfRule>
    <cfRule type="cellIs" dxfId="580" priority="67" operator="greaterThanOrEqual">
      <formula>$X$4</formula>
    </cfRule>
  </conditionalFormatting>
  <conditionalFormatting sqref="Y8:Y24">
    <cfRule type="cellIs" dxfId="579" priority="42" operator="lessThanOrEqual">
      <formula>$Y$2</formula>
    </cfRule>
    <cfRule type="cellIs" dxfId="578" priority="55" operator="between">
      <formula>$Y$3</formula>
      <formula>$Y$4</formula>
    </cfRule>
    <cfRule type="cellIs" dxfId="577" priority="68" operator="greaterThanOrEqual">
      <formula>$Y$4</formula>
    </cfRule>
  </conditionalFormatting>
  <conditionalFormatting sqref="Z8:Z24">
    <cfRule type="cellIs" dxfId="576" priority="56" operator="between">
      <formula>$Z$3</formula>
      <formula>$Z$4</formula>
    </cfRule>
    <cfRule type="cellIs" dxfId="575" priority="43" operator="lessThanOrEqual">
      <formula>$Z$2</formula>
    </cfRule>
    <cfRule type="cellIs" dxfId="574" priority="69" operator="greaterThanOrEqual">
      <formula>$Z$4</formula>
    </cfRule>
  </conditionalFormatting>
  <conditionalFormatting sqref="AA8:AA24">
    <cfRule type="cellIs" dxfId="573" priority="57" operator="between">
      <formula>$AA$3</formula>
      <formula>$AA$4</formula>
    </cfRule>
    <cfRule type="cellIs" dxfId="572" priority="44" operator="lessThanOrEqual">
      <formula>$AA$2</formula>
    </cfRule>
    <cfRule type="cellIs" dxfId="571" priority="70" operator="greaterThanOrEqual">
      <formula>$AA$4</formula>
    </cfRule>
  </conditionalFormatting>
  <conditionalFormatting sqref="AB8:AB24">
    <cfRule type="cellIs" dxfId="570" priority="45" operator="lessThanOrEqual">
      <formula>$AB$2</formula>
    </cfRule>
    <cfRule type="cellIs" dxfId="569" priority="58" operator="between">
      <formula>$AB$3</formula>
      <formula>$AB$4</formula>
    </cfRule>
    <cfRule type="cellIs" dxfId="568" priority="71" operator="greaterThanOrEqual">
      <formula>$AB$4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0"/>
  <sheetViews>
    <sheetView workbookViewId="0">
      <selection activeCell="A46" sqref="A46:A62"/>
    </sheetView>
  </sheetViews>
  <sheetFormatPr defaultColWidth="12.61328125" defaultRowHeight="15" customHeight="1" x14ac:dyDescent="0.3"/>
  <cols>
    <col min="1" max="1" width="10.4609375" customWidth="1"/>
    <col min="2" max="2" width="2.3828125" customWidth="1"/>
    <col min="3" max="3" width="10.4609375" customWidth="1"/>
    <col min="4" max="4" width="12.61328125" customWidth="1"/>
    <col min="5" max="5" width="2.3828125" customWidth="1"/>
    <col min="6" max="6" width="10.4609375" customWidth="1"/>
    <col min="9" max="10" width="14.61328125" customWidth="1"/>
  </cols>
  <sheetData>
    <row r="1" spans="1:28" ht="15.75" customHeight="1" x14ac:dyDescent="0.3">
      <c r="A1" s="1"/>
      <c r="B1" s="2"/>
      <c r="C1" s="32" t="s">
        <v>0</v>
      </c>
      <c r="D1" s="30"/>
      <c r="E1" s="2"/>
      <c r="F1" s="3"/>
      <c r="G1" s="32" t="s">
        <v>1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ht="15.75" customHeight="1" x14ac:dyDescent="0.3">
      <c r="A2" s="33" t="s">
        <v>2</v>
      </c>
      <c r="B2" s="2"/>
      <c r="C2" s="4" t="s">
        <v>3</v>
      </c>
      <c r="D2" s="5">
        <f>D3/12</f>
        <v>1.893939393939394E-2</v>
      </c>
      <c r="E2" s="2"/>
      <c r="F2" s="4" t="s">
        <v>3</v>
      </c>
      <c r="G2" s="5">
        <f t="shared" ref="G2:AB2" si="0">G3/12</f>
        <v>1.6856060606060606</v>
      </c>
      <c r="H2" s="5">
        <f t="shared" si="0"/>
        <v>1.4772727272727273</v>
      </c>
      <c r="I2" s="5">
        <f t="shared" si="0"/>
        <v>1.5340909090909089</v>
      </c>
      <c r="J2" s="5">
        <f t="shared" si="0"/>
        <v>1.4962121212121211</v>
      </c>
      <c r="K2" s="5">
        <f t="shared" si="0"/>
        <v>1.5151515151515149</v>
      </c>
      <c r="L2" s="5">
        <f t="shared" si="0"/>
        <v>1.893939393939394E-2</v>
      </c>
      <c r="M2" s="5">
        <f t="shared" si="0"/>
        <v>1.893939393939394E-2</v>
      </c>
      <c r="N2" s="5">
        <f t="shared" si="0"/>
        <v>1.893939393939394E-2</v>
      </c>
      <c r="O2" s="5">
        <f t="shared" si="0"/>
        <v>1.893939393939394E-2</v>
      </c>
      <c r="P2" s="5">
        <f t="shared" si="0"/>
        <v>1.893939393939394E-2</v>
      </c>
      <c r="Q2" s="5">
        <f t="shared" si="0"/>
        <v>1.893939393939394E-2</v>
      </c>
      <c r="R2" s="5">
        <f t="shared" si="0"/>
        <v>1.893939393939394E-2</v>
      </c>
      <c r="S2" s="5">
        <f t="shared" si="0"/>
        <v>1.893939393939394E-2</v>
      </c>
      <c r="T2" s="5">
        <f t="shared" si="0"/>
        <v>1.893939393939394E-2</v>
      </c>
      <c r="U2" s="5">
        <f t="shared" si="0"/>
        <v>1.893939393939394E-2</v>
      </c>
      <c r="V2" s="5">
        <f t="shared" si="0"/>
        <v>1.893939393939394E-2</v>
      </c>
      <c r="W2" s="5">
        <f t="shared" si="0"/>
        <v>1.893939393939394E-2</v>
      </c>
      <c r="X2" s="5">
        <f t="shared" si="0"/>
        <v>1.893939393939394E-2</v>
      </c>
      <c r="Y2" s="5">
        <f t="shared" si="0"/>
        <v>1.893939393939394E-2</v>
      </c>
      <c r="Z2" s="5">
        <f t="shared" si="0"/>
        <v>1.893939393939394E-2</v>
      </c>
      <c r="AA2" s="5">
        <f t="shared" si="0"/>
        <v>1.893939393939394E-2</v>
      </c>
      <c r="AB2" s="5">
        <f t="shared" si="0"/>
        <v>1.893939393939394E-2</v>
      </c>
    </row>
    <row r="3" spans="1:28" ht="15.75" customHeight="1" x14ac:dyDescent="0.3">
      <c r="A3" s="30"/>
      <c r="B3" s="2"/>
      <c r="C3" s="4" t="s">
        <v>4</v>
      </c>
      <c r="D3" s="5">
        <f>D4/4.4</f>
        <v>0.22727272727272727</v>
      </c>
      <c r="E3" s="2"/>
      <c r="F3" s="4" t="s">
        <v>4</v>
      </c>
      <c r="G3" s="5">
        <f t="shared" ref="G3:AB3" si="1">G4/4.4</f>
        <v>20.227272727272727</v>
      </c>
      <c r="H3" s="5">
        <f t="shared" si="1"/>
        <v>17.727272727272727</v>
      </c>
      <c r="I3" s="5">
        <f t="shared" si="1"/>
        <v>18.409090909090907</v>
      </c>
      <c r="J3" s="5">
        <f t="shared" si="1"/>
        <v>17.954545454545453</v>
      </c>
      <c r="K3" s="5">
        <f t="shared" si="1"/>
        <v>18.18181818181818</v>
      </c>
      <c r="L3" s="5">
        <f t="shared" si="1"/>
        <v>0.22727272727272727</v>
      </c>
      <c r="M3" s="5">
        <f t="shared" si="1"/>
        <v>0.22727272727272727</v>
      </c>
      <c r="N3" s="5">
        <f t="shared" si="1"/>
        <v>0.22727272727272727</v>
      </c>
      <c r="O3" s="5">
        <f t="shared" si="1"/>
        <v>0.22727272727272727</v>
      </c>
      <c r="P3" s="5">
        <f t="shared" si="1"/>
        <v>0.22727272727272727</v>
      </c>
      <c r="Q3" s="5">
        <f t="shared" si="1"/>
        <v>0.22727272727272727</v>
      </c>
      <c r="R3" s="5">
        <f t="shared" si="1"/>
        <v>0.22727272727272727</v>
      </c>
      <c r="S3" s="5">
        <f t="shared" si="1"/>
        <v>0.22727272727272727</v>
      </c>
      <c r="T3" s="5">
        <f t="shared" si="1"/>
        <v>0.22727272727272727</v>
      </c>
      <c r="U3" s="5">
        <f t="shared" si="1"/>
        <v>0.22727272727272727</v>
      </c>
      <c r="V3" s="5">
        <f t="shared" si="1"/>
        <v>0.22727272727272727</v>
      </c>
      <c r="W3" s="5">
        <f t="shared" si="1"/>
        <v>0.22727272727272727</v>
      </c>
      <c r="X3" s="5">
        <f t="shared" si="1"/>
        <v>0.22727272727272727</v>
      </c>
      <c r="Y3" s="5">
        <f t="shared" si="1"/>
        <v>0.22727272727272727</v>
      </c>
      <c r="Z3" s="5">
        <f t="shared" si="1"/>
        <v>0.22727272727272727</v>
      </c>
      <c r="AA3" s="5">
        <f t="shared" si="1"/>
        <v>0.22727272727272727</v>
      </c>
      <c r="AB3" s="5">
        <f t="shared" si="1"/>
        <v>0.22727272727272727</v>
      </c>
    </row>
    <row r="4" spans="1:28" ht="15.75" customHeight="1" x14ac:dyDescent="0.3">
      <c r="A4" s="30"/>
      <c r="B4" s="2"/>
      <c r="C4" s="4" t="s">
        <v>5</v>
      </c>
      <c r="D4" s="6">
        <v>1</v>
      </c>
      <c r="E4" s="2"/>
      <c r="F4" s="4" t="s">
        <v>5</v>
      </c>
      <c r="G4" s="25">
        <v>89</v>
      </c>
      <c r="H4" s="26">
        <v>78</v>
      </c>
      <c r="I4" s="26">
        <v>81</v>
      </c>
      <c r="J4" s="26">
        <v>79</v>
      </c>
      <c r="K4" s="25">
        <v>80</v>
      </c>
      <c r="L4" s="26">
        <v>1</v>
      </c>
      <c r="M4" s="26">
        <v>1</v>
      </c>
      <c r="N4" s="26">
        <v>1</v>
      </c>
      <c r="O4" s="25">
        <v>1</v>
      </c>
      <c r="P4" s="26">
        <v>1</v>
      </c>
      <c r="Q4" s="26">
        <v>1</v>
      </c>
      <c r="R4" s="25">
        <v>1</v>
      </c>
      <c r="S4" s="26">
        <v>1</v>
      </c>
      <c r="T4" s="26">
        <v>1</v>
      </c>
      <c r="U4" s="26">
        <v>1</v>
      </c>
      <c r="V4" s="25">
        <v>1</v>
      </c>
      <c r="W4" s="26">
        <v>1</v>
      </c>
      <c r="X4" s="25">
        <v>1</v>
      </c>
      <c r="Y4" s="25">
        <v>1</v>
      </c>
      <c r="Z4" s="26">
        <v>1</v>
      </c>
      <c r="AA4" s="26">
        <v>1</v>
      </c>
      <c r="AB4" s="26">
        <v>1</v>
      </c>
    </row>
    <row r="5" spans="1:28" ht="25.5" customHeight="1" x14ac:dyDescent="0.3">
      <c r="A5" s="30"/>
      <c r="B5" s="2"/>
      <c r="C5" s="7" t="s">
        <v>6</v>
      </c>
      <c r="D5" s="8">
        <v>1</v>
      </c>
      <c r="E5" s="2"/>
      <c r="F5" s="7" t="s">
        <v>6</v>
      </c>
      <c r="G5" s="27">
        <v>9</v>
      </c>
      <c r="H5" s="28">
        <v>4</v>
      </c>
      <c r="I5" s="28">
        <v>7</v>
      </c>
      <c r="J5" s="28">
        <v>5</v>
      </c>
      <c r="K5" s="27">
        <v>6</v>
      </c>
      <c r="L5" s="28">
        <v>1</v>
      </c>
      <c r="M5" s="28">
        <v>1</v>
      </c>
      <c r="N5" s="28">
        <v>1</v>
      </c>
      <c r="O5" s="27">
        <v>1</v>
      </c>
      <c r="P5" s="28">
        <v>1</v>
      </c>
      <c r="Q5" s="28">
        <v>1</v>
      </c>
      <c r="R5" s="27">
        <v>1</v>
      </c>
      <c r="S5" s="28">
        <v>1</v>
      </c>
      <c r="T5" s="28">
        <v>1</v>
      </c>
      <c r="U5" s="28">
        <v>1</v>
      </c>
      <c r="V5" s="27">
        <v>1</v>
      </c>
      <c r="W5" s="28">
        <v>1</v>
      </c>
      <c r="X5" s="27">
        <v>1</v>
      </c>
      <c r="Y5" s="27">
        <v>1</v>
      </c>
      <c r="Z5" s="28">
        <v>1</v>
      </c>
      <c r="AA5" s="28">
        <v>1</v>
      </c>
      <c r="AB5" s="28">
        <v>1</v>
      </c>
    </row>
    <row r="6" spans="1:28" ht="15.75" customHeight="1" x14ac:dyDescent="0.3">
      <c r="A6" s="3"/>
      <c r="B6" s="2"/>
      <c r="C6" s="29"/>
      <c r="D6" s="30"/>
      <c r="E6" s="2"/>
      <c r="F6" s="3"/>
      <c r="G6" s="31" t="s">
        <v>7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spans="1:28" ht="15.75" customHeight="1" x14ac:dyDescent="0.3">
      <c r="A7" s="9" t="s">
        <v>8</v>
      </c>
      <c r="B7" s="2"/>
      <c r="C7" s="10" t="s">
        <v>9</v>
      </c>
      <c r="D7" s="10" t="s">
        <v>10</v>
      </c>
      <c r="E7" s="2"/>
      <c r="F7" s="10" t="s">
        <v>9</v>
      </c>
      <c r="G7" s="10" t="s">
        <v>52</v>
      </c>
      <c r="H7" s="10" t="s">
        <v>53</v>
      </c>
      <c r="I7" s="10" t="s">
        <v>54</v>
      </c>
      <c r="J7" s="10" t="s">
        <v>55</v>
      </c>
      <c r="K7" s="10" t="s">
        <v>56</v>
      </c>
      <c r="L7" s="10"/>
      <c r="M7" s="10"/>
      <c r="N7" s="10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5.75" customHeight="1" x14ac:dyDescent="0.3">
      <c r="A8" s="12">
        <f>RAW!$A$6</f>
        <v>400</v>
      </c>
      <c r="B8" s="2"/>
      <c r="C8" s="13" t="s">
        <v>19</v>
      </c>
      <c r="D8" s="14">
        <f t="shared" ref="D8:D24" si="2">($A8/D$5)/365</f>
        <v>1.095890410958904</v>
      </c>
      <c r="E8" s="2"/>
      <c r="F8" s="13" t="s">
        <v>19</v>
      </c>
      <c r="G8" s="14">
        <f t="shared" ref="G8:AB8" si="3">($A8/G$5)/365</f>
        <v>0.12176560121765601</v>
      </c>
      <c r="H8" s="14">
        <f t="shared" si="3"/>
        <v>0.27397260273972601</v>
      </c>
      <c r="I8" s="14">
        <f t="shared" si="3"/>
        <v>0.15655577299412918</v>
      </c>
      <c r="J8" s="14">
        <f t="shared" si="3"/>
        <v>0.21917808219178081</v>
      </c>
      <c r="K8" s="14">
        <f t="shared" si="3"/>
        <v>0.18264840182648404</v>
      </c>
      <c r="L8" s="14">
        <f t="shared" si="3"/>
        <v>1.095890410958904</v>
      </c>
      <c r="M8" s="14">
        <f t="shared" si="3"/>
        <v>1.095890410958904</v>
      </c>
      <c r="N8" s="14">
        <f t="shared" si="3"/>
        <v>1.095890410958904</v>
      </c>
      <c r="O8" s="15">
        <f t="shared" si="3"/>
        <v>1.095890410958904</v>
      </c>
      <c r="P8" s="16">
        <f t="shared" si="3"/>
        <v>1.095890410958904</v>
      </c>
      <c r="Q8" s="16">
        <f t="shared" si="3"/>
        <v>1.095890410958904</v>
      </c>
      <c r="R8" s="16">
        <f t="shared" si="3"/>
        <v>1.095890410958904</v>
      </c>
      <c r="S8" s="16">
        <f t="shared" si="3"/>
        <v>1.095890410958904</v>
      </c>
      <c r="T8" s="16">
        <f t="shared" si="3"/>
        <v>1.095890410958904</v>
      </c>
      <c r="U8" s="16">
        <f t="shared" si="3"/>
        <v>1.095890410958904</v>
      </c>
      <c r="V8" s="16">
        <f t="shared" si="3"/>
        <v>1.095890410958904</v>
      </c>
      <c r="W8" s="16">
        <f t="shared" si="3"/>
        <v>1.095890410958904</v>
      </c>
      <c r="X8" s="16">
        <f t="shared" si="3"/>
        <v>1.095890410958904</v>
      </c>
      <c r="Y8" s="16">
        <f t="shared" si="3"/>
        <v>1.095890410958904</v>
      </c>
      <c r="Z8" s="16">
        <f t="shared" si="3"/>
        <v>1.095890410958904</v>
      </c>
      <c r="AA8" s="16">
        <f t="shared" si="3"/>
        <v>1.095890410958904</v>
      </c>
      <c r="AB8" s="16">
        <f t="shared" si="3"/>
        <v>1.095890410958904</v>
      </c>
    </row>
    <row r="9" spans="1:28" ht="15.75" customHeight="1" x14ac:dyDescent="0.3">
      <c r="A9" s="12">
        <f>RAW!$A$7</f>
        <v>1200</v>
      </c>
      <c r="B9" s="2"/>
      <c r="C9" s="17" t="s">
        <v>20</v>
      </c>
      <c r="D9" s="14">
        <f t="shared" si="2"/>
        <v>3.2876712328767121</v>
      </c>
      <c r="E9" s="2"/>
      <c r="F9" s="17" t="s">
        <v>20</v>
      </c>
      <c r="G9" s="14">
        <f t="shared" ref="G9:AB9" si="4">($A9/G$5)/365</f>
        <v>0.36529680365296807</v>
      </c>
      <c r="H9" s="14">
        <f t="shared" si="4"/>
        <v>0.82191780821917804</v>
      </c>
      <c r="I9" s="14">
        <f t="shared" si="4"/>
        <v>0.46966731898238745</v>
      </c>
      <c r="J9" s="14">
        <f t="shared" si="4"/>
        <v>0.65753424657534243</v>
      </c>
      <c r="K9" s="14">
        <f t="shared" si="4"/>
        <v>0.54794520547945202</v>
      </c>
      <c r="L9" s="14">
        <f t="shared" si="4"/>
        <v>3.2876712328767121</v>
      </c>
      <c r="M9" s="14">
        <f t="shared" si="4"/>
        <v>3.2876712328767121</v>
      </c>
      <c r="N9" s="14">
        <f t="shared" si="4"/>
        <v>3.2876712328767121</v>
      </c>
      <c r="O9" s="15">
        <f t="shared" si="4"/>
        <v>3.2876712328767121</v>
      </c>
      <c r="P9" s="16">
        <f t="shared" si="4"/>
        <v>3.2876712328767121</v>
      </c>
      <c r="Q9" s="16">
        <f t="shared" si="4"/>
        <v>3.2876712328767121</v>
      </c>
      <c r="R9" s="16">
        <f t="shared" si="4"/>
        <v>3.2876712328767121</v>
      </c>
      <c r="S9" s="16">
        <f t="shared" si="4"/>
        <v>3.2876712328767121</v>
      </c>
      <c r="T9" s="16">
        <f t="shared" si="4"/>
        <v>3.2876712328767121</v>
      </c>
      <c r="U9" s="16">
        <f t="shared" si="4"/>
        <v>3.2876712328767121</v>
      </c>
      <c r="V9" s="16">
        <f t="shared" si="4"/>
        <v>3.2876712328767121</v>
      </c>
      <c r="W9" s="16">
        <f t="shared" si="4"/>
        <v>3.2876712328767121</v>
      </c>
      <c r="X9" s="16">
        <f t="shared" si="4"/>
        <v>3.2876712328767121</v>
      </c>
      <c r="Y9" s="16">
        <f t="shared" si="4"/>
        <v>3.2876712328767121</v>
      </c>
      <c r="Z9" s="16">
        <f t="shared" si="4"/>
        <v>3.2876712328767121</v>
      </c>
      <c r="AA9" s="16">
        <f t="shared" si="4"/>
        <v>3.2876712328767121</v>
      </c>
      <c r="AB9" s="16">
        <f t="shared" si="4"/>
        <v>3.2876712328767121</v>
      </c>
    </row>
    <row r="10" spans="1:28" ht="15.75" customHeight="1" x14ac:dyDescent="0.3">
      <c r="A10" s="12">
        <f>RAW!$A$8</f>
        <v>2800</v>
      </c>
      <c r="B10" s="2"/>
      <c r="C10" s="17" t="s">
        <v>21</v>
      </c>
      <c r="D10" s="14">
        <f t="shared" si="2"/>
        <v>7.6712328767123283</v>
      </c>
      <c r="E10" s="2"/>
      <c r="F10" s="17" t="s">
        <v>21</v>
      </c>
      <c r="G10" s="14">
        <f t="shared" ref="G10:AB10" si="5">($A10/G$5)/365</f>
        <v>0.85235920852359204</v>
      </c>
      <c r="H10" s="14">
        <f t="shared" si="5"/>
        <v>1.9178082191780821</v>
      </c>
      <c r="I10" s="14">
        <f t="shared" si="5"/>
        <v>1.095890410958904</v>
      </c>
      <c r="J10" s="14">
        <f t="shared" si="5"/>
        <v>1.5342465753424657</v>
      </c>
      <c r="K10" s="14">
        <f t="shared" si="5"/>
        <v>1.2785388127853883</v>
      </c>
      <c r="L10" s="14">
        <f t="shared" si="5"/>
        <v>7.6712328767123283</v>
      </c>
      <c r="M10" s="14">
        <f t="shared" si="5"/>
        <v>7.6712328767123283</v>
      </c>
      <c r="N10" s="14">
        <f t="shared" si="5"/>
        <v>7.6712328767123283</v>
      </c>
      <c r="O10" s="15">
        <f t="shared" si="5"/>
        <v>7.6712328767123283</v>
      </c>
      <c r="P10" s="16">
        <f t="shared" si="5"/>
        <v>7.6712328767123283</v>
      </c>
      <c r="Q10" s="16">
        <f t="shared" si="5"/>
        <v>7.6712328767123283</v>
      </c>
      <c r="R10" s="16">
        <f t="shared" si="5"/>
        <v>7.6712328767123283</v>
      </c>
      <c r="S10" s="16">
        <f t="shared" si="5"/>
        <v>7.6712328767123283</v>
      </c>
      <c r="T10" s="16">
        <f t="shared" si="5"/>
        <v>7.6712328767123283</v>
      </c>
      <c r="U10" s="16">
        <f t="shared" si="5"/>
        <v>7.6712328767123283</v>
      </c>
      <c r="V10" s="16">
        <f t="shared" si="5"/>
        <v>7.6712328767123283</v>
      </c>
      <c r="W10" s="16">
        <f t="shared" si="5"/>
        <v>7.6712328767123283</v>
      </c>
      <c r="X10" s="16">
        <f t="shared" si="5"/>
        <v>7.6712328767123283</v>
      </c>
      <c r="Y10" s="16">
        <f t="shared" si="5"/>
        <v>7.6712328767123283</v>
      </c>
      <c r="Z10" s="16">
        <f t="shared" si="5"/>
        <v>7.6712328767123283</v>
      </c>
      <c r="AA10" s="16">
        <f t="shared" si="5"/>
        <v>7.6712328767123283</v>
      </c>
      <c r="AB10" s="16">
        <f t="shared" si="5"/>
        <v>7.6712328767123283</v>
      </c>
    </row>
    <row r="11" spans="1:28" ht="15.75" customHeight="1" x14ac:dyDescent="0.3">
      <c r="A11" s="12">
        <f>RAW!$A$9</f>
        <v>6000</v>
      </c>
      <c r="B11" s="2"/>
      <c r="C11" s="17" t="s">
        <v>22</v>
      </c>
      <c r="D11" s="14">
        <f t="shared" si="2"/>
        <v>16.438356164383563</v>
      </c>
      <c r="E11" s="2"/>
      <c r="F11" s="17" t="s">
        <v>22</v>
      </c>
      <c r="G11" s="14">
        <f t="shared" ref="G11:AB11" si="6">($A11/G$5)/365</f>
        <v>1.8264840182648401</v>
      </c>
      <c r="H11" s="14">
        <f t="shared" si="6"/>
        <v>4.1095890410958908</v>
      </c>
      <c r="I11" s="14">
        <f t="shared" si="6"/>
        <v>2.3483365949119372</v>
      </c>
      <c r="J11" s="14">
        <f t="shared" si="6"/>
        <v>3.2876712328767121</v>
      </c>
      <c r="K11" s="14">
        <f t="shared" si="6"/>
        <v>2.7397260273972601</v>
      </c>
      <c r="L11" s="14">
        <f t="shared" si="6"/>
        <v>16.438356164383563</v>
      </c>
      <c r="M11" s="14">
        <f t="shared" si="6"/>
        <v>16.438356164383563</v>
      </c>
      <c r="N11" s="14">
        <f t="shared" si="6"/>
        <v>16.438356164383563</v>
      </c>
      <c r="O11" s="15">
        <f t="shared" si="6"/>
        <v>16.438356164383563</v>
      </c>
      <c r="P11" s="16">
        <f t="shared" si="6"/>
        <v>16.438356164383563</v>
      </c>
      <c r="Q11" s="16">
        <f t="shared" si="6"/>
        <v>16.438356164383563</v>
      </c>
      <c r="R11" s="16">
        <f t="shared" si="6"/>
        <v>16.438356164383563</v>
      </c>
      <c r="S11" s="16">
        <f t="shared" si="6"/>
        <v>16.438356164383563</v>
      </c>
      <c r="T11" s="16">
        <f t="shared" si="6"/>
        <v>16.438356164383563</v>
      </c>
      <c r="U11" s="16">
        <f t="shared" si="6"/>
        <v>16.438356164383563</v>
      </c>
      <c r="V11" s="16">
        <f t="shared" si="6"/>
        <v>16.438356164383563</v>
      </c>
      <c r="W11" s="16">
        <f t="shared" si="6"/>
        <v>16.438356164383563</v>
      </c>
      <c r="X11" s="16">
        <f t="shared" si="6"/>
        <v>16.438356164383563</v>
      </c>
      <c r="Y11" s="16">
        <f t="shared" si="6"/>
        <v>16.438356164383563</v>
      </c>
      <c r="Z11" s="16">
        <f t="shared" si="6"/>
        <v>16.438356164383563</v>
      </c>
      <c r="AA11" s="16">
        <f t="shared" si="6"/>
        <v>16.438356164383563</v>
      </c>
      <c r="AB11" s="16">
        <f t="shared" si="6"/>
        <v>16.438356164383563</v>
      </c>
    </row>
    <row r="12" spans="1:28" ht="15.75" customHeight="1" x14ac:dyDescent="0.3">
      <c r="A12" s="12">
        <f>RAW!$A$10</f>
        <v>12400</v>
      </c>
      <c r="B12" s="2"/>
      <c r="C12" s="17" t="s">
        <v>23</v>
      </c>
      <c r="D12" s="14">
        <f t="shared" si="2"/>
        <v>33.972602739726028</v>
      </c>
      <c r="E12" s="2"/>
      <c r="F12" s="17" t="s">
        <v>23</v>
      </c>
      <c r="G12" s="14">
        <f t="shared" ref="G12:AB12" si="7">($A12/G$5)/365</f>
        <v>3.7747336377473366</v>
      </c>
      <c r="H12" s="14">
        <f t="shared" si="7"/>
        <v>8.493150684931507</v>
      </c>
      <c r="I12" s="14">
        <f t="shared" si="7"/>
        <v>4.8532289628180036</v>
      </c>
      <c r="J12" s="14">
        <f t="shared" si="7"/>
        <v>6.7945205479452051</v>
      </c>
      <c r="K12" s="14">
        <f t="shared" si="7"/>
        <v>5.6621004566210038</v>
      </c>
      <c r="L12" s="14">
        <f t="shared" si="7"/>
        <v>33.972602739726028</v>
      </c>
      <c r="M12" s="14">
        <f t="shared" si="7"/>
        <v>33.972602739726028</v>
      </c>
      <c r="N12" s="14">
        <f t="shared" si="7"/>
        <v>33.972602739726028</v>
      </c>
      <c r="O12" s="15">
        <f t="shared" si="7"/>
        <v>33.972602739726028</v>
      </c>
      <c r="P12" s="16">
        <f t="shared" si="7"/>
        <v>33.972602739726028</v>
      </c>
      <c r="Q12" s="16">
        <f t="shared" si="7"/>
        <v>33.972602739726028</v>
      </c>
      <c r="R12" s="16">
        <f t="shared" si="7"/>
        <v>33.972602739726028</v>
      </c>
      <c r="S12" s="16">
        <f t="shared" si="7"/>
        <v>33.972602739726028</v>
      </c>
      <c r="T12" s="16">
        <f t="shared" si="7"/>
        <v>33.972602739726028</v>
      </c>
      <c r="U12" s="16">
        <f t="shared" si="7"/>
        <v>33.972602739726028</v>
      </c>
      <c r="V12" s="16">
        <f t="shared" si="7"/>
        <v>33.972602739726028</v>
      </c>
      <c r="W12" s="16">
        <f t="shared" si="7"/>
        <v>33.972602739726028</v>
      </c>
      <c r="X12" s="16">
        <f t="shared" si="7"/>
        <v>33.972602739726028</v>
      </c>
      <c r="Y12" s="16">
        <f t="shared" si="7"/>
        <v>33.972602739726028</v>
      </c>
      <c r="Z12" s="16">
        <f t="shared" si="7"/>
        <v>33.972602739726028</v>
      </c>
      <c r="AA12" s="16">
        <f t="shared" si="7"/>
        <v>33.972602739726028</v>
      </c>
      <c r="AB12" s="16">
        <f t="shared" si="7"/>
        <v>33.972602739726028</v>
      </c>
    </row>
    <row r="13" spans="1:28" ht="15.75" customHeight="1" x14ac:dyDescent="0.3">
      <c r="A13" s="12">
        <f>RAW!$A$11</f>
        <v>25200</v>
      </c>
      <c r="B13" s="2"/>
      <c r="C13" s="17" t="s">
        <v>24</v>
      </c>
      <c r="D13" s="14">
        <f t="shared" si="2"/>
        <v>69.041095890410958</v>
      </c>
      <c r="E13" s="2"/>
      <c r="F13" s="17" t="s">
        <v>24</v>
      </c>
      <c r="G13" s="14">
        <f t="shared" ref="G13:AB13" si="8">($A13/G$5)/365</f>
        <v>7.6712328767123283</v>
      </c>
      <c r="H13" s="14">
        <f t="shared" si="8"/>
        <v>17.260273972602739</v>
      </c>
      <c r="I13" s="14">
        <f t="shared" si="8"/>
        <v>9.8630136986301373</v>
      </c>
      <c r="J13" s="14">
        <f t="shared" si="8"/>
        <v>13.808219178082192</v>
      </c>
      <c r="K13" s="14">
        <f t="shared" si="8"/>
        <v>11.506849315068493</v>
      </c>
      <c r="L13" s="14">
        <f t="shared" si="8"/>
        <v>69.041095890410958</v>
      </c>
      <c r="M13" s="14">
        <f t="shared" si="8"/>
        <v>69.041095890410958</v>
      </c>
      <c r="N13" s="14">
        <f t="shared" si="8"/>
        <v>69.041095890410958</v>
      </c>
      <c r="O13" s="15">
        <f t="shared" si="8"/>
        <v>69.041095890410958</v>
      </c>
      <c r="P13" s="16">
        <f t="shared" si="8"/>
        <v>69.041095890410958</v>
      </c>
      <c r="Q13" s="16">
        <f t="shared" si="8"/>
        <v>69.041095890410958</v>
      </c>
      <c r="R13" s="16">
        <f t="shared" si="8"/>
        <v>69.041095890410958</v>
      </c>
      <c r="S13" s="16">
        <f t="shared" si="8"/>
        <v>69.041095890410958</v>
      </c>
      <c r="T13" s="16">
        <f t="shared" si="8"/>
        <v>69.041095890410958</v>
      </c>
      <c r="U13" s="16">
        <f t="shared" si="8"/>
        <v>69.041095890410958</v>
      </c>
      <c r="V13" s="16">
        <f t="shared" si="8"/>
        <v>69.041095890410958</v>
      </c>
      <c r="W13" s="16">
        <f t="shared" si="8"/>
        <v>69.041095890410958</v>
      </c>
      <c r="X13" s="16">
        <f t="shared" si="8"/>
        <v>69.041095890410958</v>
      </c>
      <c r="Y13" s="16">
        <f t="shared" si="8"/>
        <v>69.041095890410958</v>
      </c>
      <c r="Z13" s="16">
        <f t="shared" si="8"/>
        <v>69.041095890410958</v>
      </c>
      <c r="AA13" s="16">
        <f t="shared" si="8"/>
        <v>69.041095890410958</v>
      </c>
      <c r="AB13" s="16">
        <f t="shared" si="8"/>
        <v>69.041095890410958</v>
      </c>
    </row>
    <row r="14" spans="1:28" ht="15.75" customHeight="1" x14ac:dyDescent="0.3">
      <c r="A14" s="12">
        <f>RAW!$A$12</f>
        <v>50800</v>
      </c>
      <c r="B14" s="2"/>
      <c r="C14" s="17" t="s">
        <v>25</v>
      </c>
      <c r="D14" s="14">
        <f t="shared" si="2"/>
        <v>139.17808219178082</v>
      </c>
      <c r="E14" s="2"/>
      <c r="F14" s="17" t="s">
        <v>25</v>
      </c>
      <c r="G14" s="14">
        <f t="shared" ref="G14:AB14" si="9">($A14/G$5)/365</f>
        <v>15.464231354642314</v>
      </c>
      <c r="H14" s="14">
        <f t="shared" si="9"/>
        <v>34.794520547945204</v>
      </c>
      <c r="I14" s="14">
        <f t="shared" si="9"/>
        <v>19.882583170254403</v>
      </c>
      <c r="J14" s="14">
        <f t="shared" si="9"/>
        <v>27.835616438356166</v>
      </c>
      <c r="K14" s="14">
        <f t="shared" si="9"/>
        <v>23.196347031963469</v>
      </c>
      <c r="L14" s="14">
        <f t="shared" si="9"/>
        <v>139.17808219178082</v>
      </c>
      <c r="M14" s="14">
        <f t="shared" si="9"/>
        <v>139.17808219178082</v>
      </c>
      <c r="N14" s="14">
        <f t="shared" si="9"/>
        <v>139.17808219178082</v>
      </c>
      <c r="O14" s="15">
        <f t="shared" si="9"/>
        <v>139.17808219178082</v>
      </c>
      <c r="P14" s="16">
        <f t="shared" si="9"/>
        <v>139.17808219178082</v>
      </c>
      <c r="Q14" s="16">
        <f t="shared" si="9"/>
        <v>139.17808219178082</v>
      </c>
      <c r="R14" s="16">
        <f t="shared" si="9"/>
        <v>139.17808219178082</v>
      </c>
      <c r="S14" s="16">
        <f t="shared" si="9"/>
        <v>139.17808219178082</v>
      </c>
      <c r="T14" s="16">
        <f t="shared" si="9"/>
        <v>139.17808219178082</v>
      </c>
      <c r="U14" s="16">
        <f t="shared" si="9"/>
        <v>139.17808219178082</v>
      </c>
      <c r="V14" s="16">
        <f t="shared" si="9"/>
        <v>139.17808219178082</v>
      </c>
      <c r="W14" s="16">
        <f t="shared" si="9"/>
        <v>139.17808219178082</v>
      </c>
      <c r="X14" s="16">
        <f t="shared" si="9"/>
        <v>139.17808219178082</v>
      </c>
      <c r="Y14" s="16">
        <f t="shared" si="9"/>
        <v>139.17808219178082</v>
      </c>
      <c r="Z14" s="16">
        <f t="shared" si="9"/>
        <v>139.17808219178082</v>
      </c>
      <c r="AA14" s="16">
        <f t="shared" si="9"/>
        <v>139.17808219178082</v>
      </c>
      <c r="AB14" s="16">
        <f t="shared" si="9"/>
        <v>139.17808219178082</v>
      </c>
    </row>
    <row r="15" spans="1:28" ht="15.75" customHeight="1" x14ac:dyDescent="0.3">
      <c r="A15" s="12">
        <f>RAW!$A$13</f>
        <v>102000</v>
      </c>
      <c r="B15" s="2"/>
      <c r="C15" s="17" t="s">
        <v>26</v>
      </c>
      <c r="D15" s="14">
        <f t="shared" si="2"/>
        <v>279.45205479452056</v>
      </c>
      <c r="E15" s="2"/>
      <c r="F15" s="17" t="s">
        <v>26</v>
      </c>
      <c r="G15" s="14">
        <f t="shared" ref="G15:AB15" si="10">($A15/G$5)/365</f>
        <v>31.050228310502284</v>
      </c>
      <c r="H15" s="14">
        <f t="shared" si="10"/>
        <v>69.863013698630141</v>
      </c>
      <c r="I15" s="14">
        <f t="shared" si="10"/>
        <v>39.921722113502931</v>
      </c>
      <c r="J15" s="14">
        <f t="shared" si="10"/>
        <v>55.890410958904113</v>
      </c>
      <c r="K15" s="14">
        <f t="shared" si="10"/>
        <v>46.575342465753423</v>
      </c>
      <c r="L15" s="14">
        <f t="shared" si="10"/>
        <v>279.45205479452056</v>
      </c>
      <c r="M15" s="14">
        <f t="shared" si="10"/>
        <v>279.45205479452056</v>
      </c>
      <c r="N15" s="14">
        <f t="shared" si="10"/>
        <v>279.45205479452056</v>
      </c>
      <c r="O15" s="15">
        <f t="shared" si="10"/>
        <v>279.45205479452056</v>
      </c>
      <c r="P15" s="16">
        <f t="shared" si="10"/>
        <v>279.45205479452056</v>
      </c>
      <c r="Q15" s="16">
        <f t="shared" si="10"/>
        <v>279.45205479452056</v>
      </c>
      <c r="R15" s="16">
        <f t="shared" si="10"/>
        <v>279.45205479452056</v>
      </c>
      <c r="S15" s="16">
        <f t="shared" si="10"/>
        <v>279.45205479452056</v>
      </c>
      <c r="T15" s="16">
        <f t="shared" si="10"/>
        <v>279.45205479452056</v>
      </c>
      <c r="U15" s="16">
        <f t="shared" si="10"/>
        <v>279.45205479452056</v>
      </c>
      <c r="V15" s="16">
        <f t="shared" si="10"/>
        <v>279.45205479452056</v>
      </c>
      <c r="W15" s="16">
        <f t="shared" si="10"/>
        <v>279.45205479452056</v>
      </c>
      <c r="X15" s="16">
        <f t="shared" si="10"/>
        <v>279.45205479452056</v>
      </c>
      <c r="Y15" s="16">
        <f t="shared" si="10"/>
        <v>279.45205479452056</v>
      </c>
      <c r="Z15" s="16">
        <f t="shared" si="10"/>
        <v>279.45205479452056</v>
      </c>
      <c r="AA15" s="16">
        <f t="shared" si="10"/>
        <v>279.45205479452056</v>
      </c>
      <c r="AB15" s="16">
        <f t="shared" si="10"/>
        <v>279.45205479452056</v>
      </c>
    </row>
    <row r="16" spans="1:28" ht="15.75" customHeight="1" x14ac:dyDescent="0.3">
      <c r="A16" s="12">
        <f>RAW!$A$14</f>
        <v>204400</v>
      </c>
      <c r="B16" s="2"/>
      <c r="C16" s="17" t="s">
        <v>27</v>
      </c>
      <c r="D16" s="14">
        <f t="shared" si="2"/>
        <v>560</v>
      </c>
      <c r="E16" s="2"/>
      <c r="F16" s="17" t="s">
        <v>27</v>
      </c>
      <c r="G16" s="14">
        <f t="shared" ref="G16:AB16" si="11">($A16/G$5)/365</f>
        <v>62.222222222222214</v>
      </c>
      <c r="H16" s="14">
        <f t="shared" si="11"/>
        <v>140</v>
      </c>
      <c r="I16" s="14">
        <f t="shared" si="11"/>
        <v>80</v>
      </c>
      <c r="J16" s="14">
        <f t="shared" si="11"/>
        <v>112</v>
      </c>
      <c r="K16" s="14">
        <f t="shared" si="11"/>
        <v>93.333333333333329</v>
      </c>
      <c r="L16" s="14">
        <f t="shared" si="11"/>
        <v>560</v>
      </c>
      <c r="M16" s="14">
        <f t="shared" si="11"/>
        <v>560</v>
      </c>
      <c r="N16" s="14">
        <f t="shared" si="11"/>
        <v>560</v>
      </c>
      <c r="O16" s="15">
        <f t="shared" si="11"/>
        <v>560</v>
      </c>
      <c r="P16" s="16">
        <f t="shared" si="11"/>
        <v>560</v>
      </c>
      <c r="Q16" s="16">
        <f t="shared" si="11"/>
        <v>560</v>
      </c>
      <c r="R16" s="16">
        <f t="shared" si="11"/>
        <v>560</v>
      </c>
      <c r="S16" s="16">
        <f t="shared" si="11"/>
        <v>560</v>
      </c>
      <c r="T16" s="16">
        <f t="shared" si="11"/>
        <v>560</v>
      </c>
      <c r="U16" s="16">
        <f t="shared" si="11"/>
        <v>560</v>
      </c>
      <c r="V16" s="16">
        <f t="shared" si="11"/>
        <v>560</v>
      </c>
      <c r="W16" s="16">
        <f t="shared" si="11"/>
        <v>560</v>
      </c>
      <c r="X16" s="16">
        <f t="shared" si="11"/>
        <v>560</v>
      </c>
      <c r="Y16" s="16">
        <f t="shared" si="11"/>
        <v>560</v>
      </c>
      <c r="Z16" s="16">
        <f t="shared" si="11"/>
        <v>560</v>
      </c>
      <c r="AA16" s="16">
        <f t="shared" si="11"/>
        <v>560</v>
      </c>
      <c r="AB16" s="16">
        <f t="shared" si="11"/>
        <v>560</v>
      </c>
    </row>
    <row r="17" spans="1:28" ht="15.75" customHeight="1" x14ac:dyDescent="0.3">
      <c r="A17" s="12">
        <f>RAW!$A$15</f>
        <v>409200</v>
      </c>
      <c r="B17" s="2"/>
      <c r="C17" s="17" t="s">
        <v>28</v>
      </c>
      <c r="D17" s="14">
        <f t="shared" si="2"/>
        <v>1121.0958904109589</v>
      </c>
      <c r="E17" s="2"/>
      <c r="F17" s="17" t="s">
        <v>28</v>
      </c>
      <c r="G17" s="14">
        <f t="shared" ref="G17:AB17" si="12">($A17/G$5)/365</f>
        <v>124.56621004566209</v>
      </c>
      <c r="H17" s="14">
        <f t="shared" si="12"/>
        <v>280.27397260273972</v>
      </c>
      <c r="I17" s="14">
        <f t="shared" si="12"/>
        <v>160.15655577299412</v>
      </c>
      <c r="J17" s="14">
        <f t="shared" si="12"/>
        <v>224.21917808219177</v>
      </c>
      <c r="K17" s="14">
        <f t="shared" si="12"/>
        <v>186.84931506849315</v>
      </c>
      <c r="L17" s="14">
        <f t="shared" si="12"/>
        <v>1121.0958904109589</v>
      </c>
      <c r="M17" s="14">
        <f t="shared" si="12"/>
        <v>1121.0958904109589</v>
      </c>
      <c r="N17" s="14">
        <f t="shared" si="12"/>
        <v>1121.0958904109589</v>
      </c>
      <c r="O17" s="15">
        <f t="shared" si="12"/>
        <v>1121.0958904109589</v>
      </c>
      <c r="P17" s="16">
        <f t="shared" si="12"/>
        <v>1121.0958904109589</v>
      </c>
      <c r="Q17" s="16">
        <f t="shared" si="12"/>
        <v>1121.0958904109589</v>
      </c>
      <c r="R17" s="16">
        <f t="shared" si="12"/>
        <v>1121.0958904109589</v>
      </c>
      <c r="S17" s="16">
        <f t="shared" si="12"/>
        <v>1121.0958904109589</v>
      </c>
      <c r="T17" s="16">
        <f t="shared" si="12"/>
        <v>1121.0958904109589</v>
      </c>
      <c r="U17" s="16">
        <f t="shared" si="12"/>
        <v>1121.0958904109589</v>
      </c>
      <c r="V17" s="16">
        <f t="shared" si="12"/>
        <v>1121.0958904109589</v>
      </c>
      <c r="W17" s="16">
        <f t="shared" si="12"/>
        <v>1121.0958904109589</v>
      </c>
      <c r="X17" s="16">
        <f t="shared" si="12"/>
        <v>1121.0958904109589</v>
      </c>
      <c r="Y17" s="16">
        <f t="shared" si="12"/>
        <v>1121.0958904109589</v>
      </c>
      <c r="Z17" s="16">
        <f t="shared" si="12"/>
        <v>1121.0958904109589</v>
      </c>
      <c r="AA17" s="16">
        <f t="shared" si="12"/>
        <v>1121.0958904109589</v>
      </c>
      <c r="AB17" s="16">
        <f t="shared" si="12"/>
        <v>1121.0958904109589</v>
      </c>
    </row>
    <row r="18" spans="1:28" ht="15.75" customHeight="1" x14ac:dyDescent="0.3">
      <c r="A18" s="12">
        <f>RAW!$A$16</f>
        <v>818800</v>
      </c>
      <c r="B18" s="2"/>
      <c r="C18" s="17" t="s">
        <v>29</v>
      </c>
      <c r="D18" s="14">
        <f t="shared" si="2"/>
        <v>2243.2876712328766</v>
      </c>
      <c r="E18" s="2"/>
      <c r="F18" s="17" t="s">
        <v>29</v>
      </c>
      <c r="G18" s="14">
        <f t="shared" ref="G18:AB18" si="13">($A18/G$5)/365</f>
        <v>249.25418569254185</v>
      </c>
      <c r="H18" s="14">
        <f t="shared" si="13"/>
        <v>560.82191780821915</v>
      </c>
      <c r="I18" s="14">
        <f t="shared" si="13"/>
        <v>320.46966731898237</v>
      </c>
      <c r="J18" s="14">
        <f t="shared" si="13"/>
        <v>448.65753424657532</v>
      </c>
      <c r="K18" s="14">
        <f t="shared" si="13"/>
        <v>373.88127853881275</v>
      </c>
      <c r="L18" s="14">
        <f t="shared" si="13"/>
        <v>2243.2876712328766</v>
      </c>
      <c r="M18" s="14">
        <f t="shared" si="13"/>
        <v>2243.2876712328766</v>
      </c>
      <c r="N18" s="14">
        <f t="shared" si="13"/>
        <v>2243.2876712328766</v>
      </c>
      <c r="O18" s="15">
        <f t="shared" si="13"/>
        <v>2243.2876712328766</v>
      </c>
      <c r="P18" s="16">
        <f t="shared" si="13"/>
        <v>2243.2876712328766</v>
      </c>
      <c r="Q18" s="16">
        <f t="shared" si="13"/>
        <v>2243.2876712328766</v>
      </c>
      <c r="R18" s="16">
        <f t="shared" si="13"/>
        <v>2243.2876712328766</v>
      </c>
      <c r="S18" s="16">
        <f t="shared" si="13"/>
        <v>2243.2876712328766</v>
      </c>
      <c r="T18" s="16">
        <f t="shared" si="13"/>
        <v>2243.2876712328766</v>
      </c>
      <c r="U18" s="16">
        <f t="shared" si="13"/>
        <v>2243.2876712328766</v>
      </c>
      <c r="V18" s="16">
        <f t="shared" si="13"/>
        <v>2243.2876712328766</v>
      </c>
      <c r="W18" s="16">
        <f t="shared" si="13"/>
        <v>2243.2876712328766</v>
      </c>
      <c r="X18" s="16">
        <f t="shared" si="13"/>
        <v>2243.2876712328766</v>
      </c>
      <c r="Y18" s="16">
        <f t="shared" si="13"/>
        <v>2243.2876712328766</v>
      </c>
      <c r="Z18" s="16">
        <f t="shared" si="13"/>
        <v>2243.2876712328766</v>
      </c>
      <c r="AA18" s="16">
        <f t="shared" si="13"/>
        <v>2243.2876712328766</v>
      </c>
      <c r="AB18" s="16">
        <f t="shared" si="13"/>
        <v>2243.2876712328766</v>
      </c>
    </row>
    <row r="19" spans="1:28" ht="15.75" customHeight="1" x14ac:dyDescent="0.3">
      <c r="A19" s="12">
        <f>RAW!$A$17</f>
        <v>1638000</v>
      </c>
      <c r="B19" s="2"/>
      <c r="C19" s="17" t="s">
        <v>30</v>
      </c>
      <c r="D19" s="14">
        <f t="shared" si="2"/>
        <v>4487.6712328767126</v>
      </c>
      <c r="E19" s="2"/>
      <c r="F19" s="17" t="s">
        <v>30</v>
      </c>
      <c r="G19" s="14">
        <f t="shared" ref="G19:AB19" si="14">($A19/G$5)/365</f>
        <v>498.63013698630135</v>
      </c>
      <c r="H19" s="14">
        <f t="shared" si="14"/>
        <v>1121.9178082191781</v>
      </c>
      <c r="I19" s="14">
        <f t="shared" si="14"/>
        <v>641.09589041095887</v>
      </c>
      <c r="J19" s="14">
        <f t="shared" si="14"/>
        <v>897.53424657534242</v>
      </c>
      <c r="K19" s="14">
        <f t="shared" si="14"/>
        <v>747.94520547945206</v>
      </c>
      <c r="L19" s="14">
        <f t="shared" si="14"/>
        <v>4487.6712328767126</v>
      </c>
      <c r="M19" s="14">
        <f t="shared" si="14"/>
        <v>4487.6712328767126</v>
      </c>
      <c r="N19" s="14">
        <f t="shared" si="14"/>
        <v>4487.6712328767126</v>
      </c>
      <c r="O19" s="15">
        <f t="shared" si="14"/>
        <v>4487.6712328767126</v>
      </c>
      <c r="P19" s="16">
        <f t="shared" si="14"/>
        <v>4487.6712328767126</v>
      </c>
      <c r="Q19" s="16">
        <f t="shared" si="14"/>
        <v>4487.6712328767126</v>
      </c>
      <c r="R19" s="16">
        <f t="shared" si="14"/>
        <v>4487.6712328767126</v>
      </c>
      <c r="S19" s="16">
        <f t="shared" si="14"/>
        <v>4487.6712328767126</v>
      </c>
      <c r="T19" s="16">
        <f t="shared" si="14"/>
        <v>4487.6712328767126</v>
      </c>
      <c r="U19" s="16">
        <f t="shared" si="14"/>
        <v>4487.6712328767126</v>
      </c>
      <c r="V19" s="16">
        <f t="shared" si="14"/>
        <v>4487.6712328767126</v>
      </c>
      <c r="W19" s="16">
        <f t="shared" si="14"/>
        <v>4487.6712328767126</v>
      </c>
      <c r="X19" s="16">
        <f t="shared" si="14"/>
        <v>4487.6712328767126</v>
      </c>
      <c r="Y19" s="16">
        <f t="shared" si="14"/>
        <v>4487.6712328767126</v>
      </c>
      <c r="Z19" s="16">
        <f t="shared" si="14"/>
        <v>4487.6712328767126</v>
      </c>
      <c r="AA19" s="16">
        <f t="shared" si="14"/>
        <v>4487.6712328767126</v>
      </c>
      <c r="AB19" s="16">
        <f t="shared" si="14"/>
        <v>4487.6712328767126</v>
      </c>
    </row>
    <row r="20" spans="1:28" ht="15.75" customHeight="1" x14ac:dyDescent="0.3">
      <c r="A20" s="12">
        <f>RAW!$A$18</f>
        <v>3276400</v>
      </c>
      <c r="B20" s="2"/>
      <c r="C20" s="17" t="s">
        <v>31</v>
      </c>
      <c r="D20" s="14">
        <f t="shared" si="2"/>
        <v>8976.4383561643845</v>
      </c>
      <c r="E20" s="2"/>
      <c r="F20" s="17" t="s">
        <v>31</v>
      </c>
      <c r="G20" s="14">
        <f t="shared" ref="G20:AB20" si="15">($A20/G$5)/365</f>
        <v>997.38203957382041</v>
      </c>
      <c r="H20" s="14">
        <f t="shared" si="15"/>
        <v>2244.1095890410961</v>
      </c>
      <c r="I20" s="14">
        <f t="shared" si="15"/>
        <v>1282.3483365949119</v>
      </c>
      <c r="J20" s="14">
        <f t="shared" si="15"/>
        <v>1795.2876712328766</v>
      </c>
      <c r="K20" s="14">
        <f t="shared" si="15"/>
        <v>1496.0730593607304</v>
      </c>
      <c r="L20" s="14">
        <f t="shared" si="15"/>
        <v>8976.4383561643845</v>
      </c>
      <c r="M20" s="14">
        <f t="shared" si="15"/>
        <v>8976.4383561643845</v>
      </c>
      <c r="N20" s="14">
        <f t="shared" si="15"/>
        <v>8976.4383561643845</v>
      </c>
      <c r="O20" s="15">
        <f t="shared" si="15"/>
        <v>8976.4383561643845</v>
      </c>
      <c r="P20" s="16">
        <f t="shared" si="15"/>
        <v>8976.4383561643845</v>
      </c>
      <c r="Q20" s="16">
        <f t="shared" si="15"/>
        <v>8976.4383561643845</v>
      </c>
      <c r="R20" s="16">
        <f t="shared" si="15"/>
        <v>8976.4383561643845</v>
      </c>
      <c r="S20" s="16">
        <f t="shared" si="15"/>
        <v>8976.4383561643845</v>
      </c>
      <c r="T20" s="16">
        <f t="shared" si="15"/>
        <v>8976.4383561643845</v>
      </c>
      <c r="U20" s="16">
        <f t="shared" si="15"/>
        <v>8976.4383561643845</v>
      </c>
      <c r="V20" s="16">
        <f t="shared" si="15"/>
        <v>8976.4383561643845</v>
      </c>
      <c r="W20" s="16">
        <f t="shared" si="15"/>
        <v>8976.4383561643845</v>
      </c>
      <c r="X20" s="16">
        <f t="shared" si="15"/>
        <v>8976.4383561643845</v>
      </c>
      <c r="Y20" s="16">
        <f t="shared" si="15"/>
        <v>8976.4383561643845</v>
      </c>
      <c r="Z20" s="16">
        <f t="shared" si="15"/>
        <v>8976.4383561643845</v>
      </c>
      <c r="AA20" s="16">
        <f t="shared" si="15"/>
        <v>8976.4383561643845</v>
      </c>
      <c r="AB20" s="16">
        <f t="shared" si="15"/>
        <v>8976.4383561643845</v>
      </c>
    </row>
    <row r="21" spans="1:28" ht="15.75" customHeight="1" x14ac:dyDescent="0.3">
      <c r="A21" s="12">
        <f>RAW!$A$19</f>
        <v>6553200</v>
      </c>
      <c r="B21" s="2"/>
      <c r="C21" s="17" t="s">
        <v>32</v>
      </c>
      <c r="D21" s="14">
        <f t="shared" si="2"/>
        <v>17953.972602739726</v>
      </c>
      <c r="E21" s="2"/>
      <c r="F21" s="17" t="s">
        <v>32</v>
      </c>
      <c r="G21" s="14">
        <f t="shared" ref="G21:AB21" si="16">($A21/G$5)/365</f>
        <v>1994.8858447488585</v>
      </c>
      <c r="H21" s="14">
        <f t="shared" si="16"/>
        <v>4488.4931506849316</v>
      </c>
      <c r="I21" s="14">
        <f t="shared" si="16"/>
        <v>2564.8532289628179</v>
      </c>
      <c r="J21" s="14">
        <f t="shared" si="16"/>
        <v>3590.794520547945</v>
      </c>
      <c r="K21" s="14">
        <f t="shared" si="16"/>
        <v>2992.3287671232879</v>
      </c>
      <c r="L21" s="14">
        <f t="shared" si="16"/>
        <v>17953.972602739726</v>
      </c>
      <c r="M21" s="14">
        <f t="shared" si="16"/>
        <v>17953.972602739726</v>
      </c>
      <c r="N21" s="14">
        <f t="shared" si="16"/>
        <v>17953.972602739726</v>
      </c>
      <c r="O21" s="15">
        <f t="shared" si="16"/>
        <v>17953.972602739726</v>
      </c>
      <c r="P21" s="16">
        <f t="shared" si="16"/>
        <v>17953.972602739726</v>
      </c>
      <c r="Q21" s="16">
        <f t="shared" si="16"/>
        <v>17953.972602739726</v>
      </c>
      <c r="R21" s="16">
        <f t="shared" si="16"/>
        <v>17953.972602739726</v>
      </c>
      <c r="S21" s="16">
        <f t="shared" si="16"/>
        <v>17953.972602739726</v>
      </c>
      <c r="T21" s="16">
        <f t="shared" si="16"/>
        <v>17953.972602739726</v>
      </c>
      <c r="U21" s="16">
        <f t="shared" si="16"/>
        <v>17953.972602739726</v>
      </c>
      <c r="V21" s="16">
        <f t="shared" si="16"/>
        <v>17953.972602739726</v>
      </c>
      <c r="W21" s="16">
        <f t="shared" si="16"/>
        <v>17953.972602739726</v>
      </c>
      <c r="X21" s="16">
        <f t="shared" si="16"/>
        <v>17953.972602739726</v>
      </c>
      <c r="Y21" s="16">
        <f t="shared" si="16"/>
        <v>17953.972602739726</v>
      </c>
      <c r="Z21" s="16">
        <f t="shared" si="16"/>
        <v>17953.972602739726</v>
      </c>
      <c r="AA21" s="16">
        <f t="shared" si="16"/>
        <v>17953.972602739726</v>
      </c>
      <c r="AB21" s="16">
        <f t="shared" si="16"/>
        <v>17953.972602739726</v>
      </c>
    </row>
    <row r="22" spans="1:28" ht="15.75" customHeight="1" x14ac:dyDescent="0.3">
      <c r="A22" s="12">
        <f>RAW!$A$20</f>
        <v>13106800</v>
      </c>
      <c r="B22" s="2"/>
      <c r="C22" s="17" t="s">
        <v>33</v>
      </c>
      <c r="D22" s="14">
        <f t="shared" si="2"/>
        <v>35909.04109589041</v>
      </c>
      <c r="E22" s="2"/>
      <c r="F22" s="17" t="s">
        <v>33</v>
      </c>
      <c r="G22" s="14">
        <f t="shared" ref="G22:AB22" si="17">($A22/G$5)/365</f>
        <v>3989.8934550989343</v>
      </c>
      <c r="H22" s="14">
        <f t="shared" si="17"/>
        <v>8977.2602739726026</v>
      </c>
      <c r="I22" s="14">
        <f t="shared" si="17"/>
        <v>5129.8630136986303</v>
      </c>
      <c r="J22" s="14">
        <f t="shared" si="17"/>
        <v>7181.8082191780823</v>
      </c>
      <c r="K22" s="14">
        <f t="shared" si="17"/>
        <v>5984.8401826484014</v>
      </c>
      <c r="L22" s="14">
        <f t="shared" si="17"/>
        <v>35909.04109589041</v>
      </c>
      <c r="M22" s="14">
        <f t="shared" si="17"/>
        <v>35909.04109589041</v>
      </c>
      <c r="N22" s="14">
        <f t="shared" si="17"/>
        <v>35909.04109589041</v>
      </c>
      <c r="O22" s="15">
        <f t="shared" si="17"/>
        <v>35909.04109589041</v>
      </c>
      <c r="P22" s="16">
        <f t="shared" si="17"/>
        <v>35909.04109589041</v>
      </c>
      <c r="Q22" s="16">
        <f t="shared" si="17"/>
        <v>35909.04109589041</v>
      </c>
      <c r="R22" s="16">
        <f t="shared" si="17"/>
        <v>35909.04109589041</v>
      </c>
      <c r="S22" s="16">
        <f t="shared" si="17"/>
        <v>35909.04109589041</v>
      </c>
      <c r="T22" s="16">
        <f t="shared" si="17"/>
        <v>35909.04109589041</v>
      </c>
      <c r="U22" s="16">
        <f t="shared" si="17"/>
        <v>35909.04109589041</v>
      </c>
      <c r="V22" s="16">
        <f t="shared" si="17"/>
        <v>35909.04109589041</v>
      </c>
      <c r="W22" s="16">
        <f t="shared" si="17"/>
        <v>35909.04109589041</v>
      </c>
      <c r="X22" s="16">
        <f t="shared" si="17"/>
        <v>35909.04109589041</v>
      </c>
      <c r="Y22" s="16">
        <f t="shared" si="17"/>
        <v>35909.04109589041</v>
      </c>
      <c r="Z22" s="16">
        <f t="shared" si="17"/>
        <v>35909.04109589041</v>
      </c>
      <c r="AA22" s="16">
        <f t="shared" si="17"/>
        <v>35909.04109589041</v>
      </c>
      <c r="AB22" s="16">
        <f t="shared" si="17"/>
        <v>35909.04109589041</v>
      </c>
    </row>
    <row r="23" spans="1:28" ht="15.75" customHeight="1" x14ac:dyDescent="0.3">
      <c r="A23" s="12">
        <f>RAW!$A$21</f>
        <v>26214000</v>
      </c>
      <c r="B23" s="2"/>
      <c r="C23" s="17" t="s">
        <v>34</v>
      </c>
      <c r="D23" s="14">
        <f t="shared" si="2"/>
        <v>71819.178082191778</v>
      </c>
      <c r="E23" s="2"/>
      <c r="F23" s="17" t="s">
        <v>34</v>
      </c>
      <c r="G23" s="14">
        <f t="shared" ref="G23:AB23" si="18">($A23/G$5)/365</f>
        <v>7979.9086757990863</v>
      </c>
      <c r="H23" s="14">
        <f t="shared" si="18"/>
        <v>17954.794520547945</v>
      </c>
      <c r="I23" s="14">
        <f t="shared" si="18"/>
        <v>10259.882583170254</v>
      </c>
      <c r="J23" s="14">
        <f t="shared" si="18"/>
        <v>14363.835616438357</v>
      </c>
      <c r="K23" s="14">
        <f t="shared" si="18"/>
        <v>11969.86301369863</v>
      </c>
      <c r="L23" s="14">
        <f t="shared" si="18"/>
        <v>71819.178082191778</v>
      </c>
      <c r="M23" s="14">
        <f t="shared" si="18"/>
        <v>71819.178082191778</v>
      </c>
      <c r="N23" s="14">
        <f t="shared" si="18"/>
        <v>71819.178082191778</v>
      </c>
      <c r="O23" s="15">
        <f t="shared" si="18"/>
        <v>71819.178082191778</v>
      </c>
      <c r="P23" s="16">
        <f t="shared" si="18"/>
        <v>71819.178082191778</v>
      </c>
      <c r="Q23" s="16">
        <f t="shared" si="18"/>
        <v>71819.178082191778</v>
      </c>
      <c r="R23" s="16">
        <f t="shared" si="18"/>
        <v>71819.178082191778</v>
      </c>
      <c r="S23" s="16">
        <f t="shared" si="18"/>
        <v>71819.178082191778</v>
      </c>
      <c r="T23" s="16">
        <f t="shared" si="18"/>
        <v>71819.178082191778</v>
      </c>
      <c r="U23" s="16">
        <f t="shared" si="18"/>
        <v>71819.178082191778</v>
      </c>
      <c r="V23" s="16">
        <f t="shared" si="18"/>
        <v>71819.178082191778</v>
      </c>
      <c r="W23" s="16">
        <f t="shared" si="18"/>
        <v>71819.178082191778</v>
      </c>
      <c r="X23" s="16">
        <f t="shared" si="18"/>
        <v>71819.178082191778</v>
      </c>
      <c r="Y23" s="16">
        <f t="shared" si="18"/>
        <v>71819.178082191778</v>
      </c>
      <c r="Z23" s="16">
        <f t="shared" si="18"/>
        <v>71819.178082191778</v>
      </c>
      <c r="AA23" s="16">
        <f t="shared" si="18"/>
        <v>71819.178082191778</v>
      </c>
      <c r="AB23" s="16">
        <f t="shared" si="18"/>
        <v>71819.178082191778</v>
      </c>
    </row>
    <row r="24" spans="1:28" ht="15.75" customHeight="1" x14ac:dyDescent="0.3">
      <c r="A24" s="12">
        <f>RAW!$A$22</f>
        <v>52428400</v>
      </c>
      <c r="B24" s="2"/>
      <c r="C24" s="17" t="s">
        <v>35</v>
      </c>
      <c r="D24" s="14">
        <f t="shared" si="2"/>
        <v>143639.45205479453</v>
      </c>
      <c r="E24" s="2"/>
      <c r="F24" s="17" t="s">
        <v>35</v>
      </c>
      <c r="G24" s="14">
        <f t="shared" ref="G24:AB24" si="19">($A24/G$5)/365</f>
        <v>15959.939117199392</v>
      </c>
      <c r="H24" s="14">
        <f t="shared" si="19"/>
        <v>35909.863013698632</v>
      </c>
      <c r="I24" s="14">
        <f t="shared" si="19"/>
        <v>20519.9217221135</v>
      </c>
      <c r="J24" s="14">
        <f t="shared" si="19"/>
        <v>28727.890410958906</v>
      </c>
      <c r="K24" s="14">
        <f t="shared" si="19"/>
        <v>23939.908675799084</v>
      </c>
      <c r="L24" s="14">
        <f t="shared" si="19"/>
        <v>143639.45205479453</v>
      </c>
      <c r="M24" s="14">
        <f t="shared" si="19"/>
        <v>143639.45205479453</v>
      </c>
      <c r="N24" s="14">
        <f t="shared" si="19"/>
        <v>143639.45205479453</v>
      </c>
      <c r="O24" s="15">
        <f t="shared" si="19"/>
        <v>143639.45205479453</v>
      </c>
      <c r="P24" s="16">
        <f t="shared" si="19"/>
        <v>143639.45205479453</v>
      </c>
      <c r="Q24" s="16">
        <f t="shared" si="19"/>
        <v>143639.45205479453</v>
      </c>
      <c r="R24" s="16">
        <f t="shared" si="19"/>
        <v>143639.45205479453</v>
      </c>
      <c r="S24" s="16">
        <f t="shared" si="19"/>
        <v>143639.45205479453</v>
      </c>
      <c r="T24" s="16">
        <f t="shared" si="19"/>
        <v>143639.45205479453</v>
      </c>
      <c r="U24" s="16">
        <f t="shared" si="19"/>
        <v>143639.45205479453</v>
      </c>
      <c r="V24" s="16">
        <f t="shared" si="19"/>
        <v>143639.45205479453</v>
      </c>
      <c r="W24" s="16">
        <f t="shared" si="19"/>
        <v>143639.45205479453</v>
      </c>
      <c r="X24" s="16">
        <f t="shared" si="19"/>
        <v>143639.45205479453</v>
      </c>
      <c r="Y24" s="16">
        <f t="shared" si="19"/>
        <v>143639.45205479453</v>
      </c>
      <c r="Z24" s="16">
        <f t="shared" si="19"/>
        <v>143639.45205479453</v>
      </c>
      <c r="AA24" s="16">
        <f t="shared" si="19"/>
        <v>143639.45205479453</v>
      </c>
      <c r="AB24" s="16">
        <f t="shared" si="19"/>
        <v>143639.45205479453</v>
      </c>
    </row>
    <row r="25" spans="1:28" ht="15.75" customHeight="1" x14ac:dyDescent="0.3">
      <c r="A25" s="3"/>
      <c r="B25" s="2"/>
      <c r="C25" s="29"/>
      <c r="D25" s="30"/>
      <c r="E25" s="2"/>
      <c r="F25" s="3"/>
      <c r="G25" s="31" t="s">
        <v>36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28" ht="15.75" customHeight="1" x14ac:dyDescent="0.3">
      <c r="A26" s="19" t="s">
        <v>37</v>
      </c>
      <c r="B26" s="2"/>
      <c r="C26" s="10" t="s">
        <v>9</v>
      </c>
      <c r="D26" s="10" t="s">
        <v>10</v>
      </c>
      <c r="E26" s="2"/>
      <c r="F26" s="20" t="s">
        <v>9</v>
      </c>
      <c r="G26" s="11" t="str">
        <f t="shared" ref="G26:AB26" si="20">G7</f>
        <v>Arukia</v>
      </c>
      <c r="H26" s="11" t="str">
        <f t="shared" si="20"/>
        <v>Emelia</v>
      </c>
      <c r="I26" s="11" t="str">
        <f t="shared" si="20"/>
        <v>Nailah</v>
      </c>
      <c r="J26" s="11" t="str">
        <f t="shared" si="20"/>
        <v>Severino</v>
      </c>
      <c r="K26" s="11" t="str">
        <f t="shared" si="20"/>
        <v>Vitor</v>
      </c>
      <c r="L26" s="11">
        <f t="shared" si="20"/>
        <v>0</v>
      </c>
      <c r="M26" s="11">
        <f t="shared" si="20"/>
        <v>0</v>
      </c>
      <c r="N26" s="11">
        <f t="shared" si="20"/>
        <v>0</v>
      </c>
      <c r="O26" s="11">
        <f t="shared" si="20"/>
        <v>0</v>
      </c>
      <c r="P26" s="11">
        <f t="shared" si="20"/>
        <v>0</v>
      </c>
      <c r="Q26" s="11">
        <f t="shared" si="20"/>
        <v>0</v>
      </c>
      <c r="R26" s="11">
        <f t="shared" si="20"/>
        <v>0</v>
      </c>
      <c r="S26" s="11">
        <f t="shared" si="20"/>
        <v>0</v>
      </c>
      <c r="T26" s="11">
        <f t="shared" si="20"/>
        <v>0</v>
      </c>
      <c r="U26" s="11">
        <f t="shared" si="20"/>
        <v>0</v>
      </c>
      <c r="V26" s="11">
        <f t="shared" si="20"/>
        <v>0</v>
      </c>
      <c r="W26" s="11">
        <f t="shared" si="20"/>
        <v>0</v>
      </c>
      <c r="X26" s="11">
        <f t="shared" si="20"/>
        <v>0</v>
      </c>
      <c r="Y26" s="11">
        <f t="shared" si="20"/>
        <v>0</v>
      </c>
      <c r="Z26" s="11">
        <f t="shared" si="20"/>
        <v>0</v>
      </c>
      <c r="AA26" s="11">
        <f t="shared" si="20"/>
        <v>0</v>
      </c>
      <c r="AB26" s="11">
        <f t="shared" si="20"/>
        <v>0</v>
      </c>
    </row>
    <row r="27" spans="1:28" ht="15.75" customHeight="1" x14ac:dyDescent="0.3">
      <c r="A27" s="12">
        <f>RAW!$A$6</f>
        <v>400</v>
      </c>
      <c r="B27" s="2"/>
      <c r="C27" s="21" t="s">
        <v>19</v>
      </c>
      <c r="D27" s="22">
        <f t="shared" ref="D27:D43" si="21">$A27/D$5</f>
        <v>400</v>
      </c>
      <c r="E27" s="2"/>
      <c r="F27" s="21" t="s">
        <v>19</v>
      </c>
      <c r="G27" s="23">
        <f t="shared" ref="G27:AB27" si="22">$A27/G$5</f>
        <v>44.444444444444443</v>
      </c>
      <c r="H27" s="23">
        <f t="shared" si="22"/>
        <v>100</v>
      </c>
      <c r="I27" s="23">
        <f t="shared" si="22"/>
        <v>57.142857142857146</v>
      </c>
      <c r="J27" s="23">
        <f t="shared" si="22"/>
        <v>80</v>
      </c>
      <c r="K27" s="23">
        <f t="shared" si="22"/>
        <v>66.666666666666671</v>
      </c>
      <c r="L27" s="23">
        <f t="shared" si="22"/>
        <v>400</v>
      </c>
      <c r="M27" s="23">
        <f t="shared" si="22"/>
        <v>400</v>
      </c>
      <c r="N27" s="23">
        <f t="shared" si="22"/>
        <v>400</v>
      </c>
      <c r="O27" s="23">
        <f t="shared" si="22"/>
        <v>400</v>
      </c>
      <c r="P27" s="23">
        <f t="shared" si="22"/>
        <v>400</v>
      </c>
      <c r="Q27" s="23">
        <f t="shared" si="22"/>
        <v>400</v>
      </c>
      <c r="R27" s="23">
        <f t="shared" si="22"/>
        <v>400</v>
      </c>
      <c r="S27" s="23">
        <f t="shared" si="22"/>
        <v>400</v>
      </c>
      <c r="T27" s="23">
        <f t="shared" si="22"/>
        <v>400</v>
      </c>
      <c r="U27" s="23">
        <f t="shared" si="22"/>
        <v>400</v>
      </c>
      <c r="V27" s="23">
        <f t="shared" si="22"/>
        <v>400</v>
      </c>
      <c r="W27" s="23">
        <f t="shared" si="22"/>
        <v>400</v>
      </c>
      <c r="X27" s="23">
        <f t="shared" si="22"/>
        <v>400</v>
      </c>
      <c r="Y27" s="23">
        <f t="shared" si="22"/>
        <v>400</v>
      </c>
      <c r="Z27" s="23">
        <f t="shared" si="22"/>
        <v>400</v>
      </c>
      <c r="AA27" s="23">
        <f t="shared" si="22"/>
        <v>400</v>
      </c>
      <c r="AB27" s="23">
        <f t="shared" si="22"/>
        <v>400</v>
      </c>
    </row>
    <row r="28" spans="1:28" ht="15.75" customHeight="1" x14ac:dyDescent="0.3">
      <c r="A28" s="12">
        <f>RAW!$A$7</f>
        <v>1200</v>
      </c>
      <c r="B28" s="2"/>
      <c r="C28" s="24" t="s">
        <v>20</v>
      </c>
      <c r="D28" s="23">
        <f t="shared" si="21"/>
        <v>1200</v>
      </c>
      <c r="E28" s="2"/>
      <c r="F28" s="24" t="s">
        <v>20</v>
      </c>
      <c r="G28" s="23">
        <f t="shared" ref="G28:AB28" si="23">$A28/G$5</f>
        <v>133.33333333333334</v>
      </c>
      <c r="H28" s="23">
        <f t="shared" si="23"/>
        <v>300</v>
      </c>
      <c r="I28" s="23">
        <f t="shared" si="23"/>
        <v>171.42857142857142</v>
      </c>
      <c r="J28" s="23">
        <f t="shared" si="23"/>
        <v>240</v>
      </c>
      <c r="K28" s="23">
        <f t="shared" si="23"/>
        <v>200</v>
      </c>
      <c r="L28" s="23">
        <f t="shared" si="23"/>
        <v>1200</v>
      </c>
      <c r="M28" s="23">
        <f t="shared" si="23"/>
        <v>1200</v>
      </c>
      <c r="N28" s="23">
        <f t="shared" si="23"/>
        <v>1200</v>
      </c>
      <c r="O28" s="23">
        <f t="shared" si="23"/>
        <v>1200</v>
      </c>
      <c r="P28" s="23">
        <f t="shared" si="23"/>
        <v>1200</v>
      </c>
      <c r="Q28" s="23">
        <f t="shared" si="23"/>
        <v>1200</v>
      </c>
      <c r="R28" s="23">
        <f t="shared" si="23"/>
        <v>1200</v>
      </c>
      <c r="S28" s="23">
        <f t="shared" si="23"/>
        <v>1200</v>
      </c>
      <c r="T28" s="23">
        <f t="shared" si="23"/>
        <v>1200</v>
      </c>
      <c r="U28" s="23">
        <f t="shared" si="23"/>
        <v>1200</v>
      </c>
      <c r="V28" s="23">
        <f t="shared" si="23"/>
        <v>1200</v>
      </c>
      <c r="W28" s="23">
        <f t="shared" si="23"/>
        <v>1200</v>
      </c>
      <c r="X28" s="23">
        <f t="shared" si="23"/>
        <v>1200</v>
      </c>
      <c r="Y28" s="23">
        <f t="shared" si="23"/>
        <v>1200</v>
      </c>
      <c r="Z28" s="23">
        <f t="shared" si="23"/>
        <v>1200</v>
      </c>
      <c r="AA28" s="23">
        <f t="shared" si="23"/>
        <v>1200</v>
      </c>
      <c r="AB28" s="23">
        <f t="shared" si="23"/>
        <v>1200</v>
      </c>
    </row>
    <row r="29" spans="1:28" ht="15.75" customHeight="1" x14ac:dyDescent="0.3">
      <c r="A29" s="12">
        <f>RAW!$A$8</f>
        <v>2800</v>
      </c>
      <c r="B29" s="2"/>
      <c r="C29" s="24" t="s">
        <v>21</v>
      </c>
      <c r="D29" s="23">
        <f t="shared" si="21"/>
        <v>2800</v>
      </c>
      <c r="E29" s="2"/>
      <c r="F29" s="24" t="s">
        <v>21</v>
      </c>
      <c r="G29" s="23">
        <f t="shared" ref="G29:AB29" si="24">$A29/G$5</f>
        <v>311.11111111111109</v>
      </c>
      <c r="H29" s="23">
        <f t="shared" si="24"/>
        <v>700</v>
      </c>
      <c r="I29" s="23">
        <f t="shared" si="24"/>
        <v>400</v>
      </c>
      <c r="J29" s="23">
        <f t="shared" si="24"/>
        <v>560</v>
      </c>
      <c r="K29" s="23">
        <f t="shared" si="24"/>
        <v>466.66666666666669</v>
      </c>
      <c r="L29" s="23">
        <f t="shared" si="24"/>
        <v>2800</v>
      </c>
      <c r="M29" s="23">
        <f t="shared" si="24"/>
        <v>2800</v>
      </c>
      <c r="N29" s="23">
        <f t="shared" si="24"/>
        <v>2800</v>
      </c>
      <c r="O29" s="23">
        <f t="shared" si="24"/>
        <v>2800</v>
      </c>
      <c r="P29" s="23">
        <f t="shared" si="24"/>
        <v>2800</v>
      </c>
      <c r="Q29" s="23">
        <f t="shared" si="24"/>
        <v>2800</v>
      </c>
      <c r="R29" s="23">
        <f t="shared" si="24"/>
        <v>2800</v>
      </c>
      <c r="S29" s="23">
        <f t="shared" si="24"/>
        <v>2800</v>
      </c>
      <c r="T29" s="23">
        <f t="shared" si="24"/>
        <v>2800</v>
      </c>
      <c r="U29" s="23">
        <f t="shared" si="24"/>
        <v>2800</v>
      </c>
      <c r="V29" s="23">
        <f t="shared" si="24"/>
        <v>2800</v>
      </c>
      <c r="W29" s="23">
        <f t="shared" si="24"/>
        <v>2800</v>
      </c>
      <c r="X29" s="23">
        <f t="shared" si="24"/>
        <v>2800</v>
      </c>
      <c r="Y29" s="23">
        <f t="shared" si="24"/>
        <v>2800</v>
      </c>
      <c r="Z29" s="23">
        <f t="shared" si="24"/>
        <v>2800</v>
      </c>
      <c r="AA29" s="23">
        <f t="shared" si="24"/>
        <v>2800</v>
      </c>
      <c r="AB29" s="23">
        <f t="shared" si="24"/>
        <v>2800</v>
      </c>
    </row>
    <row r="30" spans="1:28" ht="15.75" customHeight="1" x14ac:dyDescent="0.3">
      <c r="A30" s="12">
        <f>RAW!$A$9</f>
        <v>6000</v>
      </c>
      <c r="B30" s="2"/>
      <c r="C30" s="24" t="s">
        <v>22</v>
      </c>
      <c r="D30" s="23">
        <f t="shared" si="21"/>
        <v>6000</v>
      </c>
      <c r="E30" s="2"/>
      <c r="F30" s="24" t="s">
        <v>22</v>
      </c>
      <c r="G30" s="23">
        <f t="shared" ref="G30:AB30" si="25">$A30/G$5</f>
        <v>666.66666666666663</v>
      </c>
      <c r="H30" s="23">
        <f t="shared" si="25"/>
        <v>1500</v>
      </c>
      <c r="I30" s="23">
        <f t="shared" si="25"/>
        <v>857.14285714285711</v>
      </c>
      <c r="J30" s="23">
        <f t="shared" si="25"/>
        <v>1200</v>
      </c>
      <c r="K30" s="23">
        <f t="shared" si="25"/>
        <v>1000</v>
      </c>
      <c r="L30" s="23">
        <f t="shared" si="25"/>
        <v>6000</v>
      </c>
      <c r="M30" s="23">
        <f t="shared" si="25"/>
        <v>6000</v>
      </c>
      <c r="N30" s="23">
        <f t="shared" si="25"/>
        <v>6000</v>
      </c>
      <c r="O30" s="23">
        <f t="shared" si="25"/>
        <v>6000</v>
      </c>
      <c r="P30" s="23">
        <f t="shared" si="25"/>
        <v>6000</v>
      </c>
      <c r="Q30" s="23">
        <f t="shared" si="25"/>
        <v>6000</v>
      </c>
      <c r="R30" s="23">
        <f t="shared" si="25"/>
        <v>6000</v>
      </c>
      <c r="S30" s="23">
        <f t="shared" si="25"/>
        <v>6000</v>
      </c>
      <c r="T30" s="23">
        <f t="shared" si="25"/>
        <v>6000</v>
      </c>
      <c r="U30" s="23">
        <f t="shared" si="25"/>
        <v>6000</v>
      </c>
      <c r="V30" s="23">
        <f t="shared" si="25"/>
        <v>6000</v>
      </c>
      <c r="W30" s="23">
        <f t="shared" si="25"/>
        <v>6000</v>
      </c>
      <c r="X30" s="23">
        <f t="shared" si="25"/>
        <v>6000</v>
      </c>
      <c r="Y30" s="23">
        <f t="shared" si="25"/>
        <v>6000</v>
      </c>
      <c r="Z30" s="23">
        <f t="shared" si="25"/>
        <v>6000</v>
      </c>
      <c r="AA30" s="23">
        <f t="shared" si="25"/>
        <v>6000</v>
      </c>
      <c r="AB30" s="23">
        <f t="shared" si="25"/>
        <v>6000</v>
      </c>
    </row>
    <row r="31" spans="1:28" ht="15.75" customHeight="1" x14ac:dyDescent="0.3">
      <c r="A31" s="12">
        <f>RAW!$A$10</f>
        <v>12400</v>
      </c>
      <c r="B31" s="2"/>
      <c r="C31" s="24" t="s">
        <v>23</v>
      </c>
      <c r="D31" s="23">
        <f t="shared" si="21"/>
        <v>12400</v>
      </c>
      <c r="E31" s="2"/>
      <c r="F31" s="24" t="s">
        <v>23</v>
      </c>
      <c r="G31" s="23">
        <f t="shared" ref="G31:AB31" si="26">$A31/G$5</f>
        <v>1377.7777777777778</v>
      </c>
      <c r="H31" s="23">
        <f t="shared" si="26"/>
        <v>3100</v>
      </c>
      <c r="I31" s="23">
        <f t="shared" si="26"/>
        <v>1771.4285714285713</v>
      </c>
      <c r="J31" s="23">
        <f t="shared" si="26"/>
        <v>2480</v>
      </c>
      <c r="K31" s="23">
        <f t="shared" si="26"/>
        <v>2066.6666666666665</v>
      </c>
      <c r="L31" s="23">
        <f t="shared" si="26"/>
        <v>12400</v>
      </c>
      <c r="M31" s="23">
        <f t="shared" si="26"/>
        <v>12400</v>
      </c>
      <c r="N31" s="23">
        <f t="shared" si="26"/>
        <v>12400</v>
      </c>
      <c r="O31" s="23">
        <f t="shared" si="26"/>
        <v>12400</v>
      </c>
      <c r="P31" s="23">
        <f t="shared" si="26"/>
        <v>12400</v>
      </c>
      <c r="Q31" s="23">
        <f t="shared" si="26"/>
        <v>12400</v>
      </c>
      <c r="R31" s="23">
        <f t="shared" si="26"/>
        <v>12400</v>
      </c>
      <c r="S31" s="23">
        <f t="shared" si="26"/>
        <v>12400</v>
      </c>
      <c r="T31" s="23">
        <f t="shared" si="26"/>
        <v>12400</v>
      </c>
      <c r="U31" s="23">
        <f t="shared" si="26"/>
        <v>12400</v>
      </c>
      <c r="V31" s="23">
        <f t="shared" si="26"/>
        <v>12400</v>
      </c>
      <c r="W31" s="23">
        <f t="shared" si="26"/>
        <v>12400</v>
      </c>
      <c r="X31" s="23">
        <f t="shared" si="26"/>
        <v>12400</v>
      </c>
      <c r="Y31" s="23">
        <f t="shared" si="26"/>
        <v>12400</v>
      </c>
      <c r="Z31" s="23">
        <f t="shared" si="26"/>
        <v>12400</v>
      </c>
      <c r="AA31" s="23">
        <f t="shared" si="26"/>
        <v>12400</v>
      </c>
      <c r="AB31" s="23">
        <f t="shared" si="26"/>
        <v>12400</v>
      </c>
    </row>
    <row r="32" spans="1:28" ht="15.75" customHeight="1" x14ac:dyDescent="0.3">
      <c r="A32" s="12">
        <f>RAW!$A$11</f>
        <v>25200</v>
      </c>
      <c r="B32" s="2"/>
      <c r="C32" s="24" t="s">
        <v>24</v>
      </c>
      <c r="D32" s="23">
        <f t="shared" si="21"/>
        <v>25200</v>
      </c>
      <c r="E32" s="2"/>
      <c r="F32" s="24" t="s">
        <v>24</v>
      </c>
      <c r="G32" s="23">
        <f t="shared" ref="G32:AB32" si="27">$A32/G$5</f>
        <v>2800</v>
      </c>
      <c r="H32" s="23">
        <f t="shared" si="27"/>
        <v>6300</v>
      </c>
      <c r="I32" s="23">
        <f t="shared" si="27"/>
        <v>3600</v>
      </c>
      <c r="J32" s="23">
        <f t="shared" si="27"/>
        <v>5040</v>
      </c>
      <c r="K32" s="23">
        <f t="shared" si="27"/>
        <v>4200</v>
      </c>
      <c r="L32" s="23">
        <f t="shared" si="27"/>
        <v>25200</v>
      </c>
      <c r="M32" s="23">
        <f t="shared" si="27"/>
        <v>25200</v>
      </c>
      <c r="N32" s="23">
        <f t="shared" si="27"/>
        <v>25200</v>
      </c>
      <c r="O32" s="23">
        <f t="shared" si="27"/>
        <v>25200</v>
      </c>
      <c r="P32" s="23">
        <f t="shared" si="27"/>
        <v>25200</v>
      </c>
      <c r="Q32" s="23">
        <f t="shared" si="27"/>
        <v>25200</v>
      </c>
      <c r="R32" s="23">
        <f t="shared" si="27"/>
        <v>25200</v>
      </c>
      <c r="S32" s="23">
        <f t="shared" si="27"/>
        <v>25200</v>
      </c>
      <c r="T32" s="23">
        <f t="shared" si="27"/>
        <v>25200</v>
      </c>
      <c r="U32" s="23">
        <f t="shared" si="27"/>
        <v>25200</v>
      </c>
      <c r="V32" s="23">
        <f t="shared" si="27"/>
        <v>25200</v>
      </c>
      <c r="W32" s="23">
        <f t="shared" si="27"/>
        <v>25200</v>
      </c>
      <c r="X32" s="23">
        <f t="shared" si="27"/>
        <v>25200</v>
      </c>
      <c r="Y32" s="23">
        <f t="shared" si="27"/>
        <v>25200</v>
      </c>
      <c r="Z32" s="23">
        <f t="shared" si="27"/>
        <v>25200</v>
      </c>
      <c r="AA32" s="23">
        <f t="shared" si="27"/>
        <v>25200</v>
      </c>
      <c r="AB32" s="23">
        <f t="shared" si="27"/>
        <v>25200</v>
      </c>
    </row>
    <row r="33" spans="1:28" ht="15.75" customHeight="1" x14ac:dyDescent="0.3">
      <c r="A33" s="12">
        <f>RAW!$A$12</f>
        <v>50800</v>
      </c>
      <c r="B33" s="2"/>
      <c r="C33" s="24" t="s">
        <v>25</v>
      </c>
      <c r="D33" s="23">
        <f t="shared" si="21"/>
        <v>50800</v>
      </c>
      <c r="E33" s="2"/>
      <c r="F33" s="24" t="s">
        <v>25</v>
      </c>
      <c r="G33" s="23">
        <f t="shared" ref="G33:AB33" si="28">$A33/G$5</f>
        <v>5644.4444444444443</v>
      </c>
      <c r="H33" s="23">
        <f t="shared" si="28"/>
        <v>12700</v>
      </c>
      <c r="I33" s="23">
        <f t="shared" si="28"/>
        <v>7257.1428571428569</v>
      </c>
      <c r="J33" s="23">
        <f t="shared" si="28"/>
        <v>10160</v>
      </c>
      <c r="K33" s="23">
        <f t="shared" si="28"/>
        <v>8466.6666666666661</v>
      </c>
      <c r="L33" s="23">
        <f t="shared" si="28"/>
        <v>50800</v>
      </c>
      <c r="M33" s="23">
        <f t="shared" si="28"/>
        <v>50800</v>
      </c>
      <c r="N33" s="23">
        <f t="shared" si="28"/>
        <v>50800</v>
      </c>
      <c r="O33" s="23">
        <f t="shared" si="28"/>
        <v>50800</v>
      </c>
      <c r="P33" s="23">
        <f t="shared" si="28"/>
        <v>50800</v>
      </c>
      <c r="Q33" s="23">
        <f t="shared" si="28"/>
        <v>50800</v>
      </c>
      <c r="R33" s="23">
        <f t="shared" si="28"/>
        <v>50800</v>
      </c>
      <c r="S33" s="23">
        <f t="shared" si="28"/>
        <v>50800</v>
      </c>
      <c r="T33" s="23">
        <f t="shared" si="28"/>
        <v>50800</v>
      </c>
      <c r="U33" s="23">
        <f t="shared" si="28"/>
        <v>50800</v>
      </c>
      <c r="V33" s="23">
        <f t="shared" si="28"/>
        <v>50800</v>
      </c>
      <c r="W33" s="23">
        <f t="shared" si="28"/>
        <v>50800</v>
      </c>
      <c r="X33" s="23">
        <f t="shared" si="28"/>
        <v>50800</v>
      </c>
      <c r="Y33" s="23">
        <f t="shared" si="28"/>
        <v>50800</v>
      </c>
      <c r="Z33" s="23">
        <f t="shared" si="28"/>
        <v>50800</v>
      </c>
      <c r="AA33" s="23">
        <f t="shared" si="28"/>
        <v>50800</v>
      </c>
      <c r="AB33" s="23">
        <f t="shared" si="28"/>
        <v>50800</v>
      </c>
    </row>
    <row r="34" spans="1:28" ht="15.75" customHeight="1" x14ac:dyDescent="0.3">
      <c r="A34" s="12">
        <f>RAW!$A$13</f>
        <v>102000</v>
      </c>
      <c r="B34" s="2"/>
      <c r="C34" s="24" t="s">
        <v>26</v>
      </c>
      <c r="D34" s="23">
        <f t="shared" si="21"/>
        <v>102000</v>
      </c>
      <c r="E34" s="2"/>
      <c r="F34" s="24" t="s">
        <v>26</v>
      </c>
      <c r="G34" s="23">
        <f t="shared" ref="G34:AB34" si="29">$A34/G$5</f>
        <v>11333.333333333334</v>
      </c>
      <c r="H34" s="23">
        <f t="shared" si="29"/>
        <v>25500</v>
      </c>
      <c r="I34" s="23">
        <f t="shared" si="29"/>
        <v>14571.428571428571</v>
      </c>
      <c r="J34" s="23">
        <f t="shared" si="29"/>
        <v>20400</v>
      </c>
      <c r="K34" s="23">
        <f t="shared" si="29"/>
        <v>17000</v>
      </c>
      <c r="L34" s="23">
        <f t="shared" si="29"/>
        <v>102000</v>
      </c>
      <c r="M34" s="23">
        <f t="shared" si="29"/>
        <v>102000</v>
      </c>
      <c r="N34" s="23">
        <f t="shared" si="29"/>
        <v>102000</v>
      </c>
      <c r="O34" s="23">
        <f t="shared" si="29"/>
        <v>102000</v>
      </c>
      <c r="P34" s="23">
        <f t="shared" si="29"/>
        <v>102000</v>
      </c>
      <c r="Q34" s="23">
        <f t="shared" si="29"/>
        <v>102000</v>
      </c>
      <c r="R34" s="23">
        <f t="shared" si="29"/>
        <v>102000</v>
      </c>
      <c r="S34" s="23">
        <f t="shared" si="29"/>
        <v>102000</v>
      </c>
      <c r="T34" s="23">
        <f t="shared" si="29"/>
        <v>102000</v>
      </c>
      <c r="U34" s="23">
        <f t="shared" si="29"/>
        <v>102000</v>
      </c>
      <c r="V34" s="23">
        <f t="shared" si="29"/>
        <v>102000</v>
      </c>
      <c r="W34" s="23">
        <f t="shared" si="29"/>
        <v>102000</v>
      </c>
      <c r="X34" s="23">
        <f t="shared" si="29"/>
        <v>102000</v>
      </c>
      <c r="Y34" s="23">
        <f t="shared" si="29"/>
        <v>102000</v>
      </c>
      <c r="Z34" s="23">
        <f t="shared" si="29"/>
        <v>102000</v>
      </c>
      <c r="AA34" s="23">
        <f t="shared" si="29"/>
        <v>102000</v>
      </c>
      <c r="AB34" s="23">
        <f t="shared" si="29"/>
        <v>102000</v>
      </c>
    </row>
    <row r="35" spans="1:28" ht="15.75" customHeight="1" x14ac:dyDescent="0.3">
      <c r="A35" s="12">
        <f>RAW!$A$14</f>
        <v>204400</v>
      </c>
      <c r="B35" s="2"/>
      <c r="C35" s="24" t="s">
        <v>27</v>
      </c>
      <c r="D35" s="23">
        <f t="shared" si="21"/>
        <v>204400</v>
      </c>
      <c r="E35" s="2"/>
      <c r="F35" s="24" t="s">
        <v>27</v>
      </c>
      <c r="G35" s="23">
        <f t="shared" ref="G35:AB35" si="30">$A35/G$5</f>
        <v>22711.111111111109</v>
      </c>
      <c r="H35" s="23">
        <f t="shared" si="30"/>
        <v>51100</v>
      </c>
      <c r="I35" s="23">
        <f t="shared" si="30"/>
        <v>29200</v>
      </c>
      <c r="J35" s="23">
        <f t="shared" si="30"/>
        <v>40880</v>
      </c>
      <c r="K35" s="23">
        <f t="shared" si="30"/>
        <v>34066.666666666664</v>
      </c>
      <c r="L35" s="23">
        <f t="shared" si="30"/>
        <v>204400</v>
      </c>
      <c r="M35" s="23">
        <f t="shared" si="30"/>
        <v>204400</v>
      </c>
      <c r="N35" s="23">
        <f t="shared" si="30"/>
        <v>204400</v>
      </c>
      <c r="O35" s="23">
        <f t="shared" si="30"/>
        <v>204400</v>
      </c>
      <c r="P35" s="23">
        <f t="shared" si="30"/>
        <v>204400</v>
      </c>
      <c r="Q35" s="23">
        <f t="shared" si="30"/>
        <v>204400</v>
      </c>
      <c r="R35" s="23">
        <f t="shared" si="30"/>
        <v>204400</v>
      </c>
      <c r="S35" s="23">
        <f t="shared" si="30"/>
        <v>204400</v>
      </c>
      <c r="T35" s="23">
        <f t="shared" si="30"/>
        <v>204400</v>
      </c>
      <c r="U35" s="23">
        <f t="shared" si="30"/>
        <v>204400</v>
      </c>
      <c r="V35" s="23">
        <f t="shared" si="30"/>
        <v>204400</v>
      </c>
      <c r="W35" s="23">
        <f t="shared" si="30"/>
        <v>204400</v>
      </c>
      <c r="X35" s="23">
        <f t="shared" si="30"/>
        <v>204400</v>
      </c>
      <c r="Y35" s="23">
        <f t="shared" si="30"/>
        <v>204400</v>
      </c>
      <c r="Z35" s="23">
        <f t="shared" si="30"/>
        <v>204400</v>
      </c>
      <c r="AA35" s="23">
        <f t="shared" si="30"/>
        <v>204400</v>
      </c>
      <c r="AB35" s="23">
        <f t="shared" si="30"/>
        <v>204400</v>
      </c>
    </row>
    <row r="36" spans="1:28" ht="15.75" customHeight="1" x14ac:dyDescent="0.3">
      <c r="A36" s="12">
        <f>RAW!$A$15</f>
        <v>409200</v>
      </c>
      <c r="B36" s="2"/>
      <c r="C36" s="24" t="s">
        <v>28</v>
      </c>
      <c r="D36" s="23">
        <f t="shared" si="21"/>
        <v>409200</v>
      </c>
      <c r="E36" s="2"/>
      <c r="F36" s="24" t="s">
        <v>28</v>
      </c>
      <c r="G36" s="23">
        <f t="shared" ref="G36:AB36" si="31">$A36/G$5</f>
        <v>45466.666666666664</v>
      </c>
      <c r="H36" s="23">
        <f t="shared" si="31"/>
        <v>102300</v>
      </c>
      <c r="I36" s="23">
        <f t="shared" si="31"/>
        <v>58457.142857142855</v>
      </c>
      <c r="J36" s="23">
        <f t="shared" si="31"/>
        <v>81840</v>
      </c>
      <c r="K36" s="23">
        <f t="shared" si="31"/>
        <v>68200</v>
      </c>
      <c r="L36" s="23">
        <f t="shared" si="31"/>
        <v>409200</v>
      </c>
      <c r="M36" s="23">
        <f t="shared" si="31"/>
        <v>409200</v>
      </c>
      <c r="N36" s="23">
        <f t="shared" si="31"/>
        <v>409200</v>
      </c>
      <c r="O36" s="23">
        <f t="shared" si="31"/>
        <v>409200</v>
      </c>
      <c r="P36" s="23">
        <f t="shared" si="31"/>
        <v>409200</v>
      </c>
      <c r="Q36" s="23">
        <f t="shared" si="31"/>
        <v>409200</v>
      </c>
      <c r="R36" s="23">
        <f t="shared" si="31"/>
        <v>409200</v>
      </c>
      <c r="S36" s="23">
        <f t="shared" si="31"/>
        <v>409200</v>
      </c>
      <c r="T36" s="23">
        <f t="shared" si="31"/>
        <v>409200</v>
      </c>
      <c r="U36" s="23">
        <f t="shared" si="31"/>
        <v>409200</v>
      </c>
      <c r="V36" s="23">
        <f t="shared" si="31"/>
        <v>409200</v>
      </c>
      <c r="W36" s="23">
        <f t="shared" si="31"/>
        <v>409200</v>
      </c>
      <c r="X36" s="23">
        <f t="shared" si="31"/>
        <v>409200</v>
      </c>
      <c r="Y36" s="23">
        <f t="shared" si="31"/>
        <v>409200</v>
      </c>
      <c r="Z36" s="23">
        <f t="shared" si="31"/>
        <v>409200</v>
      </c>
      <c r="AA36" s="23">
        <f t="shared" si="31"/>
        <v>409200</v>
      </c>
      <c r="AB36" s="23">
        <f t="shared" si="31"/>
        <v>409200</v>
      </c>
    </row>
    <row r="37" spans="1:28" ht="15.75" customHeight="1" x14ac:dyDescent="0.3">
      <c r="A37" s="12">
        <f>RAW!$A$16</f>
        <v>818800</v>
      </c>
      <c r="B37" s="2"/>
      <c r="C37" s="24" t="s">
        <v>29</v>
      </c>
      <c r="D37" s="23">
        <f t="shared" si="21"/>
        <v>818800</v>
      </c>
      <c r="E37" s="2"/>
      <c r="F37" s="24" t="s">
        <v>29</v>
      </c>
      <c r="G37" s="23">
        <f t="shared" ref="G37:AB37" si="32">$A37/G$5</f>
        <v>90977.777777777781</v>
      </c>
      <c r="H37" s="23">
        <f t="shared" si="32"/>
        <v>204700</v>
      </c>
      <c r="I37" s="23">
        <f t="shared" si="32"/>
        <v>116971.42857142857</v>
      </c>
      <c r="J37" s="23">
        <f t="shared" si="32"/>
        <v>163760</v>
      </c>
      <c r="K37" s="23">
        <f t="shared" si="32"/>
        <v>136466.66666666666</v>
      </c>
      <c r="L37" s="23">
        <f t="shared" si="32"/>
        <v>818800</v>
      </c>
      <c r="M37" s="23">
        <f t="shared" si="32"/>
        <v>818800</v>
      </c>
      <c r="N37" s="23">
        <f t="shared" si="32"/>
        <v>818800</v>
      </c>
      <c r="O37" s="23">
        <f t="shared" si="32"/>
        <v>818800</v>
      </c>
      <c r="P37" s="23">
        <f t="shared" si="32"/>
        <v>818800</v>
      </c>
      <c r="Q37" s="23">
        <f t="shared" si="32"/>
        <v>818800</v>
      </c>
      <c r="R37" s="23">
        <f t="shared" si="32"/>
        <v>818800</v>
      </c>
      <c r="S37" s="23">
        <f t="shared" si="32"/>
        <v>818800</v>
      </c>
      <c r="T37" s="23">
        <f t="shared" si="32"/>
        <v>818800</v>
      </c>
      <c r="U37" s="23">
        <f t="shared" si="32"/>
        <v>818800</v>
      </c>
      <c r="V37" s="23">
        <f t="shared" si="32"/>
        <v>818800</v>
      </c>
      <c r="W37" s="23">
        <f t="shared" si="32"/>
        <v>818800</v>
      </c>
      <c r="X37" s="23">
        <f t="shared" si="32"/>
        <v>818800</v>
      </c>
      <c r="Y37" s="23">
        <f t="shared" si="32"/>
        <v>818800</v>
      </c>
      <c r="Z37" s="23">
        <f t="shared" si="32"/>
        <v>818800</v>
      </c>
      <c r="AA37" s="23">
        <f t="shared" si="32"/>
        <v>818800</v>
      </c>
      <c r="AB37" s="23">
        <f t="shared" si="32"/>
        <v>818800</v>
      </c>
    </row>
    <row r="38" spans="1:28" ht="15.75" customHeight="1" x14ac:dyDescent="0.3">
      <c r="A38" s="12">
        <f>RAW!$A$17</f>
        <v>1638000</v>
      </c>
      <c r="B38" s="2"/>
      <c r="C38" s="24" t="s">
        <v>30</v>
      </c>
      <c r="D38" s="23">
        <f t="shared" si="21"/>
        <v>1638000</v>
      </c>
      <c r="E38" s="2"/>
      <c r="F38" s="24" t="s">
        <v>30</v>
      </c>
      <c r="G38" s="23">
        <f t="shared" ref="G38:AB38" si="33">$A38/G$5</f>
        <v>182000</v>
      </c>
      <c r="H38" s="23">
        <f t="shared" si="33"/>
        <v>409500</v>
      </c>
      <c r="I38" s="23">
        <f t="shared" si="33"/>
        <v>234000</v>
      </c>
      <c r="J38" s="23">
        <f t="shared" si="33"/>
        <v>327600</v>
      </c>
      <c r="K38" s="23">
        <f t="shared" si="33"/>
        <v>273000</v>
      </c>
      <c r="L38" s="23">
        <f t="shared" si="33"/>
        <v>1638000</v>
      </c>
      <c r="M38" s="23">
        <f t="shared" si="33"/>
        <v>1638000</v>
      </c>
      <c r="N38" s="23">
        <f t="shared" si="33"/>
        <v>1638000</v>
      </c>
      <c r="O38" s="23">
        <f t="shared" si="33"/>
        <v>1638000</v>
      </c>
      <c r="P38" s="23">
        <f t="shared" si="33"/>
        <v>1638000</v>
      </c>
      <c r="Q38" s="23">
        <f t="shared" si="33"/>
        <v>1638000</v>
      </c>
      <c r="R38" s="23">
        <f t="shared" si="33"/>
        <v>1638000</v>
      </c>
      <c r="S38" s="23">
        <f t="shared" si="33"/>
        <v>1638000</v>
      </c>
      <c r="T38" s="23">
        <f t="shared" si="33"/>
        <v>1638000</v>
      </c>
      <c r="U38" s="23">
        <f t="shared" si="33"/>
        <v>1638000</v>
      </c>
      <c r="V38" s="23">
        <f t="shared" si="33"/>
        <v>1638000</v>
      </c>
      <c r="W38" s="23">
        <f t="shared" si="33"/>
        <v>1638000</v>
      </c>
      <c r="X38" s="23">
        <f t="shared" si="33"/>
        <v>1638000</v>
      </c>
      <c r="Y38" s="23">
        <f t="shared" si="33"/>
        <v>1638000</v>
      </c>
      <c r="Z38" s="23">
        <f t="shared" si="33"/>
        <v>1638000</v>
      </c>
      <c r="AA38" s="23">
        <f t="shared" si="33"/>
        <v>1638000</v>
      </c>
      <c r="AB38" s="23">
        <f t="shared" si="33"/>
        <v>1638000</v>
      </c>
    </row>
    <row r="39" spans="1:28" ht="15.75" customHeight="1" x14ac:dyDescent="0.3">
      <c r="A39" s="12">
        <f>RAW!$A$18</f>
        <v>3276400</v>
      </c>
      <c r="B39" s="2"/>
      <c r="C39" s="24" t="s">
        <v>31</v>
      </c>
      <c r="D39" s="23">
        <f t="shared" si="21"/>
        <v>3276400</v>
      </c>
      <c r="E39" s="2"/>
      <c r="F39" s="24" t="s">
        <v>31</v>
      </c>
      <c r="G39" s="23">
        <f t="shared" ref="G39:AB39" si="34">$A39/G$5</f>
        <v>364044.44444444444</v>
      </c>
      <c r="H39" s="23">
        <f t="shared" si="34"/>
        <v>819100</v>
      </c>
      <c r="I39" s="23">
        <f t="shared" si="34"/>
        <v>468057.14285714284</v>
      </c>
      <c r="J39" s="23">
        <f t="shared" si="34"/>
        <v>655280</v>
      </c>
      <c r="K39" s="23">
        <f t="shared" si="34"/>
        <v>546066.66666666663</v>
      </c>
      <c r="L39" s="23">
        <f t="shared" si="34"/>
        <v>3276400</v>
      </c>
      <c r="M39" s="23">
        <f t="shared" si="34"/>
        <v>3276400</v>
      </c>
      <c r="N39" s="23">
        <f t="shared" si="34"/>
        <v>3276400</v>
      </c>
      <c r="O39" s="23">
        <f t="shared" si="34"/>
        <v>3276400</v>
      </c>
      <c r="P39" s="23">
        <f t="shared" si="34"/>
        <v>3276400</v>
      </c>
      <c r="Q39" s="23">
        <f t="shared" si="34"/>
        <v>3276400</v>
      </c>
      <c r="R39" s="23">
        <f t="shared" si="34"/>
        <v>3276400</v>
      </c>
      <c r="S39" s="23">
        <f t="shared" si="34"/>
        <v>3276400</v>
      </c>
      <c r="T39" s="23">
        <f t="shared" si="34"/>
        <v>3276400</v>
      </c>
      <c r="U39" s="23">
        <f t="shared" si="34"/>
        <v>3276400</v>
      </c>
      <c r="V39" s="23">
        <f t="shared" si="34"/>
        <v>3276400</v>
      </c>
      <c r="W39" s="23">
        <f t="shared" si="34"/>
        <v>3276400</v>
      </c>
      <c r="X39" s="23">
        <f t="shared" si="34"/>
        <v>3276400</v>
      </c>
      <c r="Y39" s="23">
        <f t="shared" si="34"/>
        <v>3276400</v>
      </c>
      <c r="Z39" s="23">
        <f t="shared" si="34"/>
        <v>3276400</v>
      </c>
      <c r="AA39" s="23">
        <f t="shared" si="34"/>
        <v>3276400</v>
      </c>
      <c r="AB39" s="23">
        <f t="shared" si="34"/>
        <v>3276400</v>
      </c>
    </row>
    <row r="40" spans="1:28" ht="15.75" customHeight="1" x14ac:dyDescent="0.3">
      <c r="A40" s="12">
        <f>RAW!$A$19</f>
        <v>6553200</v>
      </c>
      <c r="B40" s="2"/>
      <c r="C40" s="24" t="s">
        <v>32</v>
      </c>
      <c r="D40" s="23">
        <f t="shared" si="21"/>
        <v>6553200</v>
      </c>
      <c r="E40" s="2"/>
      <c r="F40" s="24" t="s">
        <v>32</v>
      </c>
      <c r="G40" s="23">
        <f t="shared" ref="G40:AB40" si="35">$A40/G$5</f>
        <v>728133.33333333337</v>
      </c>
      <c r="H40" s="23">
        <f t="shared" si="35"/>
        <v>1638300</v>
      </c>
      <c r="I40" s="23">
        <f t="shared" si="35"/>
        <v>936171.42857142852</v>
      </c>
      <c r="J40" s="23">
        <f t="shared" si="35"/>
        <v>1310640</v>
      </c>
      <c r="K40" s="23">
        <f t="shared" si="35"/>
        <v>1092200</v>
      </c>
      <c r="L40" s="23">
        <f t="shared" si="35"/>
        <v>6553200</v>
      </c>
      <c r="M40" s="23">
        <f t="shared" si="35"/>
        <v>6553200</v>
      </c>
      <c r="N40" s="23">
        <f t="shared" si="35"/>
        <v>6553200</v>
      </c>
      <c r="O40" s="23">
        <f t="shared" si="35"/>
        <v>6553200</v>
      </c>
      <c r="P40" s="23">
        <f t="shared" si="35"/>
        <v>6553200</v>
      </c>
      <c r="Q40" s="23">
        <f t="shared" si="35"/>
        <v>6553200</v>
      </c>
      <c r="R40" s="23">
        <f t="shared" si="35"/>
        <v>6553200</v>
      </c>
      <c r="S40" s="23">
        <f t="shared" si="35"/>
        <v>6553200</v>
      </c>
      <c r="T40" s="23">
        <f t="shared" si="35"/>
        <v>6553200</v>
      </c>
      <c r="U40" s="23">
        <f t="shared" si="35"/>
        <v>6553200</v>
      </c>
      <c r="V40" s="23">
        <f t="shared" si="35"/>
        <v>6553200</v>
      </c>
      <c r="W40" s="23">
        <f t="shared" si="35"/>
        <v>6553200</v>
      </c>
      <c r="X40" s="23">
        <f t="shared" si="35"/>
        <v>6553200</v>
      </c>
      <c r="Y40" s="23">
        <f t="shared" si="35"/>
        <v>6553200</v>
      </c>
      <c r="Z40" s="23">
        <f t="shared" si="35"/>
        <v>6553200</v>
      </c>
      <c r="AA40" s="23">
        <f t="shared" si="35"/>
        <v>6553200</v>
      </c>
      <c r="AB40" s="23">
        <f t="shared" si="35"/>
        <v>6553200</v>
      </c>
    </row>
    <row r="41" spans="1:28" ht="15.75" customHeight="1" x14ac:dyDescent="0.3">
      <c r="A41" s="12">
        <f>RAW!$A$20</f>
        <v>13106800</v>
      </c>
      <c r="B41" s="2"/>
      <c r="C41" s="24" t="s">
        <v>33</v>
      </c>
      <c r="D41" s="23">
        <f t="shared" si="21"/>
        <v>13106800</v>
      </c>
      <c r="E41" s="2"/>
      <c r="F41" s="24" t="s">
        <v>33</v>
      </c>
      <c r="G41" s="23">
        <f t="shared" ref="G41:AB41" si="36">$A41/G$5</f>
        <v>1456311.111111111</v>
      </c>
      <c r="H41" s="23">
        <f t="shared" si="36"/>
        <v>3276700</v>
      </c>
      <c r="I41" s="23">
        <f t="shared" si="36"/>
        <v>1872400</v>
      </c>
      <c r="J41" s="23">
        <f t="shared" si="36"/>
        <v>2621360</v>
      </c>
      <c r="K41" s="23">
        <f t="shared" si="36"/>
        <v>2184466.6666666665</v>
      </c>
      <c r="L41" s="23">
        <f t="shared" si="36"/>
        <v>13106800</v>
      </c>
      <c r="M41" s="23">
        <f t="shared" si="36"/>
        <v>13106800</v>
      </c>
      <c r="N41" s="23">
        <f t="shared" si="36"/>
        <v>13106800</v>
      </c>
      <c r="O41" s="23">
        <f t="shared" si="36"/>
        <v>13106800</v>
      </c>
      <c r="P41" s="23">
        <f t="shared" si="36"/>
        <v>13106800</v>
      </c>
      <c r="Q41" s="23">
        <f t="shared" si="36"/>
        <v>13106800</v>
      </c>
      <c r="R41" s="23">
        <f t="shared" si="36"/>
        <v>13106800</v>
      </c>
      <c r="S41" s="23">
        <f t="shared" si="36"/>
        <v>13106800</v>
      </c>
      <c r="T41" s="23">
        <f t="shared" si="36"/>
        <v>13106800</v>
      </c>
      <c r="U41" s="23">
        <f t="shared" si="36"/>
        <v>13106800</v>
      </c>
      <c r="V41" s="23">
        <f t="shared" si="36"/>
        <v>13106800</v>
      </c>
      <c r="W41" s="23">
        <f t="shared" si="36"/>
        <v>13106800</v>
      </c>
      <c r="X41" s="23">
        <f t="shared" si="36"/>
        <v>13106800</v>
      </c>
      <c r="Y41" s="23">
        <f t="shared" si="36"/>
        <v>13106800</v>
      </c>
      <c r="Z41" s="23">
        <f t="shared" si="36"/>
        <v>13106800</v>
      </c>
      <c r="AA41" s="23">
        <f t="shared" si="36"/>
        <v>13106800</v>
      </c>
      <c r="AB41" s="23">
        <f t="shared" si="36"/>
        <v>13106800</v>
      </c>
    </row>
    <row r="42" spans="1:28" ht="15.75" customHeight="1" x14ac:dyDescent="0.3">
      <c r="A42" s="12">
        <f>RAW!$A$21</f>
        <v>26214000</v>
      </c>
      <c r="B42" s="2"/>
      <c r="C42" s="24" t="s">
        <v>34</v>
      </c>
      <c r="D42" s="23">
        <f t="shared" si="21"/>
        <v>26214000</v>
      </c>
      <c r="E42" s="2"/>
      <c r="F42" s="24" t="s">
        <v>34</v>
      </c>
      <c r="G42" s="23">
        <f t="shared" ref="G42:AB42" si="37">$A42/G$5</f>
        <v>2912666.6666666665</v>
      </c>
      <c r="H42" s="23">
        <f t="shared" si="37"/>
        <v>6553500</v>
      </c>
      <c r="I42" s="23">
        <f t="shared" si="37"/>
        <v>3744857.1428571427</v>
      </c>
      <c r="J42" s="23">
        <f t="shared" si="37"/>
        <v>5242800</v>
      </c>
      <c r="K42" s="23">
        <f t="shared" si="37"/>
        <v>4369000</v>
      </c>
      <c r="L42" s="23">
        <f t="shared" si="37"/>
        <v>26214000</v>
      </c>
      <c r="M42" s="23">
        <f t="shared" si="37"/>
        <v>26214000</v>
      </c>
      <c r="N42" s="23">
        <f t="shared" si="37"/>
        <v>26214000</v>
      </c>
      <c r="O42" s="23">
        <f t="shared" si="37"/>
        <v>26214000</v>
      </c>
      <c r="P42" s="23">
        <f t="shared" si="37"/>
        <v>26214000</v>
      </c>
      <c r="Q42" s="23">
        <f t="shared" si="37"/>
        <v>26214000</v>
      </c>
      <c r="R42" s="23">
        <f t="shared" si="37"/>
        <v>26214000</v>
      </c>
      <c r="S42" s="23">
        <f t="shared" si="37"/>
        <v>26214000</v>
      </c>
      <c r="T42" s="23">
        <f t="shared" si="37"/>
        <v>26214000</v>
      </c>
      <c r="U42" s="23">
        <f t="shared" si="37"/>
        <v>26214000</v>
      </c>
      <c r="V42" s="23">
        <f t="shared" si="37"/>
        <v>26214000</v>
      </c>
      <c r="W42" s="23">
        <f t="shared" si="37"/>
        <v>26214000</v>
      </c>
      <c r="X42" s="23">
        <f t="shared" si="37"/>
        <v>26214000</v>
      </c>
      <c r="Y42" s="23">
        <f t="shared" si="37"/>
        <v>26214000</v>
      </c>
      <c r="Z42" s="23">
        <f t="shared" si="37"/>
        <v>26214000</v>
      </c>
      <c r="AA42" s="23">
        <f t="shared" si="37"/>
        <v>26214000</v>
      </c>
      <c r="AB42" s="23">
        <f t="shared" si="37"/>
        <v>26214000</v>
      </c>
    </row>
    <row r="43" spans="1:28" ht="15.75" customHeight="1" x14ac:dyDescent="0.3">
      <c r="A43" s="12">
        <f>RAW!$A$22</f>
        <v>52428400</v>
      </c>
      <c r="B43" s="2"/>
      <c r="C43" s="24" t="s">
        <v>35</v>
      </c>
      <c r="D43" s="23">
        <f t="shared" si="21"/>
        <v>52428400</v>
      </c>
      <c r="E43" s="2"/>
      <c r="F43" s="24" t="s">
        <v>35</v>
      </c>
      <c r="G43" s="23">
        <f t="shared" ref="G43:AB43" si="38">$A43/G$5</f>
        <v>5825377.777777778</v>
      </c>
      <c r="H43" s="23">
        <f t="shared" si="38"/>
        <v>13107100</v>
      </c>
      <c r="I43" s="23">
        <f t="shared" si="38"/>
        <v>7489771.4285714282</v>
      </c>
      <c r="J43" s="23">
        <f t="shared" si="38"/>
        <v>10485680</v>
      </c>
      <c r="K43" s="23">
        <f t="shared" si="38"/>
        <v>8738066.666666666</v>
      </c>
      <c r="L43" s="23">
        <f t="shared" si="38"/>
        <v>52428400</v>
      </c>
      <c r="M43" s="23">
        <f t="shared" si="38"/>
        <v>52428400</v>
      </c>
      <c r="N43" s="23">
        <f t="shared" si="38"/>
        <v>52428400</v>
      </c>
      <c r="O43" s="23">
        <f t="shared" si="38"/>
        <v>52428400</v>
      </c>
      <c r="P43" s="23">
        <f t="shared" si="38"/>
        <v>52428400</v>
      </c>
      <c r="Q43" s="23">
        <f t="shared" si="38"/>
        <v>52428400</v>
      </c>
      <c r="R43" s="23">
        <f t="shared" si="38"/>
        <v>52428400</v>
      </c>
      <c r="S43" s="23">
        <f t="shared" si="38"/>
        <v>52428400</v>
      </c>
      <c r="T43" s="23">
        <f t="shared" si="38"/>
        <v>52428400</v>
      </c>
      <c r="U43" s="23">
        <f t="shared" si="38"/>
        <v>52428400</v>
      </c>
      <c r="V43" s="23">
        <f t="shared" si="38"/>
        <v>52428400</v>
      </c>
      <c r="W43" s="23">
        <f t="shared" si="38"/>
        <v>52428400</v>
      </c>
      <c r="X43" s="23">
        <f t="shared" si="38"/>
        <v>52428400</v>
      </c>
      <c r="Y43" s="23">
        <f t="shared" si="38"/>
        <v>52428400</v>
      </c>
      <c r="Z43" s="23">
        <f t="shared" si="38"/>
        <v>52428400</v>
      </c>
      <c r="AA43" s="23">
        <f t="shared" si="38"/>
        <v>52428400</v>
      </c>
      <c r="AB43" s="23">
        <f t="shared" si="38"/>
        <v>52428400</v>
      </c>
    </row>
    <row r="44" spans="1:28" ht="15.75" customHeight="1" x14ac:dyDescent="0.3">
      <c r="A44" s="3"/>
      <c r="B44" s="2"/>
      <c r="C44" s="29"/>
      <c r="D44" s="30"/>
      <c r="E44" s="2"/>
      <c r="F44" s="3"/>
      <c r="G44" s="31" t="s">
        <v>38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15.75" customHeight="1" x14ac:dyDescent="0.3">
      <c r="A45" s="19" t="s">
        <v>37</v>
      </c>
      <c r="B45" s="2"/>
      <c r="C45" s="10" t="s">
        <v>9</v>
      </c>
      <c r="D45" s="10" t="s">
        <v>10</v>
      </c>
      <c r="E45" s="2"/>
      <c r="F45" s="20" t="s">
        <v>9</v>
      </c>
      <c r="G45" s="11" t="str">
        <f t="shared" ref="G45:AB45" si="39">G26</f>
        <v>Arukia</v>
      </c>
      <c r="H45" s="11" t="str">
        <f t="shared" si="39"/>
        <v>Emelia</v>
      </c>
      <c r="I45" s="11" t="str">
        <f t="shared" si="39"/>
        <v>Nailah</v>
      </c>
      <c r="J45" s="11" t="str">
        <f t="shared" si="39"/>
        <v>Severino</v>
      </c>
      <c r="K45" s="11" t="str">
        <f t="shared" si="39"/>
        <v>Vitor</v>
      </c>
      <c r="L45" s="11">
        <f t="shared" si="39"/>
        <v>0</v>
      </c>
      <c r="M45" s="11">
        <f t="shared" si="39"/>
        <v>0</v>
      </c>
      <c r="N45" s="11">
        <f t="shared" si="39"/>
        <v>0</v>
      </c>
      <c r="O45" s="11">
        <f t="shared" si="39"/>
        <v>0</v>
      </c>
      <c r="P45" s="11">
        <f t="shared" si="39"/>
        <v>0</v>
      </c>
      <c r="Q45" s="11">
        <f t="shared" si="39"/>
        <v>0</v>
      </c>
      <c r="R45" s="11">
        <f t="shared" si="39"/>
        <v>0</v>
      </c>
      <c r="S45" s="11">
        <f t="shared" si="39"/>
        <v>0</v>
      </c>
      <c r="T45" s="11">
        <f t="shared" si="39"/>
        <v>0</v>
      </c>
      <c r="U45" s="11">
        <f t="shared" si="39"/>
        <v>0</v>
      </c>
      <c r="V45" s="11">
        <f t="shared" si="39"/>
        <v>0</v>
      </c>
      <c r="W45" s="11">
        <f t="shared" si="39"/>
        <v>0</v>
      </c>
      <c r="X45" s="11">
        <f t="shared" si="39"/>
        <v>0</v>
      </c>
      <c r="Y45" s="11">
        <f t="shared" si="39"/>
        <v>0</v>
      </c>
      <c r="Z45" s="11">
        <f t="shared" si="39"/>
        <v>0</v>
      </c>
      <c r="AA45" s="11">
        <f t="shared" si="39"/>
        <v>0</v>
      </c>
      <c r="AB45" s="11">
        <f t="shared" si="39"/>
        <v>0</v>
      </c>
    </row>
    <row r="46" spans="1:28" ht="15.75" customHeight="1" x14ac:dyDescent="0.3">
      <c r="A46" s="12">
        <f>RAW!$A$6</f>
        <v>400</v>
      </c>
      <c r="B46" s="2"/>
      <c r="C46" s="21" t="s">
        <v>19</v>
      </c>
      <c r="D46" s="22">
        <f t="shared" ref="D46:D62" si="40">($A46/D$5)/365</f>
        <v>1.095890410958904</v>
      </c>
      <c r="E46" s="2"/>
      <c r="F46" s="21" t="s">
        <v>19</v>
      </c>
      <c r="G46" s="23">
        <f t="shared" ref="G46:AB46" si="41">($A46/G$5)/365</f>
        <v>0.12176560121765601</v>
      </c>
      <c r="H46" s="23">
        <f t="shared" si="41"/>
        <v>0.27397260273972601</v>
      </c>
      <c r="I46" s="23">
        <f t="shared" si="41"/>
        <v>0.15655577299412918</v>
      </c>
      <c r="J46" s="23">
        <f t="shared" si="41"/>
        <v>0.21917808219178081</v>
      </c>
      <c r="K46" s="23">
        <f t="shared" si="41"/>
        <v>0.18264840182648404</v>
      </c>
      <c r="L46" s="23">
        <f t="shared" si="41"/>
        <v>1.095890410958904</v>
      </c>
      <c r="M46" s="23">
        <f t="shared" si="41"/>
        <v>1.095890410958904</v>
      </c>
      <c r="N46" s="23">
        <f t="shared" si="41"/>
        <v>1.095890410958904</v>
      </c>
      <c r="O46" s="23">
        <f t="shared" si="41"/>
        <v>1.095890410958904</v>
      </c>
      <c r="P46" s="23">
        <f t="shared" si="41"/>
        <v>1.095890410958904</v>
      </c>
      <c r="Q46" s="23">
        <f t="shared" si="41"/>
        <v>1.095890410958904</v>
      </c>
      <c r="R46" s="23">
        <f t="shared" si="41"/>
        <v>1.095890410958904</v>
      </c>
      <c r="S46" s="23">
        <f t="shared" si="41"/>
        <v>1.095890410958904</v>
      </c>
      <c r="T46" s="23">
        <f t="shared" si="41"/>
        <v>1.095890410958904</v>
      </c>
      <c r="U46" s="23">
        <f t="shared" si="41"/>
        <v>1.095890410958904</v>
      </c>
      <c r="V46" s="23">
        <f t="shared" si="41"/>
        <v>1.095890410958904</v>
      </c>
      <c r="W46" s="23">
        <f t="shared" si="41"/>
        <v>1.095890410958904</v>
      </c>
      <c r="X46" s="23">
        <f t="shared" si="41"/>
        <v>1.095890410958904</v>
      </c>
      <c r="Y46" s="23">
        <f t="shared" si="41"/>
        <v>1.095890410958904</v>
      </c>
      <c r="Z46" s="23">
        <f t="shared" si="41"/>
        <v>1.095890410958904</v>
      </c>
      <c r="AA46" s="23">
        <f t="shared" si="41"/>
        <v>1.095890410958904</v>
      </c>
      <c r="AB46" s="23">
        <f t="shared" si="41"/>
        <v>1.095890410958904</v>
      </c>
    </row>
    <row r="47" spans="1:28" ht="15.75" customHeight="1" x14ac:dyDescent="0.3">
      <c r="A47" s="12">
        <f>RAW!$A$7</f>
        <v>1200</v>
      </c>
      <c r="B47" s="2"/>
      <c r="C47" s="24" t="s">
        <v>20</v>
      </c>
      <c r="D47" s="23">
        <f t="shared" si="40"/>
        <v>3.2876712328767121</v>
      </c>
      <c r="E47" s="2"/>
      <c r="F47" s="24" t="s">
        <v>20</v>
      </c>
      <c r="G47" s="23">
        <f t="shared" ref="G47:AB47" si="42">($A47/G$5)/365</f>
        <v>0.36529680365296807</v>
      </c>
      <c r="H47" s="23">
        <f t="shared" si="42"/>
        <v>0.82191780821917804</v>
      </c>
      <c r="I47" s="23">
        <f t="shared" si="42"/>
        <v>0.46966731898238745</v>
      </c>
      <c r="J47" s="23">
        <f t="shared" si="42"/>
        <v>0.65753424657534243</v>
      </c>
      <c r="K47" s="23">
        <f t="shared" si="42"/>
        <v>0.54794520547945202</v>
      </c>
      <c r="L47" s="23">
        <f t="shared" si="42"/>
        <v>3.2876712328767121</v>
      </c>
      <c r="M47" s="23">
        <f t="shared" si="42"/>
        <v>3.2876712328767121</v>
      </c>
      <c r="N47" s="23">
        <f t="shared" si="42"/>
        <v>3.2876712328767121</v>
      </c>
      <c r="O47" s="23">
        <f t="shared" si="42"/>
        <v>3.2876712328767121</v>
      </c>
      <c r="P47" s="23">
        <f t="shared" si="42"/>
        <v>3.2876712328767121</v>
      </c>
      <c r="Q47" s="23">
        <f t="shared" si="42"/>
        <v>3.2876712328767121</v>
      </c>
      <c r="R47" s="23">
        <f t="shared" si="42"/>
        <v>3.2876712328767121</v>
      </c>
      <c r="S47" s="23">
        <f t="shared" si="42"/>
        <v>3.2876712328767121</v>
      </c>
      <c r="T47" s="23">
        <f t="shared" si="42"/>
        <v>3.2876712328767121</v>
      </c>
      <c r="U47" s="23">
        <f t="shared" si="42"/>
        <v>3.2876712328767121</v>
      </c>
      <c r="V47" s="23">
        <f t="shared" si="42"/>
        <v>3.2876712328767121</v>
      </c>
      <c r="W47" s="23">
        <f t="shared" si="42"/>
        <v>3.2876712328767121</v>
      </c>
      <c r="X47" s="23">
        <f t="shared" si="42"/>
        <v>3.2876712328767121</v>
      </c>
      <c r="Y47" s="23">
        <f t="shared" si="42"/>
        <v>3.2876712328767121</v>
      </c>
      <c r="Z47" s="23">
        <f t="shared" si="42"/>
        <v>3.2876712328767121</v>
      </c>
      <c r="AA47" s="23">
        <f t="shared" si="42"/>
        <v>3.2876712328767121</v>
      </c>
      <c r="AB47" s="23">
        <f t="shared" si="42"/>
        <v>3.2876712328767121</v>
      </c>
    </row>
    <row r="48" spans="1:28" ht="15.75" customHeight="1" x14ac:dyDescent="0.3">
      <c r="A48" s="12">
        <f>RAW!$A$8</f>
        <v>2800</v>
      </c>
      <c r="B48" s="2"/>
      <c r="C48" s="24" t="s">
        <v>21</v>
      </c>
      <c r="D48" s="23">
        <f t="shared" si="40"/>
        <v>7.6712328767123283</v>
      </c>
      <c r="E48" s="2"/>
      <c r="F48" s="24" t="s">
        <v>21</v>
      </c>
      <c r="G48" s="23">
        <f t="shared" ref="G48:AB48" si="43">($A48/G$5)/365</f>
        <v>0.85235920852359204</v>
      </c>
      <c r="H48" s="23">
        <f t="shared" si="43"/>
        <v>1.9178082191780821</v>
      </c>
      <c r="I48" s="23">
        <f t="shared" si="43"/>
        <v>1.095890410958904</v>
      </c>
      <c r="J48" s="23">
        <f t="shared" si="43"/>
        <v>1.5342465753424657</v>
      </c>
      <c r="K48" s="23">
        <f t="shared" si="43"/>
        <v>1.2785388127853883</v>
      </c>
      <c r="L48" s="23">
        <f t="shared" si="43"/>
        <v>7.6712328767123283</v>
      </c>
      <c r="M48" s="23">
        <f t="shared" si="43"/>
        <v>7.6712328767123283</v>
      </c>
      <c r="N48" s="23">
        <f t="shared" si="43"/>
        <v>7.6712328767123283</v>
      </c>
      <c r="O48" s="23">
        <f t="shared" si="43"/>
        <v>7.6712328767123283</v>
      </c>
      <c r="P48" s="23">
        <f t="shared" si="43"/>
        <v>7.6712328767123283</v>
      </c>
      <c r="Q48" s="23">
        <f t="shared" si="43"/>
        <v>7.6712328767123283</v>
      </c>
      <c r="R48" s="23">
        <f t="shared" si="43"/>
        <v>7.6712328767123283</v>
      </c>
      <c r="S48" s="23">
        <f t="shared" si="43"/>
        <v>7.6712328767123283</v>
      </c>
      <c r="T48" s="23">
        <f t="shared" si="43"/>
        <v>7.6712328767123283</v>
      </c>
      <c r="U48" s="23">
        <f t="shared" si="43"/>
        <v>7.6712328767123283</v>
      </c>
      <c r="V48" s="23">
        <f t="shared" si="43"/>
        <v>7.6712328767123283</v>
      </c>
      <c r="W48" s="23">
        <f t="shared" si="43"/>
        <v>7.6712328767123283</v>
      </c>
      <c r="X48" s="23">
        <f t="shared" si="43"/>
        <v>7.6712328767123283</v>
      </c>
      <c r="Y48" s="23">
        <f t="shared" si="43"/>
        <v>7.6712328767123283</v>
      </c>
      <c r="Z48" s="23">
        <f t="shared" si="43"/>
        <v>7.6712328767123283</v>
      </c>
      <c r="AA48" s="23">
        <f t="shared" si="43"/>
        <v>7.6712328767123283</v>
      </c>
      <c r="AB48" s="23">
        <f t="shared" si="43"/>
        <v>7.6712328767123283</v>
      </c>
    </row>
    <row r="49" spans="1:28" ht="15.75" customHeight="1" x14ac:dyDescent="0.3">
      <c r="A49" s="12">
        <f>RAW!$A$9</f>
        <v>6000</v>
      </c>
      <c r="B49" s="2"/>
      <c r="C49" s="24" t="s">
        <v>22</v>
      </c>
      <c r="D49" s="23">
        <f t="shared" si="40"/>
        <v>16.438356164383563</v>
      </c>
      <c r="E49" s="2"/>
      <c r="F49" s="24" t="s">
        <v>22</v>
      </c>
      <c r="G49" s="23">
        <f t="shared" ref="G49:AB49" si="44">($A49/G$5)/365</f>
        <v>1.8264840182648401</v>
      </c>
      <c r="H49" s="23">
        <f t="shared" si="44"/>
        <v>4.1095890410958908</v>
      </c>
      <c r="I49" s="23">
        <f t="shared" si="44"/>
        <v>2.3483365949119372</v>
      </c>
      <c r="J49" s="23">
        <f t="shared" si="44"/>
        <v>3.2876712328767121</v>
      </c>
      <c r="K49" s="23">
        <f t="shared" si="44"/>
        <v>2.7397260273972601</v>
      </c>
      <c r="L49" s="23">
        <f t="shared" si="44"/>
        <v>16.438356164383563</v>
      </c>
      <c r="M49" s="23">
        <f t="shared" si="44"/>
        <v>16.438356164383563</v>
      </c>
      <c r="N49" s="23">
        <f t="shared" si="44"/>
        <v>16.438356164383563</v>
      </c>
      <c r="O49" s="23">
        <f t="shared" si="44"/>
        <v>16.438356164383563</v>
      </c>
      <c r="P49" s="23">
        <f t="shared" si="44"/>
        <v>16.438356164383563</v>
      </c>
      <c r="Q49" s="23">
        <f t="shared" si="44"/>
        <v>16.438356164383563</v>
      </c>
      <c r="R49" s="23">
        <f t="shared" si="44"/>
        <v>16.438356164383563</v>
      </c>
      <c r="S49" s="23">
        <f t="shared" si="44"/>
        <v>16.438356164383563</v>
      </c>
      <c r="T49" s="23">
        <f t="shared" si="44"/>
        <v>16.438356164383563</v>
      </c>
      <c r="U49" s="23">
        <f t="shared" si="44"/>
        <v>16.438356164383563</v>
      </c>
      <c r="V49" s="23">
        <f t="shared" si="44"/>
        <v>16.438356164383563</v>
      </c>
      <c r="W49" s="23">
        <f t="shared" si="44"/>
        <v>16.438356164383563</v>
      </c>
      <c r="X49" s="23">
        <f t="shared" si="44"/>
        <v>16.438356164383563</v>
      </c>
      <c r="Y49" s="23">
        <f t="shared" si="44"/>
        <v>16.438356164383563</v>
      </c>
      <c r="Z49" s="23">
        <f t="shared" si="44"/>
        <v>16.438356164383563</v>
      </c>
      <c r="AA49" s="23">
        <f t="shared" si="44"/>
        <v>16.438356164383563</v>
      </c>
      <c r="AB49" s="23">
        <f t="shared" si="44"/>
        <v>16.438356164383563</v>
      </c>
    </row>
    <row r="50" spans="1:28" ht="15.75" customHeight="1" x14ac:dyDescent="0.3">
      <c r="A50" s="12">
        <f>RAW!$A$10</f>
        <v>12400</v>
      </c>
      <c r="B50" s="2"/>
      <c r="C50" s="24" t="s">
        <v>23</v>
      </c>
      <c r="D50" s="23">
        <f t="shared" si="40"/>
        <v>33.972602739726028</v>
      </c>
      <c r="E50" s="2"/>
      <c r="F50" s="24" t="s">
        <v>23</v>
      </c>
      <c r="G50" s="23">
        <f t="shared" ref="G50:AB50" si="45">($A50/G$5)/365</f>
        <v>3.7747336377473366</v>
      </c>
      <c r="H50" s="23">
        <f t="shared" si="45"/>
        <v>8.493150684931507</v>
      </c>
      <c r="I50" s="23">
        <f t="shared" si="45"/>
        <v>4.8532289628180036</v>
      </c>
      <c r="J50" s="23">
        <f t="shared" si="45"/>
        <v>6.7945205479452051</v>
      </c>
      <c r="K50" s="23">
        <f t="shared" si="45"/>
        <v>5.6621004566210038</v>
      </c>
      <c r="L50" s="23">
        <f t="shared" si="45"/>
        <v>33.972602739726028</v>
      </c>
      <c r="M50" s="23">
        <f t="shared" si="45"/>
        <v>33.972602739726028</v>
      </c>
      <c r="N50" s="23">
        <f t="shared" si="45"/>
        <v>33.972602739726028</v>
      </c>
      <c r="O50" s="23">
        <f t="shared" si="45"/>
        <v>33.972602739726028</v>
      </c>
      <c r="P50" s="23">
        <f t="shared" si="45"/>
        <v>33.972602739726028</v>
      </c>
      <c r="Q50" s="23">
        <f t="shared" si="45"/>
        <v>33.972602739726028</v>
      </c>
      <c r="R50" s="23">
        <f t="shared" si="45"/>
        <v>33.972602739726028</v>
      </c>
      <c r="S50" s="23">
        <f t="shared" si="45"/>
        <v>33.972602739726028</v>
      </c>
      <c r="T50" s="23">
        <f t="shared" si="45"/>
        <v>33.972602739726028</v>
      </c>
      <c r="U50" s="23">
        <f t="shared" si="45"/>
        <v>33.972602739726028</v>
      </c>
      <c r="V50" s="23">
        <f t="shared" si="45"/>
        <v>33.972602739726028</v>
      </c>
      <c r="W50" s="23">
        <f t="shared" si="45"/>
        <v>33.972602739726028</v>
      </c>
      <c r="X50" s="23">
        <f t="shared" si="45"/>
        <v>33.972602739726028</v>
      </c>
      <c r="Y50" s="23">
        <f t="shared" si="45"/>
        <v>33.972602739726028</v>
      </c>
      <c r="Z50" s="23">
        <f t="shared" si="45"/>
        <v>33.972602739726028</v>
      </c>
      <c r="AA50" s="23">
        <f t="shared" si="45"/>
        <v>33.972602739726028</v>
      </c>
      <c r="AB50" s="23">
        <f t="shared" si="45"/>
        <v>33.972602739726028</v>
      </c>
    </row>
    <row r="51" spans="1:28" ht="15.75" customHeight="1" x14ac:dyDescent="0.3">
      <c r="A51" s="12">
        <f>RAW!$A$11</f>
        <v>25200</v>
      </c>
      <c r="B51" s="2"/>
      <c r="C51" s="24" t="s">
        <v>24</v>
      </c>
      <c r="D51" s="23">
        <f t="shared" si="40"/>
        <v>69.041095890410958</v>
      </c>
      <c r="E51" s="2"/>
      <c r="F51" s="24" t="s">
        <v>24</v>
      </c>
      <c r="G51" s="23">
        <f t="shared" ref="G51:AB51" si="46">($A51/G$5)/365</f>
        <v>7.6712328767123283</v>
      </c>
      <c r="H51" s="23">
        <f t="shared" si="46"/>
        <v>17.260273972602739</v>
      </c>
      <c r="I51" s="23">
        <f t="shared" si="46"/>
        <v>9.8630136986301373</v>
      </c>
      <c r="J51" s="23">
        <f t="shared" si="46"/>
        <v>13.808219178082192</v>
      </c>
      <c r="K51" s="23">
        <f t="shared" si="46"/>
        <v>11.506849315068493</v>
      </c>
      <c r="L51" s="23">
        <f t="shared" si="46"/>
        <v>69.041095890410958</v>
      </c>
      <c r="M51" s="23">
        <f t="shared" si="46"/>
        <v>69.041095890410958</v>
      </c>
      <c r="N51" s="23">
        <f t="shared" si="46"/>
        <v>69.041095890410958</v>
      </c>
      <c r="O51" s="23">
        <f t="shared" si="46"/>
        <v>69.041095890410958</v>
      </c>
      <c r="P51" s="23">
        <f t="shared" si="46"/>
        <v>69.041095890410958</v>
      </c>
      <c r="Q51" s="23">
        <f t="shared" si="46"/>
        <v>69.041095890410958</v>
      </c>
      <c r="R51" s="23">
        <f t="shared" si="46"/>
        <v>69.041095890410958</v>
      </c>
      <c r="S51" s="23">
        <f t="shared" si="46"/>
        <v>69.041095890410958</v>
      </c>
      <c r="T51" s="23">
        <f t="shared" si="46"/>
        <v>69.041095890410958</v>
      </c>
      <c r="U51" s="23">
        <f t="shared" si="46"/>
        <v>69.041095890410958</v>
      </c>
      <c r="V51" s="23">
        <f t="shared" si="46"/>
        <v>69.041095890410958</v>
      </c>
      <c r="W51" s="23">
        <f t="shared" si="46"/>
        <v>69.041095890410958</v>
      </c>
      <c r="X51" s="23">
        <f t="shared" si="46"/>
        <v>69.041095890410958</v>
      </c>
      <c r="Y51" s="23">
        <f t="shared" si="46"/>
        <v>69.041095890410958</v>
      </c>
      <c r="Z51" s="23">
        <f t="shared" si="46"/>
        <v>69.041095890410958</v>
      </c>
      <c r="AA51" s="23">
        <f t="shared" si="46"/>
        <v>69.041095890410958</v>
      </c>
      <c r="AB51" s="23">
        <f t="shared" si="46"/>
        <v>69.041095890410958</v>
      </c>
    </row>
    <row r="52" spans="1:28" ht="15.75" customHeight="1" x14ac:dyDescent="0.3">
      <c r="A52" s="12">
        <f>RAW!$A$12</f>
        <v>50800</v>
      </c>
      <c r="B52" s="2"/>
      <c r="C52" s="24" t="s">
        <v>25</v>
      </c>
      <c r="D52" s="23">
        <f t="shared" si="40"/>
        <v>139.17808219178082</v>
      </c>
      <c r="E52" s="2"/>
      <c r="F52" s="24" t="s">
        <v>25</v>
      </c>
      <c r="G52" s="23">
        <f t="shared" ref="G52:AB52" si="47">($A52/G$5)/365</f>
        <v>15.464231354642314</v>
      </c>
      <c r="H52" s="23">
        <f t="shared" si="47"/>
        <v>34.794520547945204</v>
      </c>
      <c r="I52" s="23">
        <f t="shared" si="47"/>
        <v>19.882583170254403</v>
      </c>
      <c r="J52" s="23">
        <f t="shared" si="47"/>
        <v>27.835616438356166</v>
      </c>
      <c r="K52" s="23">
        <f t="shared" si="47"/>
        <v>23.196347031963469</v>
      </c>
      <c r="L52" s="23">
        <f t="shared" si="47"/>
        <v>139.17808219178082</v>
      </c>
      <c r="M52" s="23">
        <f t="shared" si="47"/>
        <v>139.17808219178082</v>
      </c>
      <c r="N52" s="23">
        <f t="shared" si="47"/>
        <v>139.17808219178082</v>
      </c>
      <c r="O52" s="23">
        <f t="shared" si="47"/>
        <v>139.17808219178082</v>
      </c>
      <c r="P52" s="23">
        <f t="shared" si="47"/>
        <v>139.17808219178082</v>
      </c>
      <c r="Q52" s="23">
        <f t="shared" si="47"/>
        <v>139.17808219178082</v>
      </c>
      <c r="R52" s="23">
        <f t="shared" si="47"/>
        <v>139.17808219178082</v>
      </c>
      <c r="S52" s="23">
        <f t="shared" si="47"/>
        <v>139.17808219178082</v>
      </c>
      <c r="T52" s="23">
        <f t="shared" si="47"/>
        <v>139.17808219178082</v>
      </c>
      <c r="U52" s="23">
        <f t="shared" si="47"/>
        <v>139.17808219178082</v>
      </c>
      <c r="V52" s="23">
        <f t="shared" si="47"/>
        <v>139.17808219178082</v>
      </c>
      <c r="W52" s="23">
        <f t="shared" si="47"/>
        <v>139.17808219178082</v>
      </c>
      <c r="X52" s="23">
        <f t="shared" si="47"/>
        <v>139.17808219178082</v>
      </c>
      <c r="Y52" s="23">
        <f t="shared" si="47"/>
        <v>139.17808219178082</v>
      </c>
      <c r="Z52" s="23">
        <f t="shared" si="47"/>
        <v>139.17808219178082</v>
      </c>
      <c r="AA52" s="23">
        <f t="shared" si="47"/>
        <v>139.17808219178082</v>
      </c>
      <c r="AB52" s="23">
        <f t="shared" si="47"/>
        <v>139.17808219178082</v>
      </c>
    </row>
    <row r="53" spans="1:28" ht="15.75" customHeight="1" x14ac:dyDescent="0.3">
      <c r="A53" s="12">
        <f>RAW!$A$13</f>
        <v>102000</v>
      </c>
      <c r="B53" s="2"/>
      <c r="C53" s="24" t="s">
        <v>26</v>
      </c>
      <c r="D53" s="23">
        <f t="shared" si="40"/>
        <v>279.45205479452056</v>
      </c>
      <c r="E53" s="2"/>
      <c r="F53" s="24" t="s">
        <v>26</v>
      </c>
      <c r="G53" s="23">
        <f t="shared" ref="G53:AB53" si="48">($A53/G$5)/365</f>
        <v>31.050228310502284</v>
      </c>
      <c r="H53" s="23">
        <f t="shared" si="48"/>
        <v>69.863013698630141</v>
      </c>
      <c r="I53" s="23">
        <f t="shared" si="48"/>
        <v>39.921722113502931</v>
      </c>
      <c r="J53" s="23">
        <f t="shared" si="48"/>
        <v>55.890410958904113</v>
      </c>
      <c r="K53" s="23">
        <f t="shared" si="48"/>
        <v>46.575342465753423</v>
      </c>
      <c r="L53" s="23">
        <f t="shared" si="48"/>
        <v>279.45205479452056</v>
      </c>
      <c r="M53" s="23">
        <f t="shared" si="48"/>
        <v>279.45205479452056</v>
      </c>
      <c r="N53" s="23">
        <f t="shared" si="48"/>
        <v>279.45205479452056</v>
      </c>
      <c r="O53" s="23">
        <f t="shared" si="48"/>
        <v>279.45205479452056</v>
      </c>
      <c r="P53" s="23">
        <f t="shared" si="48"/>
        <v>279.45205479452056</v>
      </c>
      <c r="Q53" s="23">
        <f t="shared" si="48"/>
        <v>279.45205479452056</v>
      </c>
      <c r="R53" s="23">
        <f t="shared" si="48"/>
        <v>279.45205479452056</v>
      </c>
      <c r="S53" s="23">
        <f t="shared" si="48"/>
        <v>279.45205479452056</v>
      </c>
      <c r="T53" s="23">
        <f t="shared" si="48"/>
        <v>279.45205479452056</v>
      </c>
      <c r="U53" s="23">
        <f t="shared" si="48"/>
        <v>279.45205479452056</v>
      </c>
      <c r="V53" s="23">
        <f t="shared" si="48"/>
        <v>279.45205479452056</v>
      </c>
      <c r="W53" s="23">
        <f t="shared" si="48"/>
        <v>279.45205479452056</v>
      </c>
      <c r="X53" s="23">
        <f t="shared" si="48"/>
        <v>279.45205479452056</v>
      </c>
      <c r="Y53" s="23">
        <f t="shared" si="48"/>
        <v>279.45205479452056</v>
      </c>
      <c r="Z53" s="23">
        <f t="shared" si="48"/>
        <v>279.45205479452056</v>
      </c>
      <c r="AA53" s="23">
        <f t="shared" si="48"/>
        <v>279.45205479452056</v>
      </c>
      <c r="AB53" s="23">
        <f t="shared" si="48"/>
        <v>279.45205479452056</v>
      </c>
    </row>
    <row r="54" spans="1:28" ht="15.75" customHeight="1" x14ac:dyDescent="0.3">
      <c r="A54" s="12">
        <f>RAW!$A$14</f>
        <v>204400</v>
      </c>
      <c r="B54" s="2"/>
      <c r="C54" s="24" t="s">
        <v>27</v>
      </c>
      <c r="D54" s="23">
        <f t="shared" si="40"/>
        <v>560</v>
      </c>
      <c r="E54" s="2"/>
      <c r="F54" s="24" t="s">
        <v>27</v>
      </c>
      <c r="G54" s="23">
        <f t="shared" ref="G54:AB54" si="49">($A54/G$5)/365</f>
        <v>62.222222222222214</v>
      </c>
      <c r="H54" s="23">
        <f t="shared" si="49"/>
        <v>140</v>
      </c>
      <c r="I54" s="23">
        <f t="shared" si="49"/>
        <v>80</v>
      </c>
      <c r="J54" s="23">
        <f t="shared" si="49"/>
        <v>112</v>
      </c>
      <c r="K54" s="23">
        <f t="shared" si="49"/>
        <v>93.333333333333329</v>
      </c>
      <c r="L54" s="23">
        <f t="shared" si="49"/>
        <v>560</v>
      </c>
      <c r="M54" s="23">
        <f t="shared" si="49"/>
        <v>560</v>
      </c>
      <c r="N54" s="23">
        <f t="shared" si="49"/>
        <v>560</v>
      </c>
      <c r="O54" s="23">
        <f t="shared" si="49"/>
        <v>560</v>
      </c>
      <c r="P54" s="23">
        <f t="shared" si="49"/>
        <v>560</v>
      </c>
      <c r="Q54" s="23">
        <f t="shared" si="49"/>
        <v>560</v>
      </c>
      <c r="R54" s="23">
        <f t="shared" si="49"/>
        <v>560</v>
      </c>
      <c r="S54" s="23">
        <f t="shared" si="49"/>
        <v>560</v>
      </c>
      <c r="T54" s="23">
        <f t="shared" si="49"/>
        <v>560</v>
      </c>
      <c r="U54" s="23">
        <f t="shared" si="49"/>
        <v>560</v>
      </c>
      <c r="V54" s="23">
        <f t="shared" si="49"/>
        <v>560</v>
      </c>
      <c r="W54" s="23">
        <f t="shared" si="49"/>
        <v>560</v>
      </c>
      <c r="X54" s="23">
        <f t="shared" si="49"/>
        <v>560</v>
      </c>
      <c r="Y54" s="23">
        <f t="shared" si="49"/>
        <v>560</v>
      </c>
      <c r="Z54" s="23">
        <f t="shared" si="49"/>
        <v>560</v>
      </c>
      <c r="AA54" s="23">
        <f t="shared" si="49"/>
        <v>560</v>
      </c>
      <c r="AB54" s="23">
        <f t="shared" si="49"/>
        <v>560</v>
      </c>
    </row>
    <row r="55" spans="1:28" ht="15.75" customHeight="1" x14ac:dyDescent="0.3">
      <c r="A55" s="12">
        <f>RAW!$A$15</f>
        <v>409200</v>
      </c>
      <c r="B55" s="2"/>
      <c r="C55" s="24" t="s">
        <v>28</v>
      </c>
      <c r="D55" s="23">
        <f t="shared" si="40"/>
        <v>1121.0958904109589</v>
      </c>
      <c r="E55" s="2"/>
      <c r="F55" s="24" t="s">
        <v>28</v>
      </c>
      <c r="G55" s="23">
        <f t="shared" ref="G55:AB55" si="50">($A55/G$5)/365</f>
        <v>124.56621004566209</v>
      </c>
      <c r="H55" s="23">
        <f t="shared" si="50"/>
        <v>280.27397260273972</v>
      </c>
      <c r="I55" s="23">
        <f t="shared" si="50"/>
        <v>160.15655577299412</v>
      </c>
      <c r="J55" s="23">
        <f t="shared" si="50"/>
        <v>224.21917808219177</v>
      </c>
      <c r="K55" s="23">
        <f t="shared" si="50"/>
        <v>186.84931506849315</v>
      </c>
      <c r="L55" s="23">
        <f t="shared" si="50"/>
        <v>1121.0958904109589</v>
      </c>
      <c r="M55" s="23">
        <f t="shared" si="50"/>
        <v>1121.0958904109589</v>
      </c>
      <c r="N55" s="23">
        <f t="shared" si="50"/>
        <v>1121.0958904109589</v>
      </c>
      <c r="O55" s="23">
        <f t="shared" si="50"/>
        <v>1121.0958904109589</v>
      </c>
      <c r="P55" s="23">
        <f t="shared" si="50"/>
        <v>1121.0958904109589</v>
      </c>
      <c r="Q55" s="23">
        <f t="shared" si="50"/>
        <v>1121.0958904109589</v>
      </c>
      <c r="R55" s="23">
        <f t="shared" si="50"/>
        <v>1121.0958904109589</v>
      </c>
      <c r="S55" s="23">
        <f t="shared" si="50"/>
        <v>1121.0958904109589</v>
      </c>
      <c r="T55" s="23">
        <f t="shared" si="50"/>
        <v>1121.0958904109589</v>
      </c>
      <c r="U55" s="23">
        <f t="shared" si="50"/>
        <v>1121.0958904109589</v>
      </c>
      <c r="V55" s="23">
        <f t="shared" si="50"/>
        <v>1121.0958904109589</v>
      </c>
      <c r="W55" s="23">
        <f t="shared" si="50"/>
        <v>1121.0958904109589</v>
      </c>
      <c r="X55" s="23">
        <f t="shared" si="50"/>
        <v>1121.0958904109589</v>
      </c>
      <c r="Y55" s="23">
        <f t="shared" si="50"/>
        <v>1121.0958904109589</v>
      </c>
      <c r="Z55" s="23">
        <f t="shared" si="50"/>
        <v>1121.0958904109589</v>
      </c>
      <c r="AA55" s="23">
        <f t="shared" si="50"/>
        <v>1121.0958904109589</v>
      </c>
      <c r="AB55" s="23">
        <f t="shared" si="50"/>
        <v>1121.0958904109589</v>
      </c>
    </row>
    <row r="56" spans="1:28" ht="15.75" customHeight="1" x14ac:dyDescent="0.3">
      <c r="A56" s="12">
        <f>RAW!$A$16</f>
        <v>818800</v>
      </c>
      <c r="B56" s="2"/>
      <c r="C56" s="24" t="s">
        <v>29</v>
      </c>
      <c r="D56" s="23">
        <f t="shared" si="40"/>
        <v>2243.2876712328766</v>
      </c>
      <c r="E56" s="2"/>
      <c r="F56" s="24" t="s">
        <v>29</v>
      </c>
      <c r="G56" s="23">
        <f t="shared" ref="G56:AB56" si="51">($A56/G$5)/365</f>
        <v>249.25418569254185</v>
      </c>
      <c r="H56" s="23">
        <f t="shared" si="51"/>
        <v>560.82191780821915</v>
      </c>
      <c r="I56" s="23">
        <f t="shared" si="51"/>
        <v>320.46966731898237</v>
      </c>
      <c r="J56" s="23">
        <f t="shared" si="51"/>
        <v>448.65753424657532</v>
      </c>
      <c r="K56" s="23">
        <f t="shared" si="51"/>
        <v>373.88127853881275</v>
      </c>
      <c r="L56" s="23">
        <f t="shared" si="51"/>
        <v>2243.2876712328766</v>
      </c>
      <c r="M56" s="23">
        <f t="shared" si="51"/>
        <v>2243.2876712328766</v>
      </c>
      <c r="N56" s="23">
        <f t="shared" si="51"/>
        <v>2243.2876712328766</v>
      </c>
      <c r="O56" s="23">
        <f t="shared" si="51"/>
        <v>2243.2876712328766</v>
      </c>
      <c r="P56" s="23">
        <f t="shared" si="51"/>
        <v>2243.2876712328766</v>
      </c>
      <c r="Q56" s="23">
        <f t="shared" si="51"/>
        <v>2243.2876712328766</v>
      </c>
      <c r="R56" s="23">
        <f t="shared" si="51"/>
        <v>2243.2876712328766</v>
      </c>
      <c r="S56" s="23">
        <f t="shared" si="51"/>
        <v>2243.2876712328766</v>
      </c>
      <c r="T56" s="23">
        <f t="shared" si="51"/>
        <v>2243.2876712328766</v>
      </c>
      <c r="U56" s="23">
        <f t="shared" si="51"/>
        <v>2243.2876712328766</v>
      </c>
      <c r="V56" s="23">
        <f t="shared" si="51"/>
        <v>2243.2876712328766</v>
      </c>
      <c r="W56" s="23">
        <f t="shared" si="51"/>
        <v>2243.2876712328766</v>
      </c>
      <c r="X56" s="23">
        <f t="shared" si="51"/>
        <v>2243.2876712328766</v>
      </c>
      <c r="Y56" s="23">
        <f t="shared" si="51"/>
        <v>2243.2876712328766</v>
      </c>
      <c r="Z56" s="23">
        <f t="shared" si="51"/>
        <v>2243.2876712328766</v>
      </c>
      <c r="AA56" s="23">
        <f t="shared" si="51"/>
        <v>2243.2876712328766</v>
      </c>
      <c r="AB56" s="23">
        <f t="shared" si="51"/>
        <v>2243.2876712328766</v>
      </c>
    </row>
    <row r="57" spans="1:28" ht="15.75" customHeight="1" x14ac:dyDescent="0.3">
      <c r="A57" s="12">
        <f>RAW!$A$17</f>
        <v>1638000</v>
      </c>
      <c r="B57" s="2"/>
      <c r="C57" s="24" t="s">
        <v>30</v>
      </c>
      <c r="D57" s="23">
        <f t="shared" si="40"/>
        <v>4487.6712328767126</v>
      </c>
      <c r="E57" s="2"/>
      <c r="F57" s="24" t="s">
        <v>30</v>
      </c>
      <c r="G57" s="23">
        <f t="shared" ref="G57:AB57" si="52">($A57/G$5)/365</f>
        <v>498.63013698630135</v>
      </c>
      <c r="H57" s="23">
        <f t="shared" si="52"/>
        <v>1121.9178082191781</v>
      </c>
      <c r="I57" s="23">
        <f t="shared" si="52"/>
        <v>641.09589041095887</v>
      </c>
      <c r="J57" s="23">
        <f t="shared" si="52"/>
        <v>897.53424657534242</v>
      </c>
      <c r="K57" s="23">
        <f t="shared" si="52"/>
        <v>747.94520547945206</v>
      </c>
      <c r="L57" s="23">
        <f t="shared" si="52"/>
        <v>4487.6712328767126</v>
      </c>
      <c r="M57" s="23">
        <f t="shared" si="52"/>
        <v>4487.6712328767126</v>
      </c>
      <c r="N57" s="23">
        <f t="shared" si="52"/>
        <v>4487.6712328767126</v>
      </c>
      <c r="O57" s="23">
        <f t="shared" si="52"/>
        <v>4487.6712328767126</v>
      </c>
      <c r="P57" s="23">
        <f t="shared" si="52"/>
        <v>4487.6712328767126</v>
      </c>
      <c r="Q57" s="23">
        <f t="shared" si="52"/>
        <v>4487.6712328767126</v>
      </c>
      <c r="R57" s="23">
        <f t="shared" si="52"/>
        <v>4487.6712328767126</v>
      </c>
      <c r="S57" s="23">
        <f t="shared" si="52"/>
        <v>4487.6712328767126</v>
      </c>
      <c r="T57" s="23">
        <f t="shared" si="52"/>
        <v>4487.6712328767126</v>
      </c>
      <c r="U57" s="23">
        <f t="shared" si="52"/>
        <v>4487.6712328767126</v>
      </c>
      <c r="V57" s="23">
        <f t="shared" si="52"/>
        <v>4487.6712328767126</v>
      </c>
      <c r="W57" s="23">
        <f t="shared" si="52"/>
        <v>4487.6712328767126</v>
      </c>
      <c r="X57" s="23">
        <f t="shared" si="52"/>
        <v>4487.6712328767126</v>
      </c>
      <c r="Y57" s="23">
        <f t="shared" si="52"/>
        <v>4487.6712328767126</v>
      </c>
      <c r="Z57" s="23">
        <f t="shared" si="52"/>
        <v>4487.6712328767126</v>
      </c>
      <c r="AA57" s="23">
        <f t="shared" si="52"/>
        <v>4487.6712328767126</v>
      </c>
      <c r="AB57" s="23">
        <f t="shared" si="52"/>
        <v>4487.6712328767126</v>
      </c>
    </row>
    <row r="58" spans="1:28" ht="15.75" customHeight="1" x14ac:dyDescent="0.3">
      <c r="A58" s="12">
        <f>RAW!$A$18</f>
        <v>3276400</v>
      </c>
      <c r="B58" s="2"/>
      <c r="C58" s="24" t="s">
        <v>31</v>
      </c>
      <c r="D58" s="23">
        <f t="shared" si="40"/>
        <v>8976.4383561643845</v>
      </c>
      <c r="E58" s="2"/>
      <c r="F58" s="24" t="s">
        <v>31</v>
      </c>
      <c r="G58" s="23">
        <f t="shared" ref="G58:AB58" si="53">($A58/G$5)/365</f>
        <v>997.38203957382041</v>
      </c>
      <c r="H58" s="23">
        <f t="shared" si="53"/>
        <v>2244.1095890410961</v>
      </c>
      <c r="I58" s="23">
        <f t="shared" si="53"/>
        <v>1282.3483365949119</v>
      </c>
      <c r="J58" s="23">
        <f t="shared" si="53"/>
        <v>1795.2876712328766</v>
      </c>
      <c r="K58" s="23">
        <f t="shared" si="53"/>
        <v>1496.0730593607304</v>
      </c>
      <c r="L58" s="23">
        <f t="shared" si="53"/>
        <v>8976.4383561643845</v>
      </c>
      <c r="M58" s="23">
        <f t="shared" si="53"/>
        <v>8976.4383561643845</v>
      </c>
      <c r="N58" s="23">
        <f t="shared" si="53"/>
        <v>8976.4383561643845</v>
      </c>
      <c r="O58" s="23">
        <f t="shared" si="53"/>
        <v>8976.4383561643845</v>
      </c>
      <c r="P58" s="23">
        <f t="shared" si="53"/>
        <v>8976.4383561643845</v>
      </c>
      <c r="Q58" s="23">
        <f t="shared" si="53"/>
        <v>8976.4383561643845</v>
      </c>
      <c r="R58" s="23">
        <f t="shared" si="53"/>
        <v>8976.4383561643845</v>
      </c>
      <c r="S58" s="23">
        <f t="shared" si="53"/>
        <v>8976.4383561643845</v>
      </c>
      <c r="T58" s="23">
        <f t="shared" si="53"/>
        <v>8976.4383561643845</v>
      </c>
      <c r="U58" s="23">
        <f t="shared" si="53"/>
        <v>8976.4383561643845</v>
      </c>
      <c r="V58" s="23">
        <f t="shared" si="53"/>
        <v>8976.4383561643845</v>
      </c>
      <c r="W58" s="23">
        <f t="shared" si="53"/>
        <v>8976.4383561643845</v>
      </c>
      <c r="X58" s="23">
        <f t="shared" si="53"/>
        <v>8976.4383561643845</v>
      </c>
      <c r="Y58" s="23">
        <f t="shared" si="53"/>
        <v>8976.4383561643845</v>
      </c>
      <c r="Z58" s="23">
        <f t="shared" si="53"/>
        <v>8976.4383561643845</v>
      </c>
      <c r="AA58" s="23">
        <f t="shared" si="53"/>
        <v>8976.4383561643845</v>
      </c>
      <c r="AB58" s="23">
        <f t="shared" si="53"/>
        <v>8976.4383561643845</v>
      </c>
    </row>
    <row r="59" spans="1:28" ht="15.75" customHeight="1" x14ac:dyDescent="0.3">
      <c r="A59" s="12">
        <f>RAW!$A$19</f>
        <v>6553200</v>
      </c>
      <c r="B59" s="2"/>
      <c r="C59" s="24" t="s">
        <v>32</v>
      </c>
      <c r="D59" s="23">
        <f t="shared" si="40"/>
        <v>17953.972602739726</v>
      </c>
      <c r="E59" s="2"/>
      <c r="F59" s="24" t="s">
        <v>32</v>
      </c>
      <c r="G59" s="23">
        <f t="shared" ref="G59:AB59" si="54">($A59/G$5)/365</f>
        <v>1994.8858447488585</v>
      </c>
      <c r="H59" s="23">
        <f t="shared" si="54"/>
        <v>4488.4931506849316</v>
      </c>
      <c r="I59" s="23">
        <f t="shared" si="54"/>
        <v>2564.8532289628179</v>
      </c>
      <c r="J59" s="23">
        <f t="shared" si="54"/>
        <v>3590.794520547945</v>
      </c>
      <c r="K59" s="23">
        <f t="shared" si="54"/>
        <v>2992.3287671232879</v>
      </c>
      <c r="L59" s="23">
        <f t="shared" si="54"/>
        <v>17953.972602739726</v>
      </c>
      <c r="M59" s="23">
        <f t="shared" si="54"/>
        <v>17953.972602739726</v>
      </c>
      <c r="N59" s="23">
        <f t="shared" si="54"/>
        <v>17953.972602739726</v>
      </c>
      <c r="O59" s="23">
        <f t="shared" si="54"/>
        <v>17953.972602739726</v>
      </c>
      <c r="P59" s="23">
        <f t="shared" si="54"/>
        <v>17953.972602739726</v>
      </c>
      <c r="Q59" s="23">
        <f t="shared" si="54"/>
        <v>17953.972602739726</v>
      </c>
      <c r="R59" s="23">
        <f t="shared" si="54"/>
        <v>17953.972602739726</v>
      </c>
      <c r="S59" s="23">
        <f t="shared" si="54"/>
        <v>17953.972602739726</v>
      </c>
      <c r="T59" s="23">
        <f t="shared" si="54"/>
        <v>17953.972602739726</v>
      </c>
      <c r="U59" s="23">
        <f t="shared" si="54"/>
        <v>17953.972602739726</v>
      </c>
      <c r="V59" s="23">
        <f t="shared" si="54"/>
        <v>17953.972602739726</v>
      </c>
      <c r="W59" s="23">
        <f t="shared" si="54"/>
        <v>17953.972602739726</v>
      </c>
      <c r="X59" s="23">
        <f t="shared" si="54"/>
        <v>17953.972602739726</v>
      </c>
      <c r="Y59" s="23">
        <f t="shared" si="54"/>
        <v>17953.972602739726</v>
      </c>
      <c r="Z59" s="23">
        <f t="shared" si="54"/>
        <v>17953.972602739726</v>
      </c>
      <c r="AA59" s="23">
        <f t="shared" si="54"/>
        <v>17953.972602739726</v>
      </c>
      <c r="AB59" s="23">
        <f t="shared" si="54"/>
        <v>17953.972602739726</v>
      </c>
    </row>
    <row r="60" spans="1:28" ht="15.75" customHeight="1" x14ac:dyDescent="0.3">
      <c r="A60" s="12">
        <f>RAW!$A$20</f>
        <v>13106800</v>
      </c>
      <c r="B60" s="2"/>
      <c r="C60" s="24" t="s">
        <v>33</v>
      </c>
      <c r="D60" s="23">
        <f t="shared" si="40"/>
        <v>35909.04109589041</v>
      </c>
      <c r="E60" s="2"/>
      <c r="F60" s="24" t="s">
        <v>33</v>
      </c>
      <c r="G60" s="23">
        <f t="shared" ref="G60:AB60" si="55">($A60/G$5)/365</f>
        <v>3989.8934550989343</v>
      </c>
      <c r="H60" s="23">
        <f t="shared" si="55"/>
        <v>8977.2602739726026</v>
      </c>
      <c r="I60" s="23">
        <f t="shared" si="55"/>
        <v>5129.8630136986303</v>
      </c>
      <c r="J60" s="23">
        <f t="shared" si="55"/>
        <v>7181.8082191780823</v>
      </c>
      <c r="K60" s="23">
        <f t="shared" si="55"/>
        <v>5984.8401826484014</v>
      </c>
      <c r="L60" s="23">
        <f t="shared" si="55"/>
        <v>35909.04109589041</v>
      </c>
      <c r="M60" s="23">
        <f t="shared" si="55"/>
        <v>35909.04109589041</v>
      </c>
      <c r="N60" s="23">
        <f t="shared" si="55"/>
        <v>35909.04109589041</v>
      </c>
      <c r="O60" s="23">
        <f t="shared" si="55"/>
        <v>35909.04109589041</v>
      </c>
      <c r="P60" s="23">
        <f t="shared" si="55"/>
        <v>35909.04109589041</v>
      </c>
      <c r="Q60" s="23">
        <f t="shared" si="55"/>
        <v>35909.04109589041</v>
      </c>
      <c r="R60" s="23">
        <f t="shared" si="55"/>
        <v>35909.04109589041</v>
      </c>
      <c r="S60" s="23">
        <f t="shared" si="55"/>
        <v>35909.04109589041</v>
      </c>
      <c r="T60" s="23">
        <f t="shared" si="55"/>
        <v>35909.04109589041</v>
      </c>
      <c r="U60" s="23">
        <f t="shared" si="55"/>
        <v>35909.04109589041</v>
      </c>
      <c r="V60" s="23">
        <f t="shared" si="55"/>
        <v>35909.04109589041</v>
      </c>
      <c r="W60" s="23">
        <f t="shared" si="55"/>
        <v>35909.04109589041</v>
      </c>
      <c r="X60" s="23">
        <f t="shared" si="55"/>
        <v>35909.04109589041</v>
      </c>
      <c r="Y60" s="23">
        <f t="shared" si="55"/>
        <v>35909.04109589041</v>
      </c>
      <c r="Z60" s="23">
        <f t="shared" si="55"/>
        <v>35909.04109589041</v>
      </c>
      <c r="AA60" s="23">
        <f t="shared" si="55"/>
        <v>35909.04109589041</v>
      </c>
      <c r="AB60" s="23">
        <f t="shared" si="55"/>
        <v>35909.04109589041</v>
      </c>
    </row>
    <row r="61" spans="1:28" ht="15.75" customHeight="1" x14ac:dyDescent="0.3">
      <c r="A61" s="12">
        <f>RAW!$A$21</f>
        <v>26214000</v>
      </c>
      <c r="B61" s="2"/>
      <c r="C61" s="24" t="s">
        <v>34</v>
      </c>
      <c r="D61" s="23">
        <f t="shared" si="40"/>
        <v>71819.178082191778</v>
      </c>
      <c r="E61" s="2"/>
      <c r="F61" s="24" t="s">
        <v>34</v>
      </c>
      <c r="G61" s="23">
        <f t="shared" ref="G61:AB61" si="56">($A61/G$5)/365</f>
        <v>7979.9086757990863</v>
      </c>
      <c r="H61" s="23">
        <f t="shared" si="56"/>
        <v>17954.794520547945</v>
      </c>
      <c r="I61" s="23">
        <f t="shared" si="56"/>
        <v>10259.882583170254</v>
      </c>
      <c r="J61" s="23">
        <f t="shared" si="56"/>
        <v>14363.835616438357</v>
      </c>
      <c r="K61" s="23">
        <f t="shared" si="56"/>
        <v>11969.86301369863</v>
      </c>
      <c r="L61" s="23">
        <f t="shared" si="56"/>
        <v>71819.178082191778</v>
      </c>
      <c r="M61" s="23">
        <f t="shared" si="56"/>
        <v>71819.178082191778</v>
      </c>
      <c r="N61" s="23">
        <f t="shared" si="56"/>
        <v>71819.178082191778</v>
      </c>
      <c r="O61" s="23">
        <f t="shared" si="56"/>
        <v>71819.178082191778</v>
      </c>
      <c r="P61" s="23">
        <f t="shared" si="56"/>
        <v>71819.178082191778</v>
      </c>
      <c r="Q61" s="23">
        <f t="shared" si="56"/>
        <v>71819.178082191778</v>
      </c>
      <c r="R61" s="23">
        <f t="shared" si="56"/>
        <v>71819.178082191778</v>
      </c>
      <c r="S61" s="23">
        <f t="shared" si="56"/>
        <v>71819.178082191778</v>
      </c>
      <c r="T61" s="23">
        <f t="shared" si="56"/>
        <v>71819.178082191778</v>
      </c>
      <c r="U61" s="23">
        <f t="shared" si="56"/>
        <v>71819.178082191778</v>
      </c>
      <c r="V61" s="23">
        <f t="shared" si="56"/>
        <v>71819.178082191778</v>
      </c>
      <c r="W61" s="23">
        <f t="shared" si="56"/>
        <v>71819.178082191778</v>
      </c>
      <c r="X61" s="23">
        <f t="shared" si="56"/>
        <v>71819.178082191778</v>
      </c>
      <c r="Y61" s="23">
        <f t="shared" si="56"/>
        <v>71819.178082191778</v>
      </c>
      <c r="Z61" s="23">
        <f t="shared" si="56"/>
        <v>71819.178082191778</v>
      </c>
      <c r="AA61" s="23">
        <f t="shared" si="56"/>
        <v>71819.178082191778</v>
      </c>
      <c r="AB61" s="23">
        <f t="shared" si="56"/>
        <v>71819.178082191778</v>
      </c>
    </row>
    <row r="62" spans="1:28" ht="15.75" customHeight="1" x14ac:dyDescent="0.3">
      <c r="A62" s="12">
        <f>RAW!$A$22</f>
        <v>52428400</v>
      </c>
      <c r="B62" s="2"/>
      <c r="C62" s="24" t="s">
        <v>35</v>
      </c>
      <c r="D62" s="23">
        <f t="shared" si="40"/>
        <v>143639.45205479453</v>
      </c>
      <c r="E62" s="2"/>
      <c r="F62" s="24" t="s">
        <v>35</v>
      </c>
      <c r="G62" s="23">
        <f t="shared" ref="G62:AB62" si="57">($A62/G$5)/365</f>
        <v>15959.939117199392</v>
      </c>
      <c r="H62" s="23">
        <f t="shared" si="57"/>
        <v>35909.863013698632</v>
      </c>
      <c r="I62" s="23">
        <f t="shared" si="57"/>
        <v>20519.9217221135</v>
      </c>
      <c r="J62" s="23">
        <f t="shared" si="57"/>
        <v>28727.890410958906</v>
      </c>
      <c r="K62" s="23">
        <f t="shared" si="57"/>
        <v>23939.908675799084</v>
      </c>
      <c r="L62" s="23">
        <f t="shared" si="57"/>
        <v>143639.45205479453</v>
      </c>
      <c r="M62" s="23">
        <f t="shared" si="57"/>
        <v>143639.45205479453</v>
      </c>
      <c r="N62" s="23">
        <f t="shared" si="57"/>
        <v>143639.45205479453</v>
      </c>
      <c r="O62" s="23">
        <f t="shared" si="57"/>
        <v>143639.45205479453</v>
      </c>
      <c r="P62" s="23">
        <f t="shared" si="57"/>
        <v>143639.45205479453</v>
      </c>
      <c r="Q62" s="23">
        <f t="shared" si="57"/>
        <v>143639.45205479453</v>
      </c>
      <c r="R62" s="23">
        <f t="shared" si="57"/>
        <v>143639.45205479453</v>
      </c>
      <c r="S62" s="23">
        <f t="shared" si="57"/>
        <v>143639.45205479453</v>
      </c>
      <c r="T62" s="23">
        <f t="shared" si="57"/>
        <v>143639.45205479453</v>
      </c>
      <c r="U62" s="23">
        <f t="shared" si="57"/>
        <v>143639.45205479453</v>
      </c>
      <c r="V62" s="23">
        <f t="shared" si="57"/>
        <v>143639.45205479453</v>
      </c>
      <c r="W62" s="23">
        <f t="shared" si="57"/>
        <v>143639.45205479453</v>
      </c>
      <c r="X62" s="23">
        <f t="shared" si="57"/>
        <v>143639.45205479453</v>
      </c>
      <c r="Y62" s="23">
        <f t="shared" si="57"/>
        <v>143639.45205479453</v>
      </c>
      <c r="Z62" s="23">
        <f t="shared" si="57"/>
        <v>143639.45205479453</v>
      </c>
      <c r="AA62" s="23">
        <f t="shared" si="57"/>
        <v>143639.45205479453</v>
      </c>
      <c r="AB62" s="23">
        <f t="shared" si="57"/>
        <v>143639.45205479453</v>
      </c>
    </row>
    <row r="63" spans="1:28" ht="15.75" customHeight="1" x14ac:dyDescent="0.3">
      <c r="B63" s="2"/>
      <c r="E63" s="2"/>
    </row>
    <row r="64" spans="1:28" ht="15.75" customHeight="1" x14ac:dyDescent="0.3">
      <c r="B64" s="2"/>
      <c r="E64" s="2"/>
    </row>
    <row r="65" spans="2:5" ht="15.75" customHeight="1" x14ac:dyDescent="0.3">
      <c r="B65" s="2"/>
      <c r="E65" s="2"/>
    </row>
    <row r="66" spans="2:5" ht="15.75" customHeight="1" x14ac:dyDescent="0.3">
      <c r="B66" s="2"/>
      <c r="E66" s="2"/>
    </row>
    <row r="67" spans="2:5" ht="15.75" customHeight="1" x14ac:dyDescent="0.3">
      <c r="B67" s="2"/>
      <c r="E67" s="2"/>
    </row>
    <row r="68" spans="2:5" ht="15.75" customHeight="1" x14ac:dyDescent="0.3">
      <c r="B68" s="2"/>
      <c r="E68" s="2"/>
    </row>
    <row r="69" spans="2:5" ht="15.75" customHeight="1" x14ac:dyDescent="0.3">
      <c r="B69" s="2"/>
      <c r="E69" s="2"/>
    </row>
    <row r="70" spans="2:5" ht="15.75" customHeight="1" x14ac:dyDescent="0.3">
      <c r="B70" s="2"/>
      <c r="E70" s="2"/>
    </row>
    <row r="71" spans="2:5" ht="15.75" customHeight="1" x14ac:dyDescent="0.3">
      <c r="B71" s="2"/>
      <c r="E71" s="2"/>
    </row>
    <row r="72" spans="2:5" ht="15.75" customHeight="1" x14ac:dyDescent="0.3">
      <c r="B72" s="2"/>
      <c r="E72" s="2"/>
    </row>
    <row r="73" spans="2:5" ht="15.75" customHeight="1" x14ac:dyDescent="0.3">
      <c r="B73" s="2"/>
      <c r="E73" s="2"/>
    </row>
    <row r="74" spans="2:5" ht="15.75" customHeight="1" x14ac:dyDescent="0.3">
      <c r="B74" s="2"/>
      <c r="E74" s="2"/>
    </row>
    <row r="75" spans="2:5" ht="15.75" customHeight="1" x14ac:dyDescent="0.3">
      <c r="B75" s="2"/>
      <c r="E75" s="2"/>
    </row>
    <row r="76" spans="2:5" ht="15.75" customHeight="1" x14ac:dyDescent="0.3">
      <c r="B76" s="2"/>
      <c r="E76" s="2"/>
    </row>
    <row r="77" spans="2:5" ht="15.75" customHeight="1" x14ac:dyDescent="0.3">
      <c r="B77" s="2"/>
      <c r="E77" s="2"/>
    </row>
    <row r="78" spans="2:5" ht="15.75" customHeight="1" x14ac:dyDescent="0.3">
      <c r="B78" s="2"/>
      <c r="E78" s="2"/>
    </row>
    <row r="79" spans="2:5" ht="15.75" customHeight="1" x14ac:dyDescent="0.3">
      <c r="B79" s="2"/>
      <c r="E79" s="2"/>
    </row>
    <row r="80" spans="2:5" ht="15.75" customHeight="1" x14ac:dyDescent="0.3">
      <c r="B80" s="2"/>
      <c r="E80" s="2"/>
    </row>
    <row r="81" spans="2:5" ht="15.75" customHeight="1" x14ac:dyDescent="0.3">
      <c r="B81" s="2"/>
      <c r="E81" s="2"/>
    </row>
    <row r="82" spans="2:5" ht="15.75" customHeight="1" x14ac:dyDescent="0.3">
      <c r="B82" s="2"/>
      <c r="E82" s="2"/>
    </row>
    <row r="83" spans="2:5" ht="15.75" customHeight="1" x14ac:dyDescent="0.3">
      <c r="B83" s="2"/>
      <c r="E83" s="2"/>
    </row>
    <row r="84" spans="2:5" ht="15.75" customHeight="1" x14ac:dyDescent="0.3">
      <c r="B84" s="2"/>
      <c r="E84" s="2"/>
    </row>
    <row r="85" spans="2:5" ht="15.75" customHeight="1" x14ac:dyDescent="0.3">
      <c r="B85" s="2"/>
      <c r="E85" s="2"/>
    </row>
    <row r="86" spans="2:5" ht="15.75" customHeight="1" x14ac:dyDescent="0.3">
      <c r="B86" s="2"/>
      <c r="E86" s="2"/>
    </row>
    <row r="87" spans="2:5" ht="15.75" customHeight="1" x14ac:dyDescent="0.3">
      <c r="B87" s="2"/>
      <c r="E87" s="2"/>
    </row>
    <row r="88" spans="2:5" ht="15.75" customHeight="1" x14ac:dyDescent="0.3">
      <c r="B88" s="2"/>
      <c r="E88" s="2"/>
    </row>
    <row r="89" spans="2:5" ht="15.75" customHeight="1" x14ac:dyDescent="0.3">
      <c r="B89" s="2"/>
      <c r="E89" s="2"/>
    </row>
    <row r="90" spans="2:5" ht="15.75" customHeight="1" x14ac:dyDescent="0.3">
      <c r="B90" s="2"/>
      <c r="E90" s="2"/>
    </row>
    <row r="91" spans="2:5" ht="15.75" customHeight="1" x14ac:dyDescent="0.3">
      <c r="B91" s="2"/>
      <c r="E91" s="2"/>
    </row>
    <row r="92" spans="2:5" ht="15.75" customHeight="1" x14ac:dyDescent="0.3">
      <c r="B92" s="2"/>
      <c r="E92" s="2"/>
    </row>
    <row r="93" spans="2:5" ht="15.75" customHeight="1" x14ac:dyDescent="0.3">
      <c r="B93" s="2"/>
      <c r="E93" s="2"/>
    </row>
    <row r="94" spans="2:5" ht="15.75" customHeight="1" x14ac:dyDescent="0.3">
      <c r="B94" s="2"/>
      <c r="E94" s="2"/>
    </row>
    <row r="95" spans="2:5" ht="15.75" customHeight="1" x14ac:dyDescent="0.3">
      <c r="B95" s="2"/>
      <c r="E95" s="2"/>
    </row>
    <row r="96" spans="2:5" ht="15.75" customHeight="1" x14ac:dyDescent="0.3">
      <c r="B96" s="2"/>
      <c r="E96" s="2"/>
    </row>
    <row r="97" spans="2:5" ht="15.75" customHeight="1" x14ac:dyDescent="0.3">
      <c r="B97" s="2"/>
      <c r="E97" s="2"/>
    </row>
    <row r="98" spans="2:5" ht="15.75" customHeight="1" x14ac:dyDescent="0.3">
      <c r="B98" s="2"/>
      <c r="E98" s="2"/>
    </row>
    <row r="99" spans="2:5" ht="15.75" customHeight="1" x14ac:dyDescent="0.3">
      <c r="B99" s="2"/>
      <c r="E99" s="2"/>
    </row>
    <row r="100" spans="2:5" ht="15.75" customHeight="1" x14ac:dyDescent="0.3">
      <c r="B100" s="2"/>
      <c r="E100" s="2"/>
    </row>
    <row r="101" spans="2:5" ht="15.75" customHeight="1" x14ac:dyDescent="0.3">
      <c r="B101" s="2"/>
      <c r="E101" s="2"/>
    </row>
    <row r="102" spans="2:5" ht="15.75" customHeight="1" x14ac:dyDescent="0.3">
      <c r="B102" s="2"/>
      <c r="E102" s="2"/>
    </row>
    <row r="103" spans="2:5" ht="15.75" customHeight="1" x14ac:dyDescent="0.3">
      <c r="B103" s="2"/>
      <c r="E103" s="2"/>
    </row>
    <row r="104" spans="2:5" ht="15.75" customHeight="1" x14ac:dyDescent="0.3">
      <c r="B104" s="2"/>
      <c r="E104" s="2"/>
    </row>
    <row r="105" spans="2:5" ht="15.75" customHeight="1" x14ac:dyDescent="0.3">
      <c r="B105" s="2"/>
      <c r="E105" s="2"/>
    </row>
    <row r="106" spans="2:5" ht="15.75" customHeight="1" x14ac:dyDescent="0.3">
      <c r="B106" s="2"/>
      <c r="E106" s="2"/>
    </row>
    <row r="107" spans="2:5" ht="15.75" customHeight="1" x14ac:dyDescent="0.3">
      <c r="B107" s="2"/>
      <c r="E107" s="2"/>
    </row>
    <row r="108" spans="2:5" ht="15.75" customHeight="1" x14ac:dyDescent="0.3">
      <c r="B108" s="2"/>
      <c r="E108" s="2"/>
    </row>
    <row r="109" spans="2:5" ht="15.75" customHeight="1" x14ac:dyDescent="0.3">
      <c r="B109" s="2"/>
      <c r="E109" s="2"/>
    </row>
    <row r="110" spans="2:5" ht="15.75" customHeight="1" x14ac:dyDescent="0.3">
      <c r="B110" s="2"/>
      <c r="E110" s="2"/>
    </row>
    <row r="111" spans="2:5" ht="15.75" customHeight="1" x14ac:dyDescent="0.3">
      <c r="B111" s="2"/>
      <c r="E111" s="2"/>
    </row>
    <row r="112" spans="2:5" ht="15.75" customHeight="1" x14ac:dyDescent="0.3">
      <c r="B112" s="2"/>
      <c r="E112" s="2"/>
    </row>
    <row r="113" spans="2:5" ht="15.75" customHeight="1" x14ac:dyDescent="0.3">
      <c r="B113" s="2"/>
      <c r="E113" s="2"/>
    </row>
    <row r="114" spans="2:5" ht="15.75" customHeight="1" x14ac:dyDescent="0.3">
      <c r="B114" s="2"/>
      <c r="E114" s="2"/>
    </row>
    <row r="115" spans="2:5" ht="15.75" customHeight="1" x14ac:dyDescent="0.3">
      <c r="B115" s="2"/>
      <c r="E115" s="2"/>
    </row>
    <row r="116" spans="2:5" ht="15.75" customHeight="1" x14ac:dyDescent="0.3">
      <c r="B116" s="2"/>
      <c r="E116" s="2"/>
    </row>
    <row r="117" spans="2:5" ht="15.75" customHeight="1" x14ac:dyDescent="0.3">
      <c r="B117" s="2"/>
      <c r="E117" s="2"/>
    </row>
    <row r="118" spans="2:5" ht="15.75" customHeight="1" x14ac:dyDescent="0.3">
      <c r="B118" s="2"/>
      <c r="E118" s="2"/>
    </row>
    <row r="119" spans="2:5" ht="15.75" customHeight="1" x14ac:dyDescent="0.3">
      <c r="B119" s="2"/>
      <c r="E119" s="2"/>
    </row>
    <row r="120" spans="2:5" ht="15.75" customHeight="1" x14ac:dyDescent="0.3">
      <c r="B120" s="2"/>
      <c r="E120" s="2"/>
    </row>
    <row r="121" spans="2:5" ht="15.75" customHeight="1" x14ac:dyDescent="0.3">
      <c r="B121" s="2"/>
      <c r="E121" s="2"/>
    </row>
    <row r="122" spans="2:5" ht="15.75" customHeight="1" x14ac:dyDescent="0.3">
      <c r="B122" s="2"/>
      <c r="E122" s="2"/>
    </row>
    <row r="123" spans="2:5" ht="15.75" customHeight="1" x14ac:dyDescent="0.3">
      <c r="B123" s="2"/>
      <c r="E123" s="2"/>
    </row>
    <row r="124" spans="2:5" ht="15.75" customHeight="1" x14ac:dyDescent="0.3">
      <c r="B124" s="2"/>
      <c r="E124" s="2"/>
    </row>
    <row r="125" spans="2:5" ht="15.75" customHeight="1" x14ac:dyDescent="0.3">
      <c r="B125" s="2"/>
      <c r="E125" s="2"/>
    </row>
    <row r="126" spans="2:5" ht="15.75" customHeight="1" x14ac:dyDescent="0.3">
      <c r="B126" s="2"/>
      <c r="E126" s="2"/>
    </row>
    <row r="127" spans="2:5" ht="15.75" customHeight="1" x14ac:dyDescent="0.3">
      <c r="B127" s="2"/>
      <c r="E127" s="2"/>
    </row>
    <row r="128" spans="2:5" ht="15.75" customHeight="1" x14ac:dyDescent="0.3">
      <c r="B128" s="2"/>
      <c r="E128" s="2"/>
    </row>
    <row r="129" spans="2:5" ht="15.75" customHeight="1" x14ac:dyDescent="0.3">
      <c r="B129" s="2"/>
      <c r="E129" s="2"/>
    </row>
    <row r="130" spans="2:5" ht="15.75" customHeight="1" x14ac:dyDescent="0.3">
      <c r="B130" s="2"/>
      <c r="E130" s="2"/>
    </row>
    <row r="131" spans="2:5" ht="15.75" customHeight="1" x14ac:dyDescent="0.3">
      <c r="B131" s="2"/>
      <c r="E131" s="2"/>
    </row>
    <row r="132" spans="2:5" ht="15.75" customHeight="1" x14ac:dyDescent="0.3">
      <c r="B132" s="2"/>
      <c r="E132" s="2"/>
    </row>
    <row r="133" spans="2:5" ht="15.75" customHeight="1" x14ac:dyDescent="0.3">
      <c r="B133" s="2"/>
      <c r="E133" s="2"/>
    </row>
    <row r="134" spans="2:5" ht="15.75" customHeight="1" x14ac:dyDescent="0.3">
      <c r="B134" s="2"/>
      <c r="E134" s="2"/>
    </row>
    <row r="135" spans="2:5" ht="15.75" customHeight="1" x14ac:dyDescent="0.3">
      <c r="B135" s="2"/>
      <c r="E135" s="2"/>
    </row>
    <row r="136" spans="2:5" ht="15.75" customHeight="1" x14ac:dyDescent="0.3">
      <c r="B136" s="2"/>
      <c r="E136" s="2"/>
    </row>
    <row r="137" spans="2:5" ht="15.75" customHeight="1" x14ac:dyDescent="0.3">
      <c r="B137" s="2"/>
      <c r="E137" s="2"/>
    </row>
    <row r="138" spans="2:5" ht="15.75" customHeight="1" x14ac:dyDescent="0.3">
      <c r="B138" s="2"/>
      <c r="E138" s="2"/>
    </row>
    <row r="139" spans="2:5" ht="15.75" customHeight="1" x14ac:dyDescent="0.3">
      <c r="B139" s="2"/>
      <c r="E139" s="2"/>
    </row>
    <row r="140" spans="2:5" ht="15.75" customHeight="1" x14ac:dyDescent="0.3">
      <c r="B140" s="2"/>
      <c r="E140" s="2"/>
    </row>
    <row r="141" spans="2:5" ht="15.75" customHeight="1" x14ac:dyDescent="0.3">
      <c r="B141" s="2"/>
      <c r="E141" s="2"/>
    </row>
    <row r="142" spans="2:5" ht="15.75" customHeight="1" x14ac:dyDescent="0.3">
      <c r="B142" s="2"/>
      <c r="E142" s="2"/>
    </row>
    <row r="143" spans="2:5" ht="15.75" customHeight="1" x14ac:dyDescent="0.3">
      <c r="B143" s="2"/>
      <c r="E143" s="2"/>
    </row>
    <row r="144" spans="2:5" ht="15.75" customHeight="1" x14ac:dyDescent="0.3">
      <c r="B144" s="2"/>
      <c r="E144" s="2"/>
    </row>
    <row r="145" spans="2:5" ht="15.75" customHeight="1" x14ac:dyDescent="0.3">
      <c r="B145" s="2"/>
      <c r="E145" s="2"/>
    </row>
    <row r="146" spans="2:5" ht="15.75" customHeight="1" x14ac:dyDescent="0.3">
      <c r="B146" s="2"/>
      <c r="E146" s="2"/>
    </row>
    <row r="147" spans="2:5" ht="15.75" customHeight="1" x14ac:dyDescent="0.3">
      <c r="B147" s="2"/>
      <c r="E147" s="2"/>
    </row>
    <row r="148" spans="2:5" ht="15.75" customHeight="1" x14ac:dyDescent="0.3">
      <c r="B148" s="2"/>
      <c r="E148" s="2"/>
    </row>
    <row r="149" spans="2:5" ht="15.75" customHeight="1" x14ac:dyDescent="0.3">
      <c r="B149" s="2"/>
      <c r="E149" s="2"/>
    </row>
    <row r="150" spans="2:5" ht="15.75" customHeight="1" x14ac:dyDescent="0.3">
      <c r="B150" s="2"/>
      <c r="E150" s="2"/>
    </row>
    <row r="151" spans="2:5" ht="15.75" customHeight="1" x14ac:dyDescent="0.3">
      <c r="B151" s="2"/>
      <c r="E151" s="2"/>
    </row>
    <row r="152" spans="2:5" ht="15.75" customHeight="1" x14ac:dyDescent="0.3">
      <c r="B152" s="2"/>
      <c r="E152" s="2"/>
    </row>
    <row r="153" spans="2:5" ht="15.75" customHeight="1" x14ac:dyDescent="0.3">
      <c r="B153" s="2"/>
      <c r="E153" s="2"/>
    </row>
    <row r="154" spans="2:5" ht="15.75" customHeight="1" x14ac:dyDescent="0.3">
      <c r="B154" s="2"/>
      <c r="E154" s="2"/>
    </row>
    <row r="155" spans="2:5" ht="15.75" customHeight="1" x14ac:dyDescent="0.3">
      <c r="B155" s="2"/>
      <c r="E155" s="2"/>
    </row>
    <row r="156" spans="2:5" ht="15.75" customHeight="1" x14ac:dyDescent="0.3">
      <c r="B156" s="2"/>
      <c r="E156" s="2"/>
    </row>
    <row r="157" spans="2:5" ht="15.75" customHeight="1" x14ac:dyDescent="0.3">
      <c r="B157" s="2"/>
      <c r="E157" s="2"/>
    </row>
    <row r="158" spans="2:5" ht="15.75" customHeight="1" x14ac:dyDescent="0.3">
      <c r="B158" s="2"/>
      <c r="E158" s="2"/>
    </row>
    <row r="159" spans="2:5" ht="15.75" customHeight="1" x14ac:dyDescent="0.3">
      <c r="B159" s="2"/>
      <c r="E159" s="2"/>
    </row>
    <row r="160" spans="2:5" ht="15.75" customHeight="1" x14ac:dyDescent="0.3">
      <c r="B160" s="2"/>
      <c r="E160" s="2"/>
    </row>
    <row r="161" spans="2:5" ht="15.75" customHeight="1" x14ac:dyDescent="0.3">
      <c r="B161" s="2"/>
      <c r="E161" s="2"/>
    </row>
    <row r="162" spans="2:5" ht="15.75" customHeight="1" x14ac:dyDescent="0.3">
      <c r="B162" s="2"/>
      <c r="E162" s="2"/>
    </row>
    <row r="163" spans="2:5" ht="15.75" customHeight="1" x14ac:dyDescent="0.3">
      <c r="B163" s="2"/>
      <c r="E163" s="2"/>
    </row>
    <row r="164" spans="2:5" ht="15.75" customHeight="1" x14ac:dyDescent="0.3">
      <c r="B164" s="2"/>
      <c r="E164" s="2"/>
    </row>
    <row r="165" spans="2:5" ht="15.75" customHeight="1" x14ac:dyDescent="0.3">
      <c r="B165" s="2"/>
      <c r="E165" s="2"/>
    </row>
    <row r="166" spans="2:5" ht="15.75" customHeight="1" x14ac:dyDescent="0.3">
      <c r="B166" s="2"/>
      <c r="E166" s="2"/>
    </row>
    <row r="167" spans="2:5" ht="15.75" customHeight="1" x14ac:dyDescent="0.3">
      <c r="B167" s="2"/>
      <c r="E167" s="2"/>
    </row>
    <row r="168" spans="2:5" ht="15.75" customHeight="1" x14ac:dyDescent="0.3">
      <c r="B168" s="2"/>
      <c r="E168" s="2"/>
    </row>
    <row r="169" spans="2:5" ht="15.75" customHeight="1" x14ac:dyDescent="0.3">
      <c r="B169" s="2"/>
      <c r="E169" s="2"/>
    </row>
    <row r="170" spans="2:5" ht="15.75" customHeight="1" x14ac:dyDescent="0.3">
      <c r="B170" s="2"/>
      <c r="E170" s="2"/>
    </row>
    <row r="171" spans="2:5" ht="15.75" customHeight="1" x14ac:dyDescent="0.3">
      <c r="B171" s="2"/>
      <c r="E171" s="2"/>
    </row>
    <row r="172" spans="2:5" ht="15.75" customHeight="1" x14ac:dyDescent="0.3">
      <c r="B172" s="2"/>
      <c r="E172" s="2"/>
    </row>
    <row r="173" spans="2:5" ht="15.75" customHeight="1" x14ac:dyDescent="0.3">
      <c r="B173" s="2"/>
      <c r="E173" s="2"/>
    </row>
    <row r="174" spans="2:5" ht="15.75" customHeight="1" x14ac:dyDescent="0.3">
      <c r="B174" s="2"/>
      <c r="E174" s="2"/>
    </row>
    <row r="175" spans="2:5" ht="15.75" customHeight="1" x14ac:dyDescent="0.3">
      <c r="B175" s="2"/>
      <c r="E175" s="2"/>
    </row>
    <row r="176" spans="2:5" ht="15.75" customHeight="1" x14ac:dyDescent="0.3">
      <c r="B176" s="2"/>
      <c r="E176" s="2"/>
    </row>
    <row r="177" spans="2:5" ht="15.75" customHeight="1" x14ac:dyDescent="0.3">
      <c r="B177" s="2"/>
      <c r="E177" s="2"/>
    </row>
    <row r="178" spans="2:5" ht="15.75" customHeight="1" x14ac:dyDescent="0.3">
      <c r="B178" s="2"/>
      <c r="E178" s="2"/>
    </row>
    <row r="179" spans="2:5" ht="15.75" customHeight="1" x14ac:dyDescent="0.3">
      <c r="B179" s="2"/>
      <c r="E179" s="2"/>
    </row>
    <row r="180" spans="2:5" ht="15.75" customHeight="1" x14ac:dyDescent="0.3">
      <c r="B180" s="2"/>
      <c r="E180" s="2"/>
    </row>
    <row r="181" spans="2:5" ht="15.75" customHeight="1" x14ac:dyDescent="0.3">
      <c r="B181" s="2"/>
      <c r="E181" s="2"/>
    </row>
    <row r="182" spans="2:5" ht="15.75" customHeight="1" x14ac:dyDescent="0.3">
      <c r="B182" s="2"/>
      <c r="E182" s="2"/>
    </row>
    <row r="183" spans="2:5" ht="15.75" customHeight="1" x14ac:dyDescent="0.3">
      <c r="B183" s="2"/>
      <c r="E183" s="2"/>
    </row>
    <row r="184" spans="2:5" ht="15.75" customHeight="1" x14ac:dyDescent="0.3">
      <c r="B184" s="2"/>
      <c r="E184" s="2"/>
    </row>
    <row r="185" spans="2:5" ht="15.75" customHeight="1" x14ac:dyDescent="0.3">
      <c r="B185" s="2"/>
      <c r="E185" s="2"/>
    </row>
    <row r="186" spans="2:5" ht="15.75" customHeight="1" x14ac:dyDescent="0.3">
      <c r="B186" s="2"/>
      <c r="E186" s="2"/>
    </row>
    <row r="187" spans="2:5" ht="15.75" customHeight="1" x14ac:dyDescent="0.3">
      <c r="B187" s="2"/>
      <c r="E187" s="2"/>
    </row>
    <row r="188" spans="2:5" ht="15.75" customHeight="1" x14ac:dyDescent="0.3">
      <c r="B188" s="2"/>
      <c r="E188" s="2"/>
    </row>
    <row r="189" spans="2:5" ht="15.75" customHeight="1" x14ac:dyDescent="0.3">
      <c r="B189" s="2"/>
      <c r="E189" s="2"/>
    </row>
    <row r="190" spans="2:5" ht="15.75" customHeight="1" x14ac:dyDescent="0.3">
      <c r="B190" s="2"/>
      <c r="E190" s="2"/>
    </row>
    <row r="191" spans="2:5" ht="15.75" customHeight="1" x14ac:dyDescent="0.3">
      <c r="B191" s="2"/>
      <c r="E191" s="2"/>
    </row>
    <row r="192" spans="2:5" ht="15.75" customHeight="1" x14ac:dyDescent="0.3">
      <c r="B192" s="2"/>
      <c r="E192" s="2"/>
    </row>
    <row r="193" spans="2:5" ht="15.75" customHeight="1" x14ac:dyDescent="0.3">
      <c r="B193" s="2"/>
      <c r="E193" s="2"/>
    </row>
    <row r="194" spans="2:5" ht="15.75" customHeight="1" x14ac:dyDescent="0.3">
      <c r="B194" s="2"/>
      <c r="E194" s="2"/>
    </row>
    <row r="195" spans="2:5" ht="15.75" customHeight="1" x14ac:dyDescent="0.3">
      <c r="B195" s="2"/>
      <c r="E195" s="2"/>
    </row>
    <row r="196" spans="2:5" ht="15.75" customHeight="1" x14ac:dyDescent="0.3">
      <c r="B196" s="2"/>
      <c r="E196" s="2"/>
    </row>
    <row r="197" spans="2:5" ht="15.75" customHeight="1" x14ac:dyDescent="0.3">
      <c r="B197" s="2"/>
      <c r="E197" s="2"/>
    </row>
    <row r="198" spans="2:5" ht="15.75" customHeight="1" x14ac:dyDescent="0.3">
      <c r="B198" s="2"/>
      <c r="E198" s="2"/>
    </row>
    <row r="199" spans="2:5" ht="15.75" customHeight="1" x14ac:dyDescent="0.3">
      <c r="B199" s="2"/>
      <c r="E199" s="2"/>
    </row>
    <row r="200" spans="2:5" ht="15.75" customHeight="1" x14ac:dyDescent="0.3">
      <c r="B200" s="2"/>
      <c r="E200" s="2"/>
    </row>
    <row r="201" spans="2:5" ht="15.75" customHeight="1" x14ac:dyDescent="0.3">
      <c r="B201" s="2"/>
      <c r="E201" s="2"/>
    </row>
    <row r="202" spans="2:5" ht="15.75" customHeight="1" x14ac:dyDescent="0.3">
      <c r="B202" s="2"/>
      <c r="E202" s="2"/>
    </row>
    <row r="203" spans="2:5" ht="15.75" customHeight="1" x14ac:dyDescent="0.3">
      <c r="B203" s="2"/>
      <c r="E203" s="2"/>
    </row>
    <row r="204" spans="2:5" ht="15.75" customHeight="1" x14ac:dyDescent="0.3">
      <c r="B204" s="2"/>
      <c r="E204" s="2"/>
    </row>
    <row r="205" spans="2:5" ht="15.75" customHeight="1" x14ac:dyDescent="0.3">
      <c r="B205" s="2"/>
      <c r="E205" s="2"/>
    </row>
    <row r="206" spans="2:5" ht="15.75" customHeight="1" x14ac:dyDescent="0.3">
      <c r="B206" s="2"/>
      <c r="E206" s="2"/>
    </row>
    <row r="207" spans="2:5" ht="15.75" customHeight="1" x14ac:dyDescent="0.3">
      <c r="B207" s="2"/>
      <c r="E207" s="2"/>
    </row>
    <row r="208" spans="2:5" ht="15.75" customHeight="1" x14ac:dyDescent="0.3">
      <c r="B208" s="2"/>
      <c r="E208" s="2"/>
    </row>
    <row r="209" spans="2:5" ht="15.75" customHeight="1" x14ac:dyDescent="0.3">
      <c r="B209" s="2"/>
      <c r="E209" s="2"/>
    </row>
    <row r="210" spans="2:5" ht="15.75" customHeight="1" x14ac:dyDescent="0.3">
      <c r="B210" s="2"/>
      <c r="E210" s="2"/>
    </row>
    <row r="211" spans="2:5" ht="15.75" customHeight="1" x14ac:dyDescent="0.3">
      <c r="B211" s="2"/>
      <c r="E211" s="2"/>
    </row>
    <row r="212" spans="2:5" ht="15.75" customHeight="1" x14ac:dyDescent="0.3">
      <c r="B212" s="2"/>
      <c r="E212" s="2"/>
    </row>
    <row r="213" spans="2:5" ht="15.75" customHeight="1" x14ac:dyDescent="0.3">
      <c r="B213" s="2"/>
      <c r="E213" s="2"/>
    </row>
    <row r="214" spans="2:5" ht="15.75" customHeight="1" x14ac:dyDescent="0.3">
      <c r="B214" s="2"/>
      <c r="E214" s="2"/>
    </row>
    <row r="215" spans="2:5" ht="15.75" customHeight="1" x14ac:dyDescent="0.3">
      <c r="B215" s="2"/>
      <c r="E215" s="2"/>
    </row>
    <row r="216" spans="2:5" ht="15.75" customHeight="1" x14ac:dyDescent="0.3">
      <c r="B216" s="2"/>
      <c r="E216" s="2"/>
    </row>
    <row r="217" spans="2:5" ht="15.75" customHeight="1" x14ac:dyDescent="0.3">
      <c r="B217" s="2"/>
      <c r="E217" s="2"/>
    </row>
    <row r="218" spans="2:5" ht="15.75" customHeight="1" x14ac:dyDescent="0.3">
      <c r="B218" s="2"/>
      <c r="E218" s="2"/>
    </row>
    <row r="219" spans="2:5" ht="15.75" customHeight="1" x14ac:dyDescent="0.3">
      <c r="B219" s="2"/>
      <c r="E219" s="2"/>
    </row>
    <row r="220" spans="2:5" ht="15.75" customHeight="1" x14ac:dyDescent="0.3">
      <c r="B220" s="2"/>
      <c r="E220" s="2"/>
    </row>
    <row r="221" spans="2:5" ht="15.75" customHeight="1" x14ac:dyDescent="0.3">
      <c r="B221" s="2"/>
      <c r="E221" s="2"/>
    </row>
    <row r="222" spans="2:5" ht="15.75" customHeight="1" x14ac:dyDescent="0.3">
      <c r="B222" s="2"/>
      <c r="E222" s="2"/>
    </row>
    <row r="223" spans="2:5" ht="15.75" customHeight="1" x14ac:dyDescent="0.3">
      <c r="B223" s="2"/>
      <c r="E223" s="2"/>
    </row>
    <row r="224" spans="2:5" ht="15.75" customHeight="1" x14ac:dyDescent="0.3">
      <c r="B224" s="2"/>
      <c r="E224" s="2"/>
    </row>
    <row r="225" spans="2:5" ht="15.75" customHeight="1" x14ac:dyDescent="0.3">
      <c r="B225" s="2"/>
      <c r="E225" s="2"/>
    </row>
    <row r="226" spans="2:5" ht="15.75" customHeight="1" x14ac:dyDescent="0.3">
      <c r="B226" s="2"/>
      <c r="E226" s="2"/>
    </row>
    <row r="227" spans="2:5" ht="15.75" customHeight="1" x14ac:dyDescent="0.3">
      <c r="B227" s="2"/>
      <c r="E227" s="2"/>
    </row>
    <row r="228" spans="2:5" ht="15.75" customHeight="1" x14ac:dyDescent="0.3">
      <c r="B228" s="2"/>
      <c r="E228" s="2"/>
    </row>
    <row r="229" spans="2:5" ht="15.75" customHeight="1" x14ac:dyDescent="0.3">
      <c r="B229" s="2"/>
      <c r="E229" s="2"/>
    </row>
    <row r="230" spans="2:5" ht="15.75" customHeight="1" x14ac:dyDescent="0.3">
      <c r="B230" s="2"/>
      <c r="E230" s="2"/>
    </row>
    <row r="231" spans="2:5" ht="15.75" customHeight="1" x14ac:dyDescent="0.3">
      <c r="B231" s="2"/>
      <c r="E231" s="2"/>
    </row>
    <row r="232" spans="2:5" ht="15.75" customHeight="1" x14ac:dyDescent="0.3">
      <c r="B232" s="2"/>
      <c r="E232" s="2"/>
    </row>
    <row r="233" spans="2:5" ht="15.75" customHeight="1" x14ac:dyDescent="0.3">
      <c r="B233" s="2"/>
      <c r="E233" s="2"/>
    </row>
    <row r="234" spans="2:5" ht="15.75" customHeight="1" x14ac:dyDescent="0.3">
      <c r="B234" s="2"/>
      <c r="E234" s="2"/>
    </row>
    <row r="235" spans="2:5" ht="15.75" customHeight="1" x14ac:dyDescent="0.3">
      <c r="B235" s="2"/>
      <c r="E235" s="2"/>
    </row>
    <row r="236" spans="2:5" ht="15.75" customHeight="1" x14ac:dyDescent="0.3">
      <c r="B236" s="2"/>
      <c r="E236" s="2"/>
    </row>
    <row r="237" spans="2:5" ht="15.75" customHeight="1" x14ac:dyDescent="0.3">
      <c r="B237" s="2"/>
      <c r="E237" s="2"/>
    </row>
    <row r="238" spans="2:5" ht="15.75" customHeight="1" x14ac:dyDescent="0.3">
      <c r="B238" s="2"/>
      <c r="E238" s="2"/>
    </row>
    <row r="239" spans="2:5" ht="15.75" customHeight="1" x14ac:dyDescent="0.3">
      <c r="B239" s="2"/>
      <c r="E239" s="2"/>
    </row>
    <row r="240" spans="2:5" ht="15.75" customHeight="1" x14ac:dyDescent="0.3">
      <c r="B240" s="2"/>
      <c r="E240" s="2"/>
    </row>
    <row r="241" spans="2:5" ht="15.75" customHeight="1" x14ac:dyDescent="0.3">
      <c r="B241" s="2"/>
      <c r="E241" s="2"/>
    </row>
    <row r="242" spans="2:5" ht="15.75" customHeight="1" x14ac:dyDescent="0.3">
      <c r="B242" s="2"/>
      <c r="E242" s="2"/>
    </row>
    <row r="243" spans="2:5" ht="15.75" customHeight="1" x14ac:dyDescent="0.3">
      <c r="B243" s="2"/>
      <c r="E243" s="2"/>
    </row>
    <row r="244" spans="2:5" ht="15.75" customHeight="1" x14ac:dyDescent="0.3">
      <c r="B244" s="2"/>
      <c r="E244" s="2"/>
    </row>
    <row r="245" spans="2:5" ht="15.75" customHeight="1" x14ac:dyDescent="0.3">
      <c r="B245" s="2"/>
      <c r="E245" s="2"/>
    </row>
    <row r="246" spans="2:5" ht="15.75" customHeight="1" x14ac:dyDescent="0.3">
      <c r="B246" s="2"/>
      <c r="E246" s="2"/>
    </row>
    <row r="247" spans="2:5" ht="15.75" customHeight="1" x14ac:dyDescent="0.3">
      <c r="B247" s="2"/>
      <c r="E247" s="2"/>
    </row>
    <row r="248" spans="2:5" ht="15.75" customHeight="1" x14ac:dyDescent="0.3">
      <c r="B248" s="2"/>
      <c r="E248" s="2"/>
    </row>
    <row r="249" spans="2:5" ht="15.75" customHeight="1" x14ac:dyDescent="0.3">
      <c r="B249" s="2"/>
      <c r="E249" s="2"/>
    </row>
    <row r="250" spans="2:5" ht="15.75" customHeight="1" x14ac:dyDescent="0.3">
      <c r="B250" s="2"/>
      <c r="E250" s="2"/>
    </row>
    <row r="251" spans="2:5" ht="15.75" customHeight="1" x14ac:dyDescent="0.3">
      <c r="B251" s="2"/>
      <c r="E251" s="2"/>
    </row>
    <row r="252" spans="2:5" ht="15.75" customHeight="1" x14ac:dyDescent="0.3">
      <c r="B252" s="2"/>
      <c r="E252" s="2"/>
    </row>
    <row r="253" spans="2:5" ht="15.75" customHeight="1" x14ac:dyDescent="0.3">
      <c r="B253" s="2"/>
      <c r="E253" s="2"/>
    </row>
    <row r="254" spans="2:5" ht="15.75" customHeight="1" x14ac:dyDescent="0.3">
      <c r="B254" s="2"/>
      <c r="E254" s="2"/>
    </row>
    <row r="255" spans="2:5" ht="15.75" customHeight="1" x14ac:dyDescent="0.3">
      <c r="B255" s="2"/>
      <c r="E255" s="2"/>
    </row>
    <row r="256" spans="2:5" ht="15.75" customHeight="1" x14ac:dyDescent="0.3">
      <c r="B256" s="2"/>
      <c r="E256" s="2"/>
    </row>
    <row r="257" spans="2:5" ht="15.75" customHeight="1" x14ac:dyDescent="0.3">
      <c r="B257" s="2"/>
      <c r="E257" s="2"/>
    </row>
    <row r="258" spans="2:5" ht="15.75" customHeight="1" x14ac:dyDescent="0.3">
      <c r="B258" s="2"/>
      <c r="E258" s="2"/>
    </row>
    <row r="259" spans="2:5" ht="15.75" customHeight="1" x14ac:dyDescent="0.3">
      <c r="B259" s="2"/>
      <c r="E259" s="2"/>
    </row>
    <row r="260" spans="2:5" ht="15.75" customHeight="1" x14ac:dyDescent="0.3">
      <c r="B260" s="2"/>
      <c r="E260" s="2"/>
    </row>
    <row r="261" spans="2:5" ht="15.75" customHeight="1" x14ac:dyDescent="0.3">
      <c r="B261" s="2"/>
      <c r="E261" s="2"/>
    </row>
    <row r="262" spans="2:5" ht="15.75" customHeight="1" x14ac:dyDescent="0.3">
      <c r="B262" s="2"/>
      <c r="E262" s="2"/>
    </row>
    <row r="263" spans="2:5" ht="15.75" customHeight="1" x14ac:dyDescent="0.3"/>
    <row r="264" spans="2:5" ht="15.75" customHeight="1" x14ac:dyDescent="0.3"/>
    <row r="265" spans="2:5" ht="15.75" customHeight="1" x14ac:dyDescent="0.3"/>
    <row r="266" spans="2:5" ht="15.75" customHeight="1" x14ac:dyDescent="0.3"/>
    <row r="267" spans="2:5" ht="15.75" customHeight="1" x14ac:dyDescent="0.3"/>
    <row r="268" spans="2:5" ht="15.75" customHeight="1" x14ac:dyDescent="0.3"/>
    <row r="269" spans="2:5" ht="15.75" customHeight="1" x14ac:dyDescent="0.3"/>
    <row r="270" spans="2:5" ht="15.75" customHeight="1" x14ac:dyDescent="0.3"/>
    <row r="271" spans="2:5" ht="15.75" customHeight="1" x14ac:dyDescent="0.3"/>
    <row r="272" spans="2:5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C44:D44"/>
    <mergeCell ref="G44:AB44"/>
    <mergeCell ref="C1:D1"/>
    <mergeCell ref="G1:AB1"/>
    <mergeCell ref="A2:A5"/>
    <mergeCell ref="C6:D6"/>
    <mergeCell ref="G6:AB6"/>
    <mergeCell ref="C25:D25"/>
    <mergeCell ref="G25:AB25"/>
  </mergeCells>
  <conditionalFormatting sqref="D8:D24">
    <cfRule type="cellIs" dxfId="567" priority="22" operator="greaterThanOrEqual">
      <formula>$D$4</formula>
    </cfRule>
    <cfRule type="cellIs" dxfId="566" priority="24" operator="between">
      <formula>$D$3</formula>
      <formula>$D$4</formula>
    </cfRule>
    <cfRule type="cellIs" dxfId="565" priority="23" operator="lessThanOrEqual">
      <formula>$D$2</formula>
    </cfRule>
  </conditionalFormatting>
  <conditionalFormatting sqref="D27:D43 G27:AB43">
    <cfRule type="cellIs" dxfId="564" priority="21" operator="greaterThanOrEqual">
      <formula>365</formula>
    </cfRule>
  </conditionalFormatting>
  <conditionalFormatting sqref="D46:D62 G46:AB62">
    <cfRule type="cellIs" dxfId="563" priority="20" operator="lessThanOrEqual">
      <formula>1</formula>
    </cfRule>
  </conditionalFormatting>
  <conditionalFormatting sqref="G8:G24">
    <cfRule type="cellIs" dxfId="562" priority="1" operator="greaterThanOrEqual">
      <formula>$G$4</formula>
    </cfRule>
    <cfRule type="cellIs" dxfId="561" priority="19" operator="lessThanOrEqual">
      <formula>$G$2</formula>
    </cfRule>
    <cfRule type="cellIs" dxfId="560" priority="10" operator="between">
      <formula>$G$3</formula>
      <formula>$G$4</formula>
    </cfRule>
  </conditionalFormatting>
  <conditionalFormatting sqref="H8:H24">
    <cfRule type="cellIs" dxfId="559" priority="2" operator="greaterThanOrEqual">
      <formula>$H$4</formula>
    </cfRule>
    <cfRule type="cellIs" dxfId="558" priority="11" operator="between">
      <formula>$H$3</formula>
      <formula>$H$4</formula>
    </cfRule>
    <cfRule type="cellIs" dxfId="557" priority="26" operator="lessThanOrEqual">
      <formula>$H$2</formula>
    </cfRule>
  </conditionalFormatting>
  <conditionalFormatting sqref="I8:I24">
    <cfRule type="cellIs" dxfId="556" priority="3" operator="greaterThanOrEqual">
      <formula>$I$4</formula>
    </cfRule>
    <cfRule type="cellIs" dxfId="555" priority="12" operator="between">
      <formula>I$3</formula>
      <formula>I$4</formula>
    </cfRule>
    <cfRule type="cellIs" dxfId="554" priority="27" operator="lessThanOrEqual">
      <formula>$I$2</formula>
    </cfRule>
  </conditionalFormatting>
  <conditionalFormatting sqref="J8:J24">
    <cfRule type="cellIs" dxfId="553" priority="4" operator="greaterThanOrEqual">
      <formula>$J$4</formula>
    </cfRule>
    <cfRule type="cellIs" dxfId="552" priority="13" operator="between">
      <formula>$J$3</formula>
      <formula>$J$4</formula>
    </cfRule>
    <cfRule type="cellIs" dxfId="551" priority="28" operator="lessThanOrEqual">
      <formula>$J$2</formula>
    </cfRule>
  </conditionalFormatting>
  <conditionalFormatting sqref="K8:K24">
    <cfRule type="cellIs" dxfId="550" priority="5" operator="greaterThanOrEqual">
      <formula>$K$4</formula>
    </cfRule>
    <cfRule type="cellIs" dxfId="549" priority="14" operator="between">
      <formula>$K$3</formula>
      <formula>$K$4</formula>
    </cfRule>
    <cfRule type="cellIs" dxfId="548" priority="29" operator="lessThanOrEqual">
      <formula>$K$2</formula>
    </cfRule>
  </conditionalFormatting>
  <conditionalFormatting sqref="L8:L24">
    <cfRule type="cellIs" dxfId="547" priority="6" operator="greaterThanOrEqual">
      <formula>$L$4</formula>
    </cfRule>
    <cfRule type="cellIs" dxfId="546" priority="15" operator="between">
      <formula>$L$3</formula>
      <formula>$L$4</formula>
    </cfRule>
    <cfRule type="cellIs" dxfId="545" priority="30" operator="lessThanOrEqual">
      <formula>$L$2</formula>
    </cfRule>
  </conditionalFormatting>
  <conditionalFormatting sqref="M8:M24">
    <cfRule type="cellIs" dxfId="544" priority="7" operator="greaterThanOrEqual">
      <formula>$M$4</formula>
    </cfRule>
    <cfRule type="cellIs" dxfId="543" priority="16" operator="between">
      <formula>$M$3</formula>
      <formula>$M$4</formula>
    </cfRule>
    <cfRule type="cellIs" dxfId="542" priority="31" operator="lessThanOrEqual">
      <formula>$M$2</formula>
    </cfRule>
  </conditionalFormatting>
  <conditionalFormatting sqref="N8:N24">
    <cfRule type="cellIs" dxfId="541" priority="8" operator="greaterThanOrEqual">
      <formula>$N$4</formula>
    </cfRule>
    <cfRule type="cellIs" dxfId="540" priority="17" operator="between">
      <formula>$N$3</formula>
      <formula>$N$4</formula>
    </cfRule>
    <cfRule type="cellIs" dxfId="539" priority="32" operator="lessThanOrEqual">
      <formula>$N$2</formula>
    </cfRule>
  </conditionalFormatting>
  <conditionalFormatting sqref="O8:O24">
    <cfRule type="cellIs" dxfId="538" priority="18" operator="between">
      <formula>$O$3</formula>
      <formula>$O$4</formula>
    </cfRule>
    <cfRule type="cellIs" dxfId="537" priority="9" operator="greaterThanOrEqual">
      <formula>$O$4</formula>
    </cfRule>
    <cfRule type="cellIs" dxfId="536" priority="33" operator="lessThanOrEqual">
      <formula>$O$2</formula>
    </cfRule>
  </conditionalFormatting>
  <conditionalFormatting sqref="P7:P24">
    <cfRule type="cellIs" dxfId="535" priority="46" operator="between">
      <formula>$P$3</formula>
      <formula>$P$4</formula>
    </cfRule>
  </conditionalFormatting>
  <conditionalFormatting sqref="P8:P24">
    <cfRule type="cellIs" dxfId="534" priority="25" operator="lessThanOrEqual">
      <formula>$P$2</formula>
    </cfRule>
    <cfRule type="cellIs" dxfId="533" priority="59" operator="greaterThanOrEqual">
      <formula>$P$4</formula>
    </cfRule>
  </conditionalFormatting>
  <conditionalFormatting sqref="Q8:Q24">
    <cfRule type="cellIs" dxfId="532" priority="34" operator="lessThanOrEqual">
      <formula>$Q$2</formula>
    </cfRule>
    <cfRule type="cellIs" dxfId="531" priority="47" operator="between">
      <formula>$Q$3</formula>
      <formula>$Q$4</formula>
    </cfRule>
    <cfRule type="cellIs" dxfId="530" priority="60" operator="greaterThanOrEqual">
      <formula>$Q$4</formula>
    </cfRule>
  </conditionalFormatting>
  <conditionalFormatting sqref="R8:R24">
    <cfRule type="cellIs" dxfId="529" priority="48" operator="between">
      <formula>$R$3</formula>
      <formula>$R$4</formula>
    </cfRule>
    <cfRule type="cellIs" dxfId="528" priority="35" operator="lessThanOrEqual">
      <formula>$R$2</formula>
    </cfRule>
    <cfRule type="cellIs" dxfId="527" priority="61" operator="greaterThanOrEqual">
      <formula>$R$4</formula>
    </cfRule>
  </conditionalFormatting>
  <conditionalFormatting sqref="S8:S24">
    <cfRule type="cellIs" dxfId="526" priority="49" operator="between">
      <formula>$S$3</formula>
      <formula>$S$4</formula>
    </cfRule>
    <cfRule type="cellIs" dxfId="525" priority="36" operator="lessThanOrEqual">
      <formula>$S$2</formula>
    </cfRule>
    <cfRule type="cellIs" dxfId="524" priority="62" operator="greaterThanOrEqual">
      <formula>$S$4</formula>
    </cfRule>
  </conditionalFormatting>
  <conditionalFormatting sqref="T8:T24">
    <cfRule type="cellIs" dxfId="523" priority="37" operator="lessThanOrEqual">
      <formula>$T$2</formula>
    </cfRule>
    <cfRule type="cellIs" dxfId="522" priority="50" operator="between">
      <formula>$T$3</formula>
      <formula>$T$4</formula>
    </cfRule>
    <cfRule type="cellIs" dxfId="521" priority="63" operator="greaterThanOrEqual">
      <formula>$T$4</formula>
    </cfRule>
  </conditionalFormatting>
  <conditionalFormatting sqref="U8:U24">
    <cfRule type="cellIs" dxfId="520" priority="38" operator="lessThanOrEqual">
      <formula>$U$2</formula>
    </cfRule>
    <cfRule type="cellIs" dxfId="519" priority="51" operator="between">
      <formula>$U$3</formula>
      <formula>$U$4</formula>
    </cfRule>
    <cfRule type="cellIs" dxfId="518" priority="64" operator="greaterThanOrEqual">
      <formula>$U$4</formula>
    </cfRule>
  </conditionalFormatting>
  <conditionalFormatting sqref="V8:V24">
    <cfRule type="cellIs" dxfId="517" priority="39" operator="lessThanOrEqual">
      <formula>$V$2</formula>
    </cfRule>
    <cfRule type="cellIs" dxfId="516" priority="52" operator="between">
      <formula>$V$3</formula>
      <formula>$V$4</formula>
    </cfRule>
    <cfRule type="cellIs" dxfId="515" priority="65" operator="greaterThanOrEqual">
      <formula>$V$4</formula>
    </cfRule>
  </conditionalFormatting>
  <conditionalFormatting sqref="W8:W24">
    <cfRule type="cellIs" dxfId="514" priority="40" operator="lessThanOrEqual">
      <formula>$W$2</formula>
    </cfRule>
    <cfRule type="cellIs" dxfId="513" priority="53" operator="between">
      <formula>$W$3</formula>
      <formula>$W$4</formula>
    </cfRule>
    <cfRule type="cellIs" dxfId="512" priority="66" operator="greaterThanOrEqual">
      <formula>$W$4</formula>
    </cfRule>
  </conditionalFormatting>
  <conditionalFormatting sqref="X8:X24">
    <cfRule type="cellIs" dxfId="511" priority="54" operator="between">
      <formula>$X$3</formula>
      <formula>$X$4</formula>
    </cfRule>
    <cfRule type="cellIs" dxfId="510" priority="41" operator="lessThanOrEqual">
      <formula>$X$2</formula>
    </cfRule>
    <cfRule type="cellIs" dxfId="509" priority="67" operator="greaterThanOrEqual">
      <formula>$X$4</formula>
    </cfRule>
  </conditionalFormatting>
  <conditionalFormatting sqref="Y8:Y24">
    <cfRule type="cellIs" dxfId="508" priority="42" operator="lessThanOrEqual">
      <formula>$Y$2</formula>
    </cfRule>
    <cfRule type="cellIs" dxfId="507" priority="55" operator="between">
      <formula>$Y$3</formula>
      <formula>$Y$4</formula>
    </cfRule>
    <cfRule type="cellIs" dxfId="506" priority="68" operator="greaterThanOrEqual">
      <formula>$Y$4</formula>
    </cfRule>
  </conditionalFormatting>
  <conditionalFormatting sqref="Z8:Z24">
    <cfRule type="cellIs" dxfId="505" priority="56" operator="between">
      <formula>$Z$3</formula>
      <formula>$Z$4</formula>
    </cfRule>
    <cfRule type="cellIs" dxfId="504" priority="43" operator="lessThanOrEqual">
      <formula>$Z$2</formula>
    </cfRule>
    <cfRule type="cellIs" dxfId="503" priority="69" operator="greaterThanOrEqual">
      <formula>$Z$4</formula>
    </cfRule>
  </conditionalFormatting>
  <conditionalFormatting sqref="AA8:AA24">
    <cfRule type="cellIs" dxfId="502" priority="57" operator="between">
      <formula>$AA$3</formula>
      <formula>$AA$4</formula>
    </cfRule>
    <cfRule type="cellIs" dxfId="501" priority="44" operator="lessThanOrEqual">
      <formula>$AA$2</formula>
    </cfRule>
    <cfRule type="cellIs" dxfId="500" priority="70" operator="greaterThanOrEqual">
      <formula>$AA$4</formula>
    </cfRule>
  </conditionalFormatting>
  <conditionalFormatting sqref="AB8:AB24">
    <cfRule type="cellIs" dxfId="499" priority="45" operator="lessThanOrEqual">
      <formula>$AB$2</formula>
    </cfRule>
    <cfRule type="cellIs" dxfId="498" priority="58" operator="between">
      <formula>$AB$3</formula>
      <formula>$AB$4</formula>
    </cfRule>
    <cfRule type="cellIs" dxfId="497" priority="71" operator="greaterThanOrEqual">
      <formula>$AB$4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1000"/>
  <sheetViews>
    <sheetView workbookViewId="0">
      <selection activeCell="A46" sqref="A46:A62"/>
    </sheetView>
  </sheetViews>
  <sheetFormatPr defaultColWidth="12.61328125" defaultRowHeight="15" customHeight="1" x14ac:dyDescent="0.3"/>
  <cols>
    <col min="1" max="1" width="10.4609375" customWidth="1"/>
    <col min="2" max="2" width="2.3828125" customWidth="1"/>
    <col min="3" max="3" width="10.4609375" customWidth="1"/>
    <col min="4" max="4" width="12.61328125" customWidth="1"/>
    <col min="5" max="5" width="2.3828125" customWidth="1"/>
    <col min="6" max="6" width="10.4609375" customWidth="1"/>
    <col min="9" max="10" width="14.61328125" customWidth="1"/>
  </cols>
  <sheetData>
    <row r="1" spans="1:28" ht="15.75" customHeight="1" x14ac:dyDescent="0.3">
      <c r="A1" s="1"/>
      <c r="B1" s="2"/>
      <c r="C1" s="32" t="s">
        <v>0</v>
      </c>
      <c r="D1" s="30"/>
      <c r="E1" s="2"/>
      <c r="F1" s="3"/>
      <c r="G1" s="32" t="s">
        <v>1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ht="15.75" customHeight="1" x14ac:dyDescent="0.3">
      <c r="A2" s="33" t="s">
        <v>2</v>
      </c>
      <c r="B2" s="2"/>
      <c r="C2" s="4" t="s">
        <v>3</v>
      </c>
      <c r="D2" s="5">
        <f>D3/12</f>
        <v>1.893939393939394E-2</v>
      </c>
      <c r="E2" s="2"/>
      <c r="F2" s="4" t="s">
        <v>3</v>
      </c>
      <c r="G2" s="5">
        <f t="shared" ref="G2:AB2" si="0">G3/12</f>
        <v>1.5151515151515149</v>
      </c>
      <c r="H2" s="5">
        <f t="shared" si="0"/>
        <v>1.4204545454545452</v>
      </c>
      <c r="I2" s="5">
        <f t="shared" si="0"/>
        <v>1.7045454545454544</v>
      </c>
      <c r="J2" s="5">
        <f t="shared" si="0"/>
        <v>1.6098484848484846</v>
      </c>
      <c r="K2" s="5">
        <f t="shared" si="0"/>
        <v>1.893939393939394E-2</v>
      </c>
      <c r="L2" s="5">
        <f t="shared" si="0"/>
        <v>1.893939393939394E-2</v>
      </c>
      <c r="M2" s="5">
        <f t="shared" si="0"/>
        <v>1.893939393939394E-2</v>
      </c>
      <c r="N2" s="5">
        <f t="shared" si="0"/>
        <v>1.893939393939394E-2</v>
      </c>
      <c r="O2" s="5">
        <f t="shared" si="0"/>
        <v>1.893939393939394E-2</v>
      </c>
      <c r="P2" s="5">
        <f t="shared" si="0"/>
        <v>1.893939393939394E-2</v>
      </c>
      <c r="Q2" s="5">
        <f t="shared" si="0"/>
        <v>1.893939393939394E-2</v>
      </c>
      <c r="R2" s="5">
        <f t="shared" si="0"/>
        <v>1.893939393939394E-2</v>
      </c>
      <c r="S2" s="5">
        <f t="shared" si="0"/>
        <v>1.893939393939394E-2</v>
      </c>
      <c r="T2" s="5">
        <f t="shared" si="0"/>
        <v>1.893939393939394E-2</v>
      </c>
      <c r="U2" s="5">
        <f t="shared" si="0"/>
        <v>1.893939393939394E-2</v>
      </c>
      <c r="V2" s="5">
        <f t="shared" si="0"/>
        <v>1.893939393939394E-2</v>
      </c>
      <c r="W2" s="5">
        <f t="shared" si="0"/>
        <v>1.893939393939394E-2</v>
      </c>
      <c r="X2" s="5">
        <f t="shared" si="0"/>
        <v>1.893939393939394E-2</v>
      </c>
      <c r="Y2" s="5">
        <f t="shared" si="0"/>
        <v>1.893939393939394E-2</v>
      </c>
      <c r="Z2" s="5">
        <f t="shared" si="0"/>
        <v>1.893939393939394E-2</v>
      </c>
      <c r="AA2" s="5">
        <f t="shared" si="0"/>
        <v>1.893939393939394E-2</v>
      </c>
      <c r="AB2" s="5">
        <f t="shared" si="0"/>
        <v>1.893939393939394E-2</v>
      </c>
    </row>
    <row r="3" spans="1:28" ht="15.75" customHeight="1" x14ac:dyDescent="0.3">
      <c r="A3" s="30"/>
      <c r="B3" s="2"/>
      <c r="C3" s="4" t="s">
        <v>4</v>
      </c>
      <c r="D3" s="5">
        <f>D4/4.4</f>
        <v>0.22727272727272727</v>
      </c>
      <c r="E3" s="2"/>
      <c r="F3" s="4" t="s">
        <v>4</v>
      </c>
      <c r="G3" s="5">
        <f t="shared" ref="G3:AB3" si="1">G4/4.4</f>
        <v>18.18181818181818</v>
      </c>
      <c r="H3" s="5">
        <f t="shared" si="1"/>
        <v>17.045454545454543</v>
      </c>
      <c r="I3" s="5">
        <f t="shared" si="1"/>
        <v>20.454545454545453</v>
      </c>
      <c r="J3" s="5">
        <f t="shared" si="1"/>
        <v>19.318181818181817</v>
      </c>
      <c r="K3" s="5">
        <f t="shared" si="1"/>
        <v>0.22727272727272727</v>
      </c>
      <c r="L3" s="5">
        <f t="shared" si="1"/>
        <v>0.22727272727272727</v>
      </c>
      <c r="M3" s="5">
        <f t="shared" si="1"/>
        <v>0.22727272727272727</v>
      </c>
      <c r="N3" s="5">
        <f t="shared" si="1"/>
        <v>0.22727272727272727</v>
      </c>
      <c r="O3" s="5">
        <f t="shared" si="1"/>
        <v>0.22727272727272727</v>
      </c>
      <c r="P3" s="5">
        <f t="shared" si="1"/>
        <v>0.22727272727272727</v>
      </c>
      <c r="Q3" s="5">
        <f t="shared" si="1"/>
        <v>0.22727272727272727</v>
      </c>
      <c r="R3" s="5">
        <f t="shared" si="1"/>
        <v>0.22727272727272727</v>
      </c>
      <c r="S3" s="5">
        <f t="shared" si="1"/>
        <v>0.22727272727272727</v>
      </c>
      <c r="T3" s="5">
        <f t="shared" si="1"/>
        <v>0.22727272727272727</v>
      </c>
      <c r="U3" s="5">
        <f t="shared" si="1"/>
        <v>0.22727272727272727</v>
      </c>
      <c r="V3" s="5">
        <f t="shared" si="1"/>
        <v>0.22727272727272727</v>
      </c>
      <c r="W3" s="5">
        <f t="shared" si="1"/>
        <v>0.22727272727272727</v>
      </c>
      <c r="X3" s="5">
        <f t="shared" si="1"/>
        <v>0.22727272727272727</v>
      </c>
      <c r="Y3" s="5">
        <f t="shared" si="1"/>
        <v>0.22727272727272727</v>
      </c>
      <c r="Z3" s="5">
        <f t="shared" si="1"/>
        <v>0.22727272727272727</v>
      </c>
      <c r="AA3" s="5">
        <f t="shared" si="1"/>
        <v>0.22727272727272727</v>
      </c>
      <c r="AB3" s="5">
        <f t="shared" si="1"/>
        <v>0.22727272727272727</v>
      </c>
    </row>
    <row r="4" spans="1:28" ht="15.75" customHeight="1" x14ac:dyDescent="0.3">
      <c r="A4" s="30"/>
      <c r="B4" s="2"/>
      <c r="C4" s="4" t="s">
        <v>5</v>
      </c>
      <c r="D4" s="6">
        <v>1</v>
      </c>
      <c r="E4" s="2"/>
      <c r="F4" s="4" t="s">
        <v>5</v>
      </c>
      <c r="G4" s="25">
        <v>80</v>
      </c>
      <c r="H4" s="26">
        <v>75</v>
      </c>
      <c r="I4" s="26">
        <v>90</v>
      </c>
      <c r="J4" s="26">
        <v>85</v>
      </c>
      <c r="K4" s="25">
        <v>1</v>
      </c>
      <c r="L4" s="26">
        <v>1</v>
      </c>
      <c r="M4" s="26">
        <v>1</v>
      </c>
      <c r="N4" s="26">
        <v>1</v>
      </c>
      <c r="O4" s="25">
        <v>1</v>
      </c>
      <c r="P4" s="26">
        <v>1</v>
      </c>
      <c r="Q4" s="26">
        <v>1</v>
      </c>
      <c r="R4" s="25">
        <v>1</v>
      </c>
      <c r="S4" s="26">
        <v>1</v>
      </c>
      <c r="T4" s="26">
        <v>1</v>
      </c>
      <c r="U4" s="26">
        <v>1</v>
      </c>
      <c r="V4" s="25">
        <v>1</v>
      </c>
      <c r="W4" s="26">
        <v>1</v>
      </c>
      <c r="X4" s="25">
        <v>1</v>
      </c>
      <c r="Y4" s="25">
        <v>1</v>
      </c>
      <c r="Z4" s="26">
        <v>1</v>
      </c>
      <c r="AA4" s="26">
        <v>1</v>
      </c>
      <c r="AB4" s="26">
        <v>1</v>
      </c>
    </row>
    <row r="5" spans="1:28" ht="25.5" customHeight="1" x14ac:dyDescent="0.3">
      <c r="A5" s="30"/>
      <c r="B5" s="2"/>
      <c r="C5" s="7" t="s">
        <v>6</v>
      </c>
      <c r="D5" s="8">
        <v>1</v>
      </c>
      <c r="E5" s="2"/>
      <c r="F5" s="7" t="s">
        <v>6</v>
      </c>
      <c r="G5" s="27">
        <v>7</v>
      </c>
      <c r="H5" s="28">
        <v>15</v>
      </c>
      <c r="I5" s="28">
        <v>10</v>
      </c>
      <c r="J5" s="28">
        <v>4</v>
      </c>
      <c r="K5" s="27">
        <v>1</v>
      </c>
      <c r="L5" s="28">
        <v>1</v>
      </c>
      <c r="M5" s="28">
        <v>1</v>
      </c>
      <c r="N5" s="28">
        <v>1</v>
      </c>
      <c r="O5" s="27">
        <v>1</v>
      </c>
      <c r="P5" s="28">
        <v>1</v>
      </c>
      <c r="Q5" s="28">
        <v>1</v>
      </c>
      <c r="R5" s="27">
        <v>1</v>
      </c>
      <c r="S5" s="28">
        <v>1</v>
      </c>
      <c r="T5" s="28">
        <v>1</v>
      </c>
      <c r="U5" s="28">
        <v>1</v>
      </c>
      <c r="V5" s="27">
        <v>1</v>
      </c>
      <c r="W5" s="28">
        <v>1</v>
      </c>
      <c r="X5" s="27">
        <v>1</v>
      </c>
      <c r="Y5" s="27">
        <v>1</v>
      </c>
      <c r="Z5" s="28">
        <v>1</v>
      </c>
      <c r="AA5" s="28">
        <v>1</v>
      </c>
      <c r="AB5" s="28">
        <v>1</v>
      </c>
    </row>
    <row r="6" spans="1:28" ht="15.75" customHeight="1" x14ac:dyDescent="0.3">
      <c r="A6" s="3"/>
      <c r="B6" s="2"/>
      <c r="C6" s="29"/>
      <c r="D6" s="30"/>
      <c r="E6" s="2"/>
      <c r="F6" s="3"/>
      <c r="G6" s="31" t="s">
        <v>7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spans="1:28" ht="15.75" customHeight="1" x14ac:dyDescent="0.3">
      <c r="A7" s="9" t="s">
        <v>8</v>
      </c>
      <c r="B7" s="2"/>
      <c r="C7" s="10" t="s">
        <v>9</v>
      </c>
      <c r="D7" s="10" t="s">
        <v>10</v>
      </c>
      <c r="E7" s="2"/>
      <c r="F7" s="10" t="s">
        <v>9</v>
      </c>
      <c r="G7" s="10" t="s">
        <v>57</v>
      </c>
      <c r="H7" s="10" t="s">
        <v>58</v>
      </c>
      <c r="I7" s="10" t="s">
        <v>59</v>
      </c>
      <c r="J7" s="10" t="s">
        <v>60</v>
      </c>
      <c r="K7" s="10"/>
      <c r="L7" s="10"/>
      <c r="M7" s="10"/>
      <c r="N7" s="10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5.75" customHeight="1" x14ac:dyDescent="0.3">
      <c r="A8" s="12">
        <f>RAW!$A$6</f>
        <v>400</v>
      </c>
      <c r="B8" s="2"/>
      <c r="C8" s="13" t="s">
        <v>19</v>
      </c>
      <c r="D8" s="14">
        <f t="shared" ref="D8:D24" si="2">($A8/D$5)/365</f>
        <v>1.095890410958904</v>
      </c>
      <c r="E8" s="2"/>
      <c r="F8" s="13" t="s">
        <v>19</v>
      </c>
      <c r="G8" s="14">
        <f t="shared" ref="G8:AB8" si="3">($A8/G$5)/365</f>
        <v>0.15655577299412918</v>
      </c>
      <c r="H8" s="14">
        <f t="shared" si="3"/>
        <v>7.3059360730593617E-2</v>
      </c>
      <c r="I8" s="14">
        <f t="shared" si="3"/>
        <v>0.1095890410958904</v>
      </c>
      <c r="J8" s="14">
        <f t="shared" si="3"/>
        <v>0.27397260273972601</v>
      </c>
      <c r="K8" s="14">
        <f t="shared" si="3"/>
        <v>1.095890410958904</v>
      </c>
      <c r="L8" s="14">
        <f t="shared" si="3"/>
        <v>1.095890410958904</v>
      </c>
      <c r="M8" s="14">
        <f t="shared" si="3"/>
        <v>1.095890410958904</v>
      </c>
      <c r="N8" s="14">
        <f t="shared" si="3"/>
        <v>1.095890410958904</v>
      </c>
      <c r="O8" s="15">
        <f t="shared" si="3"/>
        <v>1.095890410958904</v>
      </c>
      <c r="P8" s="16">
        <f t="shared" si="3"/>
        <v>1.095890410958904</v>
      </c>
      <c r="Q8" s="16">
        <f t="shared" si="3"/>
        <v>1.095890410958904</v>
      </c>
      <c r="R8" s="16">
        <f t="shared" si="3"/>
        <v>1.095890410958904</v>
      </c>
      <c r="S8" s="16">
        <f t="shared" si="3"/>
        <v>1.095890410958904</v>
      </c>
      <c r="T8" s="16">
        <f t="shared" si="3"/>
        <v>1.095890410958904</v>
      </c>
      <c r="U8" s="16">
        <f t="shared" si="3"/>
        <v>1.095890410958904</v>
      </c>
      <c r="V8" s="16">
        <f t="shared" si="3"/>
        <v>1.095890410958904</v>
      </c>
      <c r="W8" s="16">
        <f t="shared" si="3"/>
        <v>1.095890410958904</v>
      </c>
      <c r="X8" s="16">
        <f t="shared" si="3"/>
        <v>1.095890410958904</v>
      </c>
      <c r="Y8" s="16">
        <f t="shared" si="3"/>
        <v>1.095890410958904</v>
      </c>
      <c r="Z8" s="16">
        <f t="shared" si="3"/>
        <v>1.095890410958904</v>
      </c>
      <c r="AA8" s="16">
        <f t="shared" si="3"/>
        <v>1.095890410958904</v>
      </c>
      <c r="AB8" s="16">
        <f t="shared" si="3"/>
        <v>1.095890410958904</v>
      </c>
    </row>
    <row r="9" spans="1:28" ht="15.75" customHeight="1" x14ac:dyDescent="0.3">
      <c r="A9" s="12">
        <f>RAW!$A$7</f>
        <v>1200</v>
      </c>
      <c r="B9" s="2"/>
      <c r="C9" s="17" t="s">
        <v>20</v>
      </c>
      <c r="D9" s="14">
        <f t="shared" si="2"/>
        <v>3.2876712328767121</v>
      </c>
      <c r="E9" s="2"/>
      <c r="F9" s="17" t="s">
        <v>20</v>
      </c>
      <c r="G9" s="14">
        <f t="shared" ref="G9:AB9" si="4">($A9/G$5)/365</f>
        <v>0.46966731898238745</v>
      </c>
      <c r="H9" s="14">
        <f t="shared" si="4"/>
        <v>0.21917808219178081</v>
      </c>
      <c r="I9" s="14">
        <f t="shared" si="4"/>
        <v>0.32876712328767121</v>
      </c>
      <c r="J9" s="14">
        <f t="shared" si="4"/>
        <v>0.82191780821917804</v>
      </c>
      <c r="K9" s="14">
        <f t="shared" si="4"/>
        <v>3.2876712328767121</v>
      </c>
      <c r="L9" s="14">
        <f t="shared" si="4"/>
        <v>3.2876712328767121</v>
      </c>
      <c r="M9" s="14">
        <f t="shared" si="4"/>
        <v>3.2876712328767121</v>
      </c>
      <c r="N9" s="14">
        <f t="shared" si="4"/>
        <v>3.2876712328767121</v>
      </c>
      <c r="O9" s="15">
        <f t="shared" si="4"/>
        <v>3.2876712328767121</v>
      </c>
      <c r="P9" s="16">
        <f t="shared" si="4"/>
        <v>3.2876712328767121</v>
      </c>
      <c r="Q9" s="16">
        <f t="shared" si="4"/>
        <v>3.2876712328767121</v>
      </c>
      <c r="R9" s="16">
        <f t="shared" si="4"/>
        <v>3.2876712328767121</v>
      </c>
      <c r="S9" s="16">
        <f t="shared" si="4"/>
        <v>3.2876712328767121</v>
      </c>
      <c r="T9" s="16">
        <f t="shared" si="4"/>
        <v>3.2876712328767121</v>
      </c>
      <c r="U9" s="16">
        <f t="shared" si="4"/>
        <v>3.2876712328767121</v>
      </c>
      <c r="V9" s="16">
        <f t="shared" si="4"/>
        <v>3.2876712328767121</v>
      </c>
      <c r="W9" s="16">
        <f t="shared" si="4"/>
        <v>3.2876712328767121</v>
      </c>
      <c r="X9" s="16">
        <f t="shared" si="4"/>
        <v>3.2876712328767121</v>
      </c>
      <c r="Y9" s="16">
        <f t="shared" si="4"/>
        <v>3.2876712328767121</v>
      </c>
      <c r="Z9" s="16">
        <f t="shared" si="4"/>
        <v>3.2876712328767121</v>
      </c>
      <c r="AA9" s="16">
        <f t="shared" si="4"/>
        <v>3.2876712328767121</v>
      </c>
      <c r="AB9" s="16">
        <f t="shared" si="4"/>
        <v>3.2876712328767121</v>
      </c>
    </row>
    <row r="10" spans="1:28" ht="15.75" customHeight="1" x14ac:dyDescent="0.3">
      <c r="A10" s="12">
        <f>RAW!$A$8</f>
        <v>2800</v>
      </c>
      <c r="B10" s="2"/>
      <c r="C10" s="17" t="s">
        <v>21</v>
      </c>
      <c r="D10" s="14">
        <f t="shared" si="2"/>
        <v>7.6712328767123283</v>
      </c>
      <c r="E10" s="2"/>
      <c r="F10" s="17" t="s">
        <v>21</v>
      </c>
      <c r="G10" s="14">
        <f t="shared" ref="G10:AB10" si="5">($A10/G$5)/365</f>
        <v>1.095890410958904</v>
      </c>
      <c r="H10" s="14">
        <f t="shared" si="5"/>
        <v>0.51141552511415522</v>
      </c>
      <c r="I10" s="14">
        <f t="shared" si="5"/>
        <v>0.76712328767123283</v>
      </c>
      <c r="J10" s="14">
        <f t="shared" si="5"/>
        <v>1.9178082191780821</v>
      </c>
      <c r="K10" s="14">
        <f t="shared" si="5"/>
        <v>7.6712328767123283</v>
      </c>
      <c r="L10" s="14">
        <f t="shared" si="5"/>
        <v>7.6712328767123283</v>
      </c>
      <c r="M10" s="14">
        <f t="shared" si="5"/>
        <v>7.6712328767123283</v>
      </c>
      <c r="N10" s="14">
        <f t="shared" si="5"/>
        <v>7.6712328767123283</v>
      </c>
      <c r="O10" s="15">
        <f t="shared" si="5"/>
        <v>7.6712328767123283</v>
      </c>
      <c r="P10" s="16">
        <f t="shared" si="5"/>
        <v>7.6712328767123283</v>
      </c>
      <c r="Q10" s="16">
        <f t="shared" si="5"/>
        <v>7.6712328767123283</v>
      </c>
      <c r="R10" s="16">
        <f t="shared" si="5"/>
        <v>7.6712328767123283</v>
      </c>
      <c r="S10" s="16">
        <f t="shared" si="5"/>
        <v>7.6712328767123283</v>
      </c>
      <c r="T10" s="16">
        <f t="shared" si="5"/>
        <v>7.6712328767123283</v>
      </c>
      <c r="U10" s="16">
        <f t="shared" si="5"/>
        <v>7.6712328767123283</v>
      </c>
      <c r="V10" s="16">
        <f t="shared" si="5"/>
        <v>7.6712328767123283</v>
      </c>
      <c r="W10" s="16">
        <f t="shared" si="5"/>
        <v>7.6712328767123283</v>
      </c>
      <c r="X10" s="16">
        <f t="shared" si="5"/>
        <v>7.6712328767123283</v>
      </c>
      <c r="Y10" s="16">
        <f t="shared" si="5"/>
        <v>7.6712328767123283</v>
      </c>
      <c r="Z10" s="16">
        <f t="shared" si="5"/>
        <v>7.6712328767123283</v>
      </c>
      <c r="AA10" s="16">
        <f t="shared" si="5"/>
        <v>7.6712328767123283</v>
      </c>
      <c r="AB10" s="16">
        <f t="shared" si="5"/>
        <v>7.6712328767123283</v>
      </c>
    </row>
    <row r="11" spans="1:28" ht="15.75" customHeight="1" x14ac:dyDescent="0.3">
      <c r="A11" s="12">
        <f>RAW!$A$9</f>
        <v>6000</v>
      </c>
      <c r="B11" s="2"/>
      <c r="C11" s="17" t="s">
        <v>22</v>
      </c>
      <c r="D11" s="14">
        <f t="shared" si="2"/>
        <v>16.438356164383563</v>
      </c>
      <c r="E11" s="2"/>
      <c r="F11" s="17" t="s">
        <v>22</v>
      </c>
      <c r="G11" s="14">
        <f t="shared" ref="G11:AB11" si="6">($A11/G$5)/365</f>
        <v>2.3483365949119372</v>
      </c>
      <c r="H11" s="14">
        <f t="shared" si="6"/>
        <v>1.095890410958904</v>
      </c>
      <c r="I11" s="14">
        <f t="shared" si="6"/>
        <v>1.6438356164383561</v>
      </c>
      <c r="J11" s="14">
        <f t="shared" si="6"/>
        <v>4.1095890410958908</v>
      </c>
      <c r="K11" s="14">
        <f t="shared" si="6"/>
        <v>16.438356164383563</v>
      </c>
      <c r="L11" s="14">
        <f t="shared" si="6"/>
        <v>16.438356164383563</v>
      </c>
      <c r="M11" s="14">
        <f t="shared" si="6"/>
        <v>16.438356164383563</v>
      </c>
      <c r="N11" s="14">
        <f t="shared" si="6"/>
        <v>16.438356164383563</v>
      </c>
      <c r="O11" s="15">
        <f t="shared" si="6"/>
        <v>16.438356164383563</v>
      </c>
      <c r="P11" s="16">
        <f t="shared" si="6"/>
        <v>16.438356164383563</v>
      </c>
      <c r="Q11" s="16">
        <f t="shared" si="6"/>
        <v>16.438356164383563</v>
      </c>
      <c r="R11" s="16">
        <f t="shared" si="6"/>
        <v>16.438356164383563</v>
      </c>
      <c r="S11" s="16">
        <f t="shared" si="6"/>
        <v>16.438356164383563</v>
      </c>
      <c r="T11" s="16">
        <f t="shared" si="6"/>
        <v>16.438356164383563</v>
      </c>
      <c r="U11" s="16">
        <f t="shared" si="6"/>
        <v>16.438356164383563</v>
      </c>
      <c r="V11" s="16">
        <f t="shared" si="6"/>
        <v>16.438356164383563</v>
      </c>
      <c r="W11" s="16">
        <f t="shared" si="6"/>
        <v>16.438356164383563</v>
      </c>
      <c r="X11" s="16">
        <f t="shared" si="6"/>
        <v>16.438356164383563</v>
      </c>
      <c r="Y11" s="16">
        <f t="shared" si="6"/>
        <v>16.438356164383563</v>
      </c>
      <c r="Z11" s="16">
        <f t="shared" si="6"/>
        <v>16.438356164383563</v>
      </c>
      <c r="AA11" s="16">
        <f t="shared" si="6"/>
        <v>16.438356164383563</v>
      </c>
      <c r="AB11" s="16">
        <f t="shared" si="6"/>
        <v>16.438356164383563</v>
      </c>
    </row>
    <row r="12" spans="1:28" ht="15.75" customHeight="1" x14ac:dyDescent="0.3">
      <c r="A12" s="12">
        <f>RAW!$A$10</f>
        <v>12400</v>
      </c>
      <c r="B12" s="2"/>
      <c r="C12" s="17" t="s">
        <v>23</v>
      </c>
      <c r="D12" s="14">
        <f t="shared" si="2"/>
        <v>33.972602739726028</v>
      </c>
      <c r="E12" s="2"/>
      <c r="F12" s="17" t="s">
        <v>23</v>
      </c>
      <c r="G12" s="14">
        <f t="shared" ref="G12:AB12" si="7">($A12/G$5)/365</f>
        <v>4.8532289628180036</v>
      </c>
      <c r="H12" s="14">
        <f t="shared" si="7"/>
        <v>2.2648401826484017</v>
      </c>
      <c r="I12" s="14">
        <f t="shared" si="7"/>
        <v>3.3972602739726026</v>
      </c>
      <c r="J12" s="14">
        <f t="shared" si="7"/>
        <v>8.493150684931507</v>
      </c>
      <c r="K12" s="14">
        <f t="shared" si="7"/>
        <v>33.972602739726028</v>
      </c>
      <c r="L12" s="14">
        <f t="shared" si="7"/>
        <v>33.972602739726028</v>
      </c>
      <c r="M12" s="14">
        <f t="shared" si="7"/>
        <v>33.972602739726028</v>
      </c>
      <c r="N12" s="14">
        <f t="shared" si="7"/>
        <v>33.972602739726028</v>
      </c>
      <c r="O12" s="15">
        <f t="shared" si="7"/>
        <v>33.972602739726028</v>
      </c>
      <c r="P12" s="16">
        <f t="shared" si="7"/>
        <v>33.972602739726028</v>
      </c>
      <c r="Q12" s="16">
        <f t="shared" si="7"/>
        <v>33.972602739726028</v>
      </c>
      <c r="R12" s="16">
        <f t="shared" si="7"/>
        <v>33.972602739726028</v>
      </c>
      <c r="S12" s="16">
        <f t="shared" si="7"/>
        <v>33.972602739726028</v>
      </c>
      <c r="T12" s="16">
        <f t="shared" si="7"/>
        <v>33.972602739726028</v>
      </c>
      <c r="U12" s="16">
        <f t="shared" si="7"/>
        <v>33.972602739726028</v>
      </c>
      <c r="V12" s="16">
        <f t="shared" si="7"/>
        <v>33.972602739726028</v>
      </c>
      <c r="W12" s="16">
        <f t="shared" si="7"/>
        <v>33.972602739726028</v>
      </c>
      <c r="X12" s="16">
        <f t="shared" si="7"/>
        <v>33.972602739726028</v>
      </c>
      <c r="Y12" s="16">
        <f t="shared" si="7"/>
        <v>33.972602739726028</v>
      </c>
      <c r="Z12" s="16">
        <f t="shared" si="7"/>
        <v>33.972602739726028</v>
      </c>
      <c r="AA12" s="16">
        <f t="shared" si="7"/>
        <v>33.972602739726028</v>
      </c>
      <c r="AB12" s="16">
        <f t="shared" si="7"/>
        <v>33.972602739726028</v>
      </c>
    </row>
    <row r="13" spans="1:28" ht="15.75" customHeight="1" x14ac:dyDescent="0.3">
      <c r="A13" s="12">
        <f>RAW!$A$11</f>
        <v>25200</v>
      </c>
      <c r="B13" s="2"/>
      <c r="C13" s="17" t="s">
        <v>24</v>
      </c>
      <c r="D13" s="14">
        <f t="shared" si="2"/>
        <v>69.041095890410958</v>
      </c>
      <c r="E13" s="2"/>
      <c r="F13" s="17" t="s">
        <v>24</v>
      </c>
      <c r="G13" s="14">
        <f t="shared" ref="G13:AB13" si="8">($A13/G$5)/365</f>
        <v>9.8630136986301373</v>
      </c>
      <c r="H13" s="14">
        <f t="shared" si="8"/>
        <v>4.602739726027397</v>
      </c>
      <c r="I13" s="14">
        <f t="shared" si="8"/>
        <v>6.904109589041096</v>
      </c>
      <c r="J13" s="14">
        <f t="shared" si="8"/>
        <v>17.260273972602739</v>
      </c>
      <c r="K13" s="14">
        <f t="shared" si="8"/>
        <v>69.041095890410958</v>
      </c>
      <c r="L13" s="14">
        <f t="shared" si="8"/>
        <v>69.041095890410958</v>
      </c>
      <c r="M13" s="14">
        <f t="shared" si="8"/>
        <v>69.041095890410958</v>
      </c>
      <c r="N13" s="14">
        <f t="shared" si="8"/>
        <v>69.041095890410958</v>
      </c>
      <c r="O13" s="15">
        <f t="shared" si="8"/>
        <v>69.041095890410958</v>
      </c>
      <c r="P13" s="16">
        <f t="shared" si="8"/>
        <v>69.041095890410958</v>
      </c>
      <c r="Q13" s="16">
        <f t="shared" si="8"/>
        <v>69.041095890410958</v>
      </c>
      <c r="R13" s="16">
        <f t="shared" si="8"/>
        <v>69.041095890410958</v>
      </c>
      <c r="S13" s="16">
        <f t="shared" si="8"/>
        <v>69.041095890410958</v>
      </c>
      <c r="T13" s="16">
        <f t="shared" si="8"/>
        <v>69.041095890410958</v>
      </c>
      <c r="U13" s="16">
        <f t="shared" si="8"/>
        <v>69.041095890410958</v>
      </c>
      <c r="V13" s="16">
        <f t="shared" si="8"/>
        <v>69.041095890410958</v>
      </c>
      <c r="W13" s="16">
        <f t="shared" si="8"/>
        <v>69.041095890410958</v>
      </c>
      <c r="X13" s="16">
        <f t="shared" si="8"/>
        <v>69.041095890410958</v>
      </c>
      <c r="Y13" s="16">
        <f t="shared" si="8"/>
        <v>69.041095890410958</v>
      </c>
      <c r="Z13" s="16">
        <f t="shared" si="8"/>
        <v>69.041095890410958</v>
      </c>
      <c r="AA13" s="16">
        <f t="shared" si="8"/>
        <v>69.041095890410958</v>
      </c>
      <c r="AB13" s="16">
        <f t="shared" si="8"/>
        <v>69.041095890410958</v>
      </c>
    </row>
    <row r="14" spans="1:28" ht="15.75" customHeight="1" x14ac:dyDescent="0.3">
      <c r="A14" s="12">
        <f>RAW!$A$12</f>
        <v>50800</v>
      </c>
      <c r="B14" s="2"/>
      <c r="C14" s="17" t="s">
        <v>25</v>
      </c>
      <c r="D14" s="14">
        <f t="shared" si="2"/>
        <v>139.17808219178082</v>
      </c>
      <c r="E14" s="2"/>
      <c r="F14" s="17" t="s">
        <v>25</v>
      </c>
      <c r="G14" s="14">
        <f t="shared" ref="G14:AB14" si="9">($A14/G$5)/365</f>
        <v>19.882583170254403</v>
      </c>
      <c r="H14" s="14">
        <f t="shared" si="9"/>
        <v>9.2785388127853885</v>
      </c>
      <c r="I14" s="14">
        <f t="shared" si="9"/>
        <v>13.917808219178083</v>
      </c>
      <c r="J14" s="14">
        <f t="shared" si="9"/>
        <v>34.794520547945204</v>
      </c>
      <c r="K14" s="14">
        <f t="shared" si="9"/>
        <v>139.17808219178082</v>
      </c>
      <c r="L14" s="14">
        <f t="shared" si="9"/>
        <v>139.17808219178082</v>
      </c>
      <c r="M14" s="14">
        <f t="shared" si="9"/>
        <v>139.17808219178082</v>
      </c>
      <c r="N14" s="14">
        <f t="shared" si="9"/>
        <v>139.17808219178082</v>
      </c>
      <c r="O14" s="15">
        <f t="shared" si="9"/>
        <v>139.17808219178082</v>
      </c>
      <c r="P14" s="16">
        <f t="shared" si="9"/>
        <v>139.17808219178082</v>
      </c>
      <c r="Q14" s="16">
        <f t="shared" si="9"/>
        <v>139.17808219178082</v>
      </c>
      <c r="R14" s="16">
        <f t="shared" si="9"/>
        <v>139.17808219178082</v>
      </c>
      <c r="S14" s="16">
        <f t="shared" si="9"/>
        <v>139.17808219178082</v>
      </c>
      <c r="T14" s="16">
        <f t="shared" si="9"/>
        <v>139.17808219178082</v>
      </c>
      <c r="U14" s="16">
        <f t="shared" si="9"/>
        <v>139.17808219178082</v>
      </c>
      <c r="V14" s="16">
        <f t="shared" si="9"/>
        <v>139.17808219178082</v>
      </c>
      <c r="W14" s="16">
        <f t="shared" si="9"/>
        <v>139.17808219178082</v>
      </c>
      <c r="X14" s="16">
        <f t="shared" si="9"/>
        <v>139.17808219178082</v>
      </c>
      <c r="Y14" s="16">
        <f t="shared" si="9"/>
        <v>139.17808219178082</v>
      </c>
      <c r="Z14" s="16">
        <f t="shared" si="9"/>
        <v>139.17808219178082</v>
      </c>
      <c r="AA14" s="16">
        <f t="shared" si="9"/>
        <v>139.17808219178082</v>
      </c>
      <c r="AB14" s="16">
        <f t="shared" si="9"/>
        <v>139.17808219178082</v>
      </c>
    </row>
    <row r="15" spans="1:28" ht="15.75" customHeight="1" x14ac:dyDescent="0.3">
      <c r="A15" s="12">
        <f>RAW!$A$13</f>
        <v>102000</v>
      </c>
      <c r="B15" s="2"/>
      <c r="C15" s="17" t="s">
        <v>26</v>
      </c>
      <c r="D15" s="14">
        <f t="shared" si="2"/>
        <v>279.45205479452056</v>
      </c>
      <c r="E15" s="2"/>
      <c r="F15" s="17" t="s">
        <v>26</v>
      </c>
      <c r="G15" s="14">
        <f t="shared" ref="G15:AB15" si="10">($A15/G$5)/365</f>
        <v>39.921722113502931</v>
      </c>
      <c r="H15" s="14">
        <f t="shared" si="10"/>
        <v>18.63013698630137</v>
      </c>
      <c r="I15" s="14">
        <f t="shared" si="10"/>
        <v>27.945205479452056</v>
      </c>
      <c r="J15" s="14">
        <f t="shared" si="10"/>
        <v>69.863013698630141</v>
      </c>
      <c r="K15" s="14">
        <f t="shared" si="10"/>
        <v>279.45205479452056</v>
      </c>
      <c r="L15" s="14">
        <f t="shared" si="10"/>
        <v>279.45205479452056</v>
      </c>
      <c r="M15" s="14">
        <f t="shared" si="10"/>
        <v>279.45205479452056</v>
      </c>
      <c r="N15" s="14">
        <f t="shared" si="10"/>
        <v>279.45205479452056</v>
      </c>
      <c r="O15" s="15">
        <f t="shared" si="10"/>
        <v>279.45205479452056</v>
      </c>
      <c r="P15" s="16">
        <f t="shared" si="10"/>
        <v>279.45205479452056</v>
      </c>
      <c r="Q15" s="16">
        <f t="shared" si="10"/>
        <v>279.45205479452056</v>
      </c>
      <c r="R15" s="16">
        <f t="shared" si="10"/>
        <v>279.45205479452056</v>
      </c>
      <c r="S15" s="16">
        <f t="shared" si="10"/>
        <v>279.45205479452056</v>
      </c>
      <c r="T15" s="16">
        <f t="shared" si="10"/>
        <v>279.45205479452056</v>
      </c>
      <c r="U15" s="16">
        <f t="shared" si="10"/>
        <v>279.45205479452056</v>
      </c>
      <c r="V15" s="16">
        <f t="shared" si="10"/>
        <v>279.45205479452056</v>
      </c>
      <c r="W15" s="16">
        <f t="shared" si="10"/>
        <v>279.45205479452056</v>
      </c>
      <c r="X15" s="16">
        <f t="shared" si="10"/>
        <v>279.45205479452056</v>
      </c>
      <c r="Y15" s="16">
        <f t="shared" si="10"/>
        <v>279.45205479452056</v>
      </c>
      <c r="Z15" s="16">
        <f t="shared" si="10"/>
        <v>279.45205479452056</v>
      </c>
      <c r="AA15" s="16">
        <f t="shared" si="10"/>
        <v>279.45205479452056</v>
      </c>
      <c r="AB15" s="16">
        <f t="shared" si="10"/>
        <v>279.45205479452056</v>
      </c>
    </row>
    <row r="16" spans="1:28" ht="15.75" customHeight="1" x14ac:dyDescent="0.3">
      <c r="A16" s="12">
        <f>RAW!$A$14</f>
        <v>204400</v>
      </c>
      <c r="B16" s="2"/>
      <c r="C16" s="17" t="s">
        <v>27</v>
      </c>
      <c r="D16" s="14">
        <f t="shared" si="2"/>
        <v>560</v>
      </c>
      <c r="E16" s="2"/>
      <c r="F16" s="17" t="s">
        <v>27</v>
      </c>
      <c r="G16" s="14">
        <f t="shared" ref="G16:AB16" si="11">($A16/G$5)/365</f>
        <v>80</v>
      </c>
      <c r="H16" s="14">
        <f t="shared" si="11"/>
        <v>37.333333333333329</v>
      </c>
      <c r="I16" s="14">
        <f t="shared" si="11"/>
        <v>56</v>
      </c>
      <c r="J16" s="14">
        <f t="shared" si="11"/>
        <v>140</v>
      </c>
      <c r="K16" s="14">
        <f t="shared" si="11"/>
        <v>560</v>
      </c>
      <c r="L16" s="14">
        <f t="shared" si="11"/>
        <v>560</v>
      </c>
      <c r="M16" s="14">
        <f t="shared" si="11"/>
        <v>560</v>
      </c>
      <c r="N16" s="14">
        <f t="shared" si="11"/>
        <v>560</v>
      </c>
      <c r="O16" s="15">
        <f t="shared" si="11"/>
        <v>560</v>
      </c>
      <c r="P16" s="16">
        <f t="shared" si="11"/>
        <v>560</v>
      </c>
      <c r="Q16" s="16">
        <f t="shared" si="11"/>
        <v>560</v>
      </c>
      <c r="R16" s="16">
        <f t="shared" si="11"/>
        <v>560</v>
      </c>
      <c r="S16" s="16">
        <f t="shared" si="11"/>
        <v>560</v>
      </c>
      <c r="T16" s="16">
        <f t="shared" si="11"/>
        <v>560</v>
      </c>
      <c r="U16" s="16">
        <f t="shared" si="11"/>
        <v>560</v>
      </c>
      <c r="V16" s="16">
        <f t="shared" si="11"/>
        <v>560</v>
      </c>
      <c r="W16" s="16">
        <f t="shared" si="11"/>
        <v>560</v>
      </c>
      <c r="X16" s="16">
        <f t="shared" si="11"/>
        <v>560</v>
      </c>
      <c r="Y16" s="16">
        <f t="shared" si="11"/>
        <v>560</v>
      </c>
      <c r="Z16" s="16">
        <f t="shared" si="11"/>
        <v>560</v>
      </c>
      <c r="AA16" s="16">
        <f t="shared" si="11"/>
        <v>560</v>
      </c>
      <c r="AB16" s="16">
        <f t="shared" si="11"/>
        <v>560</v>
      </c>
    </row>
    <row r="17" spans="1:28" ht="15.75" customHeight="1" x14ac:dyDescent="0.3">
      <c r="A17" s="12">
        <f>RAW!$A$15</f>
        <v>409200</v>
      </c>
      <c r="B17" s="2"/>
      <c r="C17" s="17" t="s">
        <v>28</v>
      </c>
      <c r="D17" s="14">
        <f t="shared" si="2"/>
        <v>1121.0958904109589</v>
      </c>
      <c r="E17" s="2"/>
      <c r="F17" s="17" t="s">
        <v>28</v>
      </c>
      <c r="G17" s="14">
        <f t="shared" ref="G17:AB17" si="12">($A17/G$5)/365</f>
        <v>160.15655577299412</v>
      </c>
      <c r="H17" s="14">
        <f t="shared" si="12"/>
        <v>74.739726027397253</v>
      </c>
      <c r="I17" s="14">
        <f t="shared" si="12"/>
        <v>112.10958904109589</v>
      </c>
      <c r="J17" s="14">
        <f t="shared" si="12"/>
        <v>280.27397260273972</v>
      </c>
      <c r="K17" s="14">
        <f t="shared" si="12"/>
        <v>1121.0958904109589</v>
      </c>
      <c r="L17" s="14">
        <f t="shared" si="12"/>
        <v>1121.0958904109589</v>
      </c>
      <c r="M17" s="14">
        <f t="shared" si="12"/>
        <v>1121.0958904109589</v>
      </c>
      <c r="N17" s="14">
        <f t="shared" si="12"/>
        <v>1121.0958904109589</v>
      </c>
      <c r="O17" s="15">
        <f t="shared" si="12"/>
        <v>1121.0958904109589</v>
      </c>
      <c r="P17" s="16">
        <f t="shared" si="12"/>
        <v>1121.0958904109589</v>
      </c>
      <c r="Q17" s="16">
        <f t="shared" si="12"/>
        <v>1121.0958904109589</v>
      </c>
      <c r="R17" s="16">
        <f t="shared" si="12"/>
        <v>1121.0958904109589</v>
      </c>
      <c r="S17" s="16">
        <f t="shared" si="12"/>
        <v>1121.0958904109589</v>
      </c>
      <c r="T17" s="16">
        <f t="shared" si="12"/>
        <v>1121.0958904109589</v>
      </c>
      <c r="U17" s="16">
        <f t="shared" si="12"/>
        <v>1121.0958904109589</v>
      </c>
      <c r="V17" s="16">
        <f t="shared" si="12"/>
        <v>1121.0958904109589</v>
      </c>
      <c r="W17" s="16">
        <f t="shared" si="12"/>
        <v>1121.0958904109589</v>
      </c>
      <c r="X17" s="16">
        <f t="shared" si="12"/>
        <v>1121.0958904109589</v>
      </c>
      <c r="Y17" s="16">
        <f t="shared" si="12"/>
        <v>1121.0958904109589</v>
      </c>
      <c r="Z17" s="16">
        <f t="shared" si="12"/>
        <v>1121.0958904109589</v>
      </c>
      <c r="AA17" s="16">
        <f t="shared" si="12"/>
        <v>1121.0958904109589</v>
      </c>
      <c r="AB17" s="16">
        <f t="shared" si="12"/>
        <v>1121.0958904109589</v>
      </c>
    </row>
    <row r="18" spans="1:28" ht="15.75" customHeight="1" x14ac:dyDescent="0.3">
      <c r="A18" s="12">
        <f>RAW!$A$16</f>
        <v>818800</v>
      </c>
      <c r="B18" s="2"/>
      <c r="C18" s="17" t="s">
        <v>29</v>
      </c>
      <c r="D18" s="14">
        <f t="shared" si="2"/>
        <v>2243.2876712328766</v>
      </c>
      <c r="E18" s="2"/>
      <c r="F18" s="17" t="s">
        <v>29</v>
      </c>
      <c r="G18" s="14">
        <f t="shared" ref="G18:AB18" si="13">($A18/G$5)/365</f>
        <v>320.46966731898237</v>
      </c>
      <c r="H18" s="14">
        <f t="shared" si="13"/>
        <v>149.55251141552512</v>
      </c>
      <c r="I18" s="14">
        <f t="shared" si="13"/>
        <v>224.32876712328766</v>
      </c>
      <c r="J18" s="14">
        <f t="shared" si="13"/>
        <v>560.82191780821915</v>
      </c>
      <c r="K18" s="14">
        <f t="shared" si="13"/>
        <v>2243.2876712328766</v>
      </c>
      <c r="L18" s="14">
        <f t="shared" si="13"/>
        <v>2243.2876712328766</v>
      </c>
      <c r="M18" s="14">
        <f t="shared" si="13"/>
        <v>2243.2876712328766</v>
      </c>
      <c r="N18" s="14">
        <f t="shared" si="13"/>
        <v>2243.2876712328766</v>
      </c>
      <c r="O18" s="15">
        <f t="shared" si="13"/>
        <v>2243.2876712328766</v>
      </c>
      <c r="P18" s="16">
        <f t="shared" si="13"/>
        <v>2243.2876712328766</v>
      </c>
      <c r="Q18" s="16">
        <f t="shared" si="13"/>
        <v>2243.2876712328766</v>
      </c>
      <c r="R18" s="16">
        <f t="shared" si="13"/>
        <v>2243.2876712328766</v>
      </c>
      <c r="S18" s="16">
        <f t="shared" si="13"/>
        <v>2243.2876712328766</v>
      </c>
      <c r="T18" s="16">
        <f t="shared" si="13"/>
        <v>2243.2876712328766</v>
      </c>
      <c r="U18" s="16">
        <f t="shared" si="13"/>
        <v>2243.2876712328766</v>
      </c>
      <c r="V18" s="16">
        <f t="shared" si="13"/>
        <v>2243.2876712328766</v>
      </c>
      <c r="W18" s="16">
        <f t="shared" si="13"/>
        <v>2243.2876712328766</v>
      </c>
      <c r="X18" s="16">
        <f t="shared" si="13"/>
        <v>2243.2876712328766</v>
      </c>
      <c r="Y18" s="16">
        <f t="shared" si="13"/>
        <v>2243.2876712328766</v>
      </c>
      <c r="Z18" s="16">
        <f t="shared" si="13"/>
        <v>2243.2876712328766</v>
      </c>
      <c r="AA18" s="16">
        <f t="shared" si="13"/>
        <v>2243.2876712328766</v>
      </c>
      <c r="AB18" s="16">
        <f t="shared" si="13"/>
        <v>2243.2876712328766</v>
      </c>
    </row>
    <row r="19" spans="1:28" ht="15.75" customHeight="1" x14ac:dyDescent="0.3">
      <c r="A19" s="12">
        <f>RAW!$A$17</f>
        <v>1638000</v>
      </c>
      <c r="B19" s="2"/>
      <c r="C19" s="17" t="s">
        <v>30</v>
      </c>
      <c r="D19" s="14">
        <f t="shared" si="2"/>
        <v>4487.6712328767126</v>
      </c>
      <c r="E19" s="2"/>
      <c r="F19" s="17" t="s">
        <v>30</v>
      </c>
      <c r="G19" s="14">
        <f t="shared" ref="G19:AB19" si="14">($A19/G$5)/365</f>
        <v>641.09589041095887</v>
      </c>
      <c r="H19" s="14">
        <f t="shared" si="14"/>
        <v>299.17808219178085</v>
      </c>
      <c r="I19" s="14">
        <f t="shared" si="14"/>
        <v>448.76712328767121</v>
      </c>
      <c r="J19" s="14">
        <f t="shared" si="14"/>
        <v>1121.9178082191781</v>
      </c>
      <c r="K19" s="14">
        <f t="shared" si="14"/>
        <v>4487.6712328767126</v>
      </c>
      <c r="L19" s="14">
        <f t="shared" si="14"/>
        <v>4487.6712328767126</v>
      </c>
      <c r="M19" s="14">
        <f t="shared" si="14"/>
        <v>4487.6712328767126</v>
      </c>
      <c r="N19" s="14">
        <f t="shared" si="14"/>
        <v>4487.6712328767126</v>
      </c>
      <c r="O19" s="15">
        <f t="shared" si="14"/>
        <v>4487.6712328767126</v>
      </c>
      <c r="P19" s="16">
        <f t="shared" si="14"/>
        <v>4487.6712328767126</v>
      </c>
      <c r="Q19" s="16">
        <f t="shared" si="14"/>
        <v>4487.6712328767126</v>
      </c>
      <c r="R19" s="16">
        <f t="shared" si="14"/>
        <v>4487.6712328767126</v>
      </c>
      <c r="S19" s="16">
        <f t="shared" si="14"/>
        <v>4487.6712328767126</v>
      </c>
      <c r="T19" s="16">
        <f t="shared" si="14"/>
        <v>4487.6712328767126</v>
      </c>
      <c r="U19" s="16">
        <f t="shared" si="14"/>
        <v>4487.6712328767126</v>
      </c>
      <c r="V19" s="16">
        <f t="shared" si="14"/>
        <v>4487.6712328767126</v>
      </c>
      <c r="W19" s="16">
        <f t="shared" si="14"/>
        <v>4487.6712328767126</v>
      </c>
      <c r="X19" s="16">
        <f t="shared" si="14"/>
        <v>4487.6712328767126</v>
      </c>
      <c r="Y19" s="16">
        <f t="shared" si="14"/>
        <v>4487.6712328767126</v>
      </c>
      <c r="Z19" s="16">
        <f t="shared" si="14"/>
        <v>4487.6712328767126</v>
      </c>
      <c r="AA19" s="16">
        <f t="shared" si="14"/>
        <v>4487.6712328767126</v>
      </c>
      <c r="AB19" s="16">
        <f t="shared" si="14"/>
        <v>4487.6712328767126</v>
      </c>
    </row>
    <row r="20" spans="1:28" ht="15.75" customHeight="1" x14ac:dyDescent="0.3">
      <c r="A20" s="12">
        <f>RAW!$A$18</f>
        <v>3276400</v>
      </c>
      <c r="B20" s="2"/>
      <c r="C20" s="17" t="s">
        <v>31</v>
      </c>
      <c r="D20" s="14">
        <f t="shared" si="2"/>
        <v>8976.4383561643845</v>
      </c>
      <c r="E20" s="2"/>
      <c r="F20" s="17" t="s">
        <v>31</v>
      </c>
      <c r="G20" s="14">
        <f t="shared" ref="G20:AB20" si="15">($A20/G$5)/365</f>
        <v>1282.3483365949119</v>
      </c>
      <c r="H20" s="14">
        <f t="shared" si="15"/>
        <v>598.42922374429224</v>
      </c>
      <c r="I20" s="14">
        <f t="shared" si="15"/>
        <v>897.64383561643831</v>
      </c>
      <c r="J20" s="14">
        <f t="shared" si="15"/>
        <v>2244.1095890410961</v>
      </c>
      <c r="K20" s="14">
        <f t="shared" si="15"/>
        <v>8976.4383561643845</v>
      </c>
      <c r="L20" s="14">
        <f t="shared" si="15"/>
        <v>8976.4383561643845</v>
      </c>
      <c r="M20" s="14">
        <f t="shared" si="15"/>
        <v>8976.4383561643845</v>
      </c>
      <c r="N20" s="14">
        <f t="shared" si="15"/>
        <v>8976.4383561643845</v>
      </c>
      <c r="O20" s="15">
        <f t="shared" si="15"/>
        <v>8976.4383561643845</v>
      </c>
      <c r="P20" s="16">
        <f t="shared" si="15"/>
        <v>8976.4383561643845</v>
      </c>
      <c r="Q20" s="16">
        <f t="shared" si="15"/>
        <v>8976.4383561643845</v>
      </c>
      <c r="R20" s="16">
        <f t="shared" si="15"/>
        <v>8976.4383561643845</v>
      </c>
      <c r="S20" s="16">
        <f t="shared" si="15"/>
        <v>8976.4383561643845</v>
      </c>
      <c r="T20" s="16">
        <f t="shared" si="15"/>
        <v>8976.4383561643845</v>
      </c>
      <c r="U20" s="16">
        <f t="shared" si="15"/>
        <v>8976.4383561643845</v>
      </c>
      <c r="V20" s="16">
        <f t="shared" si="15"/>
        <v>8976.4383561643845</v>
      </c>
      <c r="W20" s="16">
        <f t="shared" si="15"/>
        <v>8976.4383561643845</v>
      </c>
      <c r="X20" s="16">
        <f t="shared" si="15"/>
        <v>8976.4383561643845</v>
      </c>
      <c r="Y20" s="16">
        <f t="shared" si="15"/>
        <v>8976.4383561643845</v>
      </c>
      <c r="Z20" s="16">
        <f t="shared" si="15"/>
        <v>8976.4383561643845</v>
      </c>
      <c r="AA20" s="16">
        <f t="shared" si="15"/>
        <v>8976.4383561643845</v>
      </c>
      <c r="AB20" s="16">
        <f t="shared" si="15"/>
        <v>8976.4383561643845</v>
      </c>
    </row>
    <row r="21" spans="1:28" ht="15.75" customHeight="1" x14ac:dyDescent="0.3">
      <c r="A21" s="12">
        <f>RAW!$A$19</f>
        <v>6553200</v>
      </c>
      <c r="B21" s="2"/>
      <c r="C21" s="17" t="s">
        <v>32</v>
      </c>
      <c r="D21" s="14">
        <f t="shared" si="2"/>
        <v>17953.972602739726</v>
      </c>
      <c r="E21" s="2"/>
      <c r="F21" s="17" t="s">
        <v>32</v>
      </c>
      <c r="G21" s="14">
        <f t="shared" ref="G21:AB21" si="16">($A21/G$5)/365</f>
        <v>2564.8532289628179</v>
      </c>
      <c r="H21" s="14">
        <f t="shared" si="16"/>
        <v>1196.9315068493152</v>
      </c>
      <c r="I21" s="14">
        <f t="shared" si="16"/>
        <v>1795.3972602739725</v>
      </c>
      <c r="J21" s="14">
        <f t="shared" si="16"/>
        <v>4488.4931506849316</v>
      </c>
      <c r="K21" s="14">
        <f t="shared" si="16"/>
        <v>17953.972602739726</v>
      </c>
      <c r="L21" s="14">
        <f t="shared" si="16"/>
        <v>17953.972602739726</v>
      </c>
      <c r="M21" s="14">
        <f t="shared" si="16"/>
        <v>17953.972602739726</v>
      </c>
      <c r="N21" s="14">
        <f t="shared" si="16"/>
        <v>17953.972602739726</v>
      </c>
      <c r="O21" s="15">
        <f t="shared" si="16"/>
        <v>17953.972602739726</v>
      </c>
      <c r="P21" s="16">
        <f t="shared" si="16"/>
        <v>17953.972602739726</v>
      </c>
      <c r="Q21" s="16">
        <f t="shared" si="16"/>
        <v>17953.972602739726</v>
      </c>
      <c r="R21" s="16">
        <f t="shared" si="16"/>
        <v>17953.972602739726</v>
      </c>
      <c r="S21" s="16">
        <f t="shared" si="16"/>
        <v>17953.972602739726</v>
      </c>
      <c r="T21" s="16">
        <f t="shared" si="16"/>
        <v>17953.972602739726</v>
      </c>
      <c r="U21" s="16">
        <f t="shared" si="16"/>
        <v>17953.972602739726</v>
      </c>
      <c r="V21" s="16">
        <f t="shared" si="16"/>
        <v>17953.972602739726</v>
      </c>
      <c r="W21" s="16">
        <f t="shared" si="16"/>
        <v>17953.972602739726</v>
      </c>
      <c r="X21" s="16">
        <f t="shared" si="16"/>
        <v>17953.972602739726</v>
      </c>
      <c r="Y21" s="16">
        <f t="shared" si="16"/>
        <v>17953.972602739726</v>
      </c>
      <c r="Z21" s="16">
        <f t="shared" si="16"/>
        <v>17953.972602739726</v>
      </c>
      <c r="AA21" s="16">
        <f t="shared" si="16"/>
        <v>17953.972602739726</v>
      </c>
      <c r="AB21" s="16">
        <f t="shared" si="16"/>
        <v>17953.972602739726</v>
      </c>
    </row>
    <row r="22" spans="1:28" ht="15.75" customHeight="1" x14ac:dyDescent="0.3">
      <c r="A22" s="12">
        <f>RAW!$A$20</f>
        <v>13106800</v>
      </c>
      <c r="B22" s="2"/>
      <c r="C22" s="17" t="s">
        <v>33</v>
      </c>
      <c r="D22" s="14">
        <f t="shared" si="2"/>
        <v>35909.04109589041</v>
      </c>
      <c r="E22" s="2"/>
      <c r="F22" s="17" t="s">
        <v>33</v>
      </c>
      <c r="G22" s="14">
        <f t="shared" ref="G22:AB22" si="17">($A22/G$5)/365</f>
        <v>5129.8630136986303</v>
      </c>
      <c r="H22" s="14">
        <f t="shared" si="17"/>
        <v>2393.9360730593608</v>
      </c>
      <c r="I22" s="14">
        <f t="shared" si="17"/>
        <v>3590.9041095890411</v>
      </c>
      <c r="J22" s="14">
        <f t="shared" si="17"/>
        <v>8977.2602739726026</v>
      </c>
      <c r="K22" s="14">
        <f t="shared" si="17"/>
        <v>35909.04109589041</v>
      </c>
      <c r="L22" s="14">
        <f t="shared" si="17"/>
        <v>35909.04109589041</v>
      </c>
      <c r="M22" s="14">
        <f t="shared" si="17"/>
        <v>35909.04109589041</v>
      </c>
      <c r="N22" s="14">
        <f t="shared" si="17"/>
        <v>35909.04109589041</v>
      </c>
      <c r="O22" s="15">
        <f t="shared" si="17"/>
        <v>35909.04109589041</v>
      </c>
      <c r="P22" s="16">
        <f t="shared" si="17"/>
        <v>35909.04109589041</v>
      </c>
      <c r="Q22" s="16">
        <f t="shared" si="17"/>
        <v>35909.04109589041</v>
      </c>
      <c r="R22" s="16">
        <f t="shared" si="17"/>
        <v>35909.04109589041</v>
      </c>
      <c r="S22" s="16">
        <f t="shared" si="17"/>
        <v>35909.04109589041</v>
      </c>
      <c r="T22" s="16">
        <f t="shared" si="17"/>
        <v>35909.04109589041</v>
      </c>
      <c r="U22" s="16">
        <f t="shared" si="17"/>
        <v>35909.04109589041</v>
      </c>
      <c r="V22" s="16">
        <f t="shared" si="17"/>
        <v>35909.04109589041</v>
      </c>
      <c r="W22" s="16">
        <f t="shared" si="17"/>
        <v>35909.04109589041</v>
      </c>
      <c r="X22" s="16">
        <f t="shared" si="17"/>
        <v>35909.04109589041</v>
      </c>
      <c r="Y22" s="16">
        <f t="shared" si="17"/>
        <v>35909.04109589041</v>
      </c>
      <c r="Z22" s="16">
        <f t="shared" si="17"/>
        <v>35909.04109589041</v>
      </c>
      <c r="AA22" s="16">
        <f t="shared" si="17"/>
        <v>35909.04109589041</v>
      </c>
      <c r="AB22" s="16">
        <f t="shared" si="17"/>
        <v>35909.04109589041</v>
      </c>
    </row>
    <row r="23" spans="1:28" ht="15.75" customHeight="1" x14ac:dyDescent="0.3">
      <c r="A23" s="12">
        <f>RAW!$A$21</f>
        <v>26214000</v>
      </c>
      <c r="B23" s="2"/>
      <c r="C23" s="17" t="s">
        <v>34</v>
      </c>
      <c r="D23" s="14">
        <f t="shared" si="2"/>
        <v>71819.178082191778</v>
      </c>
      <c r="E23" s="2"/>
      <c r="F23" s="17" t="s">
        <v>34</v>
      </c>
      <c r="G23" s="14">
        <f t="shared" ref="G23:AB23" si="18">($A23/G$5)/365</f>
        <v>10259.882583170254</v>
      </c>
      <c r="H23" s="14">
        <f t="shared" si="18"/>
        <v>4787.9452054794519</v>
      </c>
      <c r="I23" s="14">
        <f t="shared" si="18"/>
        <v>7181.9178082191784</v>
      </c>
      <c r="J23" s="14">
        <f t="shared" si="18"/>
        <v>17954.794520547945</v>
      </c>
      <c r="K23" s="14">
        <f t="shared" si="18"/>
        <v>71819.178082191778</v>
      </c>
      <c r="L23" s="14">
        <f t="shared" si="18"/>
        <v>71819.178082191778</v>
      </c>
      <c r="M23" s="14">
        <f t="shared" si="18"/>
        <v>71819.178082191778</v>
      </c>
      <c r="N23" s="14">
        <f t="shared" si="18"/>
        <v>71819.178082191778</v>
      </c>
      <c r="O23" s="15">
        <f t="shared" si="18"/>
        <v>71819.178082191778</v>
      </c>
      <c r="P23" s="16">
        <f t="shared" si="18"/>
        <v>71819.178082191778</v>
      </c>
      <c r="Q23" s="16">
        <f t="shared" si="18"/>
        <v>71819.178082191778</v>
      </c>
      <c r="R23" s="16">
        <f t="shared" si="18"/>
        <v>71819.178082191778</v>
      </c>
      <c r="S23" s="16">
        <f t="shared" si="18"/>
        <v>71819.178082191778</v>
      </c>
      <c r="T23" s="16">
        <f t="shared" si="18"/>
        <v>71819.178082191778</v>
      </c>
      <c r="U23" s="16">
        <f t="shared" si="18"/>
        <v>71819.178082191778</v>
      </c>
      <c r="V23" s="16">
        <f t="shared" si="18"/>
        <v>71819.178082191778</v>
      </c>
      <c r="W23" s="16">
        <f t="shared" si="18"/>
        <v>71819.178082191778</v>
      </c>
      <c r="X23" s="16">
        <f t="shared" si="18"/>
        <v>71819.178082191778</v>
      </c>
      <c r="Y23" s="16">
        <f t="shared" si="18"/>
        <v>71819.178082191778</v>
      </c>
      <c r="Z23" s="16">
        <f t="shared" si="18"/>
        <v>71819.178082191778</v>
      </c>
      <c r="AA23" s="16">
        <f t="shared" si="18"/>
        <v>71819.178082191778</v>
      </c>
      <c r="AB23" s="16">
        <f t="shared" si="18"/>
        <v>71819.178082191778</v>
      </c>
    </row>
    <row r="24" spans="1:28" ht="15.75" customHeight="1" x14ac:dyDescent="0.3">
      <c r="A24" s="12">
        <f>RAW!$A$22</f>
        <v>52428400</v>
      </c>
      <c r="B24" s="2"/>
      <c r="C24" s="17" t="s">
        <v>35</v>
      </c>
      <c r="D24" s="14">
        <f t="shared" si="2"/>
        <v>143639.45205479453</v>
      </c>
      <c r="E24" s="2"/>
      <c r="F24" s="17" t="s">
        <v>35</v>
      </c>
      <c r="G24" s="14">
        <f t="shared" ref="G24:AB24" si="19">($A24/G$5)/365</f>
        <v>20519.9217221135</v>
      </c>
      <c r="H24" s="14">
        <f t="shared" si="19"/>
        <v>9575.9634703196334</v>
      </c>
      <c r="I24" s="14">
        <f t="shared" si="19"/>
        <v>14363.945205479453</v>
      </c>
      <c r="J24" s="14">
        <f t="shared" si="19"/>
        <v>35909.863013698632</v>
      </c>
      <c r="K24" s="14">
        <f t="shared" si="19"/>
        <v>143639.45205479453</v>
      </c>
      <c r="L24" s="14">
        <f t="shared" si="19"/>
        <v>143639.45205479453</v>
      </c>
      <c r="M24" s="14">
        <f t="shared" si="19"/>
        <v>143639.45205479453</v>
      </c>
      <c r="N24" s="14">
        <f t="shared" si="19"/>
        <v>143639.45205479453</v>
      </c>
      <c r="O24" s="15">
        <f t="shared" si="19"/>
        <v>143639.45205479453</v>
      </c>
      <c r="P24" s="16">
        <f t="shared" si="19"/>
        <v>143639.45205479453</v>
      </c>
      <c r="Q24" s="16">
        <f t="shared" si="19"/>
        <v>143639.45205479453</v>
      </c>
      <c r="R24" s="16">
        <f t="shared" si="19"/>
        <v>143639.45205479453</v>
      </c>
      <c r="S24" s="16">
        <f t="shared" si="19"/>
        <v>143639.45205479453</v>
      </c>
      <c r="T24" s="16">
        <f t="shared" si="19"/>
        <v>143639.45205479453</v>
      </c>
      <c r="U24" s="16">
        <f t="shared" si="19"/>
        <v>143639.45205479453</v>
      </c>
      <c r="V24" s="16">
        <f t="shared" si="19"/>
        <v>143639.45205479453</v>
      </c>
      <c r="W24" s="16">
        <f t="shared" si="19"/>
        <v>143639.45205479453</v>
      </c>
      <c r="X24" s="16">
        <f t="shared" si="19"/>
        <v>143639.45205479453</v>
      </c>
      <c r="Y24" s="16">
        <f t="shared" si="19"/>
        <v>143639.45205479453</v>
      </c>
      <c r="Z24" s="16">
        <f t="shared" si="19"/>
        <v>143639.45205479453</v>
      </c>
      <c r="AA24" s="16">
        <f t="shared" si="19"/>
        <v>143639.45205479453</v>
      </c>
      <c r="AB24" s="16">
        <f t="shared" si="19"/>
        <v>143639.45205479453</v>
      </c>
    </row>
    <row r="25" spans="1:28" ht="15.75" customHeight="1" x14ac:dyDescent="0.3">
      <c r="A25" s="3"/>
      <c r="B25" s="2"/>
      <c r="C25" s="29"/>
      <c r="D25" s="30"/>
      <c r="E25" s="2"/>
      <c r="F25" s="3"/>
      <c r="G25" s="31" t="s">
        <v>36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28" ht="15.75" customHeight="1" x14ac:dyDescent="0.3">
      <c r="A26" s="19" t="s">
        <v>37</v>
      </c>
      <c r="B26" s="2"/>
      <c r="C26" s="10" t="s">
        <v>9</v>
      </c>
      <c r="D26" s="10" t="s">
        <v>10</v>
      </c>
      <c r="E26" s="2"/>
      <c r="F26" s="20" t="s">
        <v>9</v>
      </c>
      <c r="G26" s="11" t="str">
        <f t="shared" ref="G26:AB26" si="20">G7</f>
        <v>Clodoveu</v>
      </c>
      <c r="H26" s="11" t="str">
        <f t="shared" si="20"/>
        <v>Marcus</v>
      </c>
      <c r="I26" s="11" t="str">
        <f t="shared" si="20"/>
        <v>Wilson</v>
      </c>
      <c r="J26" s="11" t="str">
        <f t="shared" si="20"/>
        <v>Maicon</v>
      </c>
      <c r="K26" s="11">
        <f t="shared" si="20"/>
        <v>0</v>
      </c>
      <c r="L26" s="11">
        <f t="shared" si="20"/>
        <v>0</v>
      </c>
      <c r="M26" s="11">
        <f t="shared" si="20"/>
        <v>0</v>
      </c>
      <c r="N26" s="11">
        <f t="shared" si="20"/>
        <v>0</v>
      </c>
      <c r="O26" s="11">
        <f t="shared" si="20"/>
        <v>0</v>
      </c>
      <c r="P26" s="11">
        <f t="shared" si="20"/>
        <v>0</v>
      </c>
      <c r="Q26" s="11">
        <f t="shared" si="20"/>
        <v>0</v>
      </c>
      <c r="R26" s="11">
        <f t="shared" si="20"/>
        <v>0</v>
      </c>
      <c r="S26" s="11">
        <f t="shared" si="20"/>
        <v>0</v>
      </c>
      <c r="T26" s="11">
        <f t="shared" si="20"/>
        <v>0</v>
      </c>
      <c r="U26" s="11">
        <f t="shared" si="20"/>
        <v>0</v>
      </c>
      <c r="V26" s="11">
        <f t="shared" si="20"/>
        <v>0</v>
      </c>
      <c r="W26" s="11">
        <f t="shared" si="20"/>
        <v>0</v>
      </c>
      <c r="X26" s="11">
        <f t="shared" si="20"/>
        <v>0</v>
      </c>
      <c r="Y26" s="11">
        <f t="shared" si="20"/>
        <v>0</v>
      </c>
      <c r="Z26" s="11">
        <f t="shared" si="20"/>
        <v>0</v>
      </c>
      <c r="AA26" s="11">
        <f t="shared" si="20"/>
        <v>0</v>
      </c>
      <c r="AB26" s="11">
        <f t="shared" si="20"/>
        <v>0</v>
      </c>
    </row>
    <row r="27" spans="1:28" ht="15.75" customHeight="1" x14ac:dyDescent="0.3">
      <c r="A27" s="12">
        <f>RAW!$A$6</f>
        <v>400</v>
      </c>
      <c r="B27" s="2"/>
      <c r="C27" s="21" t="s">
        <v>19</v>
      </c>
      <c r="D27" s="22">
        <f t="shared" ref="D27:D43" si="21">$A27/D$5</f>
        <v>400</v>
      </c>
      <c r="E27" s="2"/>
      <c r="F27" s="21" t="s">
        <v>19</v>
      </c>
      <c r="G27" s="23">
        <f t="shared" ref="G27:AB27" si="22">$A27/G$5</f>
        <v>57.142857142857146</v>
      </c>
      <c r="H27" s="23">
        <f t="shared" si="22"/>
        <v>26.666666666666668</v>
      </c>
      <c r="I27" s="23">
        <f t="shared" si="22"/>
        <v>40</v>
      </c>
      <c r="J27" s="23">
        <f t="shared" si="22"/>
        <v>100</v>
      </c>
      <c r="K27" s="23">
        <f t="shared" si="22"/>
        <v>400</v>
      </c>
      <c r="L27" s="23">
        <f t="shared" si="22"/>
        <v>400</v>
      </c>
      <c r="M27" s="23">
        <f t="shared" si="22"/>
        <v>400</v>
      </c>
      <c r="N27" s="23">
        <f t="shared" si="22"/>
        <v>400</v>
      </c>
      <c r="O27" s="23">
        <f t="shared" si="22"/>
        <v>400</v>
      </c>
      <c r="P27" s="23">
        <f t="shared" si="22"/>
        <v>400</v>
      </c>
      <c r="Q27" s="23">
        <f t="shared" si="22"/>
        <v>400</v>
      </c>
      <c r="R27" s="23">
        <f t="shared" si="22"/>
        <v>400</v>
      </c>
      <c r="S27" s="23">
        <f t="shared" si="22"/>
        <v>400</v>
      </c>
      <c r="T27" s="23">
        <f t="shared" si="22"/>
        <v>400</v>
      </c>
      <c r="U27" s="23">
        <f t="shared" si="22"/>
        <v>400</v>
      </c>
      <c r="V27" s="23">
        <f t="shared" si="22"/>
        <v>400</v>
      </c>
      <c r="W27" s="23">
        <f t="shared" si="22"/>
        <v>400</v>
      </c>
      <c r="X27" s="23">
        <f t="shared" si="22"/>
        <v>400</v>
      </c>
      <c r="Y27" s="23">
        <f t="shared" si="22"/>
        <v>400</v>
      </c>
      <c r="Z27" s="23">
        <f t="shared" si="22"/>
        <v>400</v>
      </c>
      <c r="AA27" s="23">
        <f t="shared" si="22"/>
        <v>400</v>
      </c>
      <c r="AB27" s="23">
        <f t="shared" si="22"/>
        <v>400</v>
      </c>
    </row>
    <row r="28" spans="1:28" ht="15.75" customHeight="1" x14ac:dyDescent="0.3">
      <c r="A28" s="12">
        <f>RAW!$A$7</f>
        <v>1200</v>
      </c>
      <c r="B28" s="2"/>
      <c r="C28" s="24" t="s">
        <v>20</v>
      </c>
      <c r="D28" s="23">
        <f t="shared" si="21"/>
        <v>1200</v>
      </c>
      <c r="E28" s="2"/>
      <c r="F28" s="24" t="s">
        <v>20</v>
      </c>
      <c r="G28" s="23">
        <f t="shared" ref="G28:AB28" si="23">$A28/G$5</f>
        <v>171.42857142857142</v>
      </c>
      <c r="H28" s="23">
        <f t="shared" si="23"/>
        <v>80</v>
      </c>
      <c r="I28" s="23">
        <f t="shared" si="23"/>
        <v>120</v>
      </c>
      <c r="J28" s="23">
        <f t="shared" si="23"/>
        <v>300</v>
      </c>
      <c r="K28" s="23">
        <f t="shared" si="23"/>
        <v>1200</v>
      </c>
      <c r="L28" s="23">
        <f t="shared" si="23"/>
        <v>1200</v>
      </c>
      <c r="M28" s="23">
        <f t="shared" si="23"/>
        <v>1200</v>
      </c>
      <c r="N28" s="23">
        <f t="shared" si="23"/>
        <v>1200</v>
      </c>
      <c r="O28" s="23">
        <f t="shared" si="23"/>
        <v>1200</v>
      </c>
      <c r="P28" s="23">
        <f t="shared" si="23"/>
        <v>1200</v>
      </c>
      <c r="Q28" s="23">
        <f t="shared" si="23"/>
        <v>1200</v>
      </c>
      <c r="R28" s="23">
        <f t="shared" si="23"/>
        <v>1200</v>
      </c>
      <c r="S28" s="23">
        <f t="shared" si="23"/>
        <v>1200</v>
      </c>
      <c r="T28" s="23">
        <f t="shared" si="23"/>
        <v>1200</v>
      </c>
      <c r="U28" s="23">
        <f t="shared" si="23"/>
        <v>1200</v>
      </c>
      <c r="V28" s="23">
        <f t="shared" si="23"/>
        <v>1200</v>
      </c>
      <c r="W28" s="23">
        <f t="shared" si="23"/>
        <v>1200</v>
      </c>
      <c r="X28" s="23">
        <f t="shared" si="23"/>
        <v>1200</v>
      </c>
      <c r="Y28" s="23">
        <f t="shared" si="23"/>
        <v>1200</v>
      </c>
      <c r="Z28" s="23">
        <f t="shared" si="23"/>
        <v>1200</v>
      </c>
      <c r="AA28" s="23">
        <f t="shared" si="23"/>
        <v>1200</v>
      </c>
      <c r="AB28" s="23">
        <f t="shared" si="23"/>
        <v>1200</v>
      </c>
    </row>
    <row r="29" spans="1:28" ht="15.75" customHeight="1" x14ac:dyDescent="0.3">
      <c r="A29" s="12">
        <f>RAW!$A$8</f>
        <v>2800</v>
      </c>
      <c r="B29" s="2"/>
      <c r="C29" s="24" t="s">
        <v>21</v>
      </c>
      <c r="D29" s="23">
        <f t="shared" si="21"/>
        <v>2800</v>
      </c>
      <c r="E29" s="2"/>
      <c r="F29" s="24" t="s">
        <v>21</v>
      </c>
      <c r="G29" s="23">
        <f t="shared" ref="G29:AB29" si="24">$A29/G$5</f>
        <v>400</v>
      </c>
      <c r="H29" s="23">
        <f t="shared" si="24"/>
        <v>186.66666666666666</v>
      </c>
      <c r="I29" s="23">
        <f t="shared" si="24"/>
        <v>280</v>
      </c>
      <c r="J29" s="23">
        <f t="shared" si="24"/>
        <v>700</v>
      </c>
      <c r="K29" s="23">
        <f t="shared" si="24"/>
        <v>2800</v>
      </c>
      <c r="L29" s="23">
        <f t="shared" si="24"/>
        <v>2800</v>
      </c>
      <c r="M29" s="23">
        <f t="shared" si="24"/>
        <v>2800</v>
      </c>
      <c r="N29" s="23">
        <f t="shared" si="24"/>
        <v>2800</v>
      </c>
      <c r="O29" s="23">
        <f t="shared" si="24"/>
        <v>2800</v>
      </c>
      <c r="P29" s="23">
        <f t="shared" si="24"/>
        <v>2800</v>
      </c>
      <c r="Q29" s="23">
        <f t="shared" si="24"/>
        <v>2800</v>
      </c>
      <c r="R29" s="23">
        <f t="shared" si="24"/>
        <v>2800</v>
      </c>
      <c r="S29" s="23">
        <f t="shared" si="24"/>
        <v>2800</v>
      </c>
      <c r="T29" s="23">
        <f t="shared" si="24"/>
        <v>2800</v>
      </c>
      <c r="U29" s="23">
        <f t="shared" si="24"/>
        <v>2800</v>
      </c>
      <c r="V29" s="23">
        <f t="shared" si="24"/>
        <v>2800</v>
      </c>
      <c r="W29" s="23">
        <f t="shared" si="24"/>
        <v>2800</v>
      </c>
      <c r="X29" s="23">
        <f t="shared" si="24"/>
        <v>2800</v>
      </c>
      <c r="Y29" s="23">
        <f t="shared" si="24"/>
        <v>2800</v>
      </c>
      <c r="Z29" s="23">
        <f t="shared" si="24"/>
        <v>2800</v>
      </c>
      <c r="AA29" s="23">
        <f t="shared" si="24"/>
        <v>2800</v>
      </c>
      <c r="AB29" s="23">
        <f t="shared" si="24"/>
        <v>2800</v>
      </c>
    </row>
    <row r="30" spans="1:28" ht="15.75" customHeight="1" x14ac:dyDescent="0.3">
      <c r="A30" s="12">
        <f>RAW!$A$9</f>
        <v>6000</v>
      </c>
      <c r="B30" s="2"/>
      <c r="C30" s="24" t="s">
        <v>22</v>
      </c>
      <c r="D30" s="23">
        <f t="shared" si="21"/>
        <v>6000</v>
      </c>
      <c r="E30" s="2"/>
      <c r="F30" s="24" t="s">
        <v>22</v>
      </c>
      <c r="G30" s="23">
        <f t="shared" ref="G30:AB30" si="25">$A30/G$5</f>
        <v>857.14285714285711</v>
      </c>
      <c r="H30" s="23">
        <f t="shared" si="25"/>
        <v>400</v>
      </c>
      <c r="I30" s="23">
        <f t="shared" si="25"/>
        <v>600</v>
      </c>
      <c r="J30" s="23">
        <f t="shared" si="25"/>
        <v>1500</v>
      </c>
      <c r="K30" s="23">
        <f t="shared" si="25"/>
        <v>6000</v>
      </c>
      <c r="L30" s="23">
        <f t="shared" si="25"/>
        <v>6000</v>
      </c>
      <c r="M30" s="23">
        <f t="shared" si="25"/>
        <v>6000</v>
      </c>
      <c r="N30" s="23">
        <f t="shared" si="25"/>
        <v>6000</v>
      </c>
      <c r="O30" s="23">
        <f t="shared" si="25"/>
        <v>6000</v>
      </c>
      <c r="P30" s="23">
        <f t="shared" si="25"/>
        <v>6000</v>
      </c>
      <c r="Q30" s="23">
        <f t="shared" si="25"/>
        <v>6000</v>
      </c>
      <c r="R30" s="23">
        <f t="shared" si="25"/>
        <v>6000</v>
      </c>
      <c r="S30" s="23">
        <f t="shared" si="25"/>
        <v>6000</v>
      </c>
      <c r="T30" s="23">
        <f t="shared" si="25"/>
        <v>6000</v>
      </c>
      <c r="U30" s="23">
        <f t="shared" si="25"/>
        <v>6000</v>
      </c>
      <c r="V30" s="23">
        <f t="shared" si="25"/>
        <v>6000</v>
      </c>
      <c r="W30" s="23">
        <f t="shared" si="25"/>
        <v>6000</v>
      </c>
      <c r="X30" s="23">
        <f t="shared" si="25"/>
        <v>6000</v>
      </c>
      <c r="Y30" s="23">
        <f t="shared" si="25"/>
        <v>6000</v>
      </c>
      <c r="Z30" s="23">
        <f t="shared" si="25"/>
        <v>6000</v>
      </c>
      <c r="AA30" s="23">
        <f t="shared" si="25"/>
        <v>6000</v>
      </c>
      <c r="AB30" s="23">
        <f t="shared" si="25"/>
        <v>6000</v>
      </c>
    </row>
    <row r="31" spans="1:28" ht="15.75" customHeight="1" x14ac:dyDescent="0.3">
      <c r="A31" s="12">
        <f>RAW!$A$10</f>
        <v>12400</v>
      </c>
      <c r="B31" s="2"/>
      <c r="C31" s="24" t="s">
        <v>23</v>
      </c>
      <c r="D31" s="23">
        <f t="shared" si="21"/>
        <v>12400</v>
      </c>
      <c r="E31" s="2"/>
      <c r="F31" s="24" t="s">
        <v>23</v>
      </c>
      <c r="G31" s="23">
        <f t="shared" ref="G31:AB31" si="26">$A31/G$5</f>
        <v>1771.4285714285713</v>
      </c>
      <c r="H31" s="23">
        <f t="shared" si="26"/>
        <v>826.66666666666663</v>
      </c>
      <c r="I31" s="23">
        <f t="shared" si="26"/>
        <v>1240</v>
      </c>
      <c r="J31" s="23">
        <f t="shared" si="26"/>
        <v>3100</v>
      </c>
      <c r="K31" s="23">
        <f t="shared" si="26"/>
        <v>12400</v>
      </c>
      <c r="L31" s="23">
        <f t="shared" si="26"/>
        <v>12400</v>
      </c>
      <c r="M31" s="23">
        <f t="shared" si="26"/>
        <v>12400</v>
      </c>
      <c r="N31" s="23">
        <f t="shared" si="26"/>
        <v>12400</v>
      </c>
      <c r="O31" s="23">
        <f t="shared" si="26"/>
        <v>12400</v>
      </c>
      <c r="P31" s="23">
        <f t="shared" si="26"/>
        <v>12400</v>
      </c>
      <c r="Q31" s="23">
        <f t="shared" si="26"/>
        <v>12400</v>
      </c>
      <c r="R31" s="23">
        <f t="shared" si="26"/>
        <v>12400</v>
      </c>
      <c r="S31" s="23">
        <f t="shared" si="26"/>
        <v>12400</v>
      </c>
      <c r="T31" s="23">
        <f t="shared" si="26"/>
        <v>12400</v>
      </c>
      <c r="U31" s="23">
        <f t="shared" si="26"/>
        <v>12400</v>
      </c>
      <c r="V31" s="23">
        <f t="shared" si="26"/>
        <v>12400</v>
      </c>
      <c r="W31" s="23">
        <f t="shared" si="26"/>
        <v>12400</v>
      </c>
      <c r="X31" s="23">
        <f t="shared" si="26"/>
        <v>12400</v>
      </c>
      <c r="Y31" s="23">
        <f t="shared" si="26"/>
        <v>12400</v>
      </c>
      <c r="Z31" s="23">
        <f t="shared" si="26"/>
        <v>12400</v>
      </c>
      <c r="AA31" s="23">
        <f t="shared" si="26"/>
        <v>12400</v>
      </c>
      <c r="AB31" s="23">
        <f t="shared" si="26"/>
        <v>12400</v>
      </c>
    </row>
    <row r="32" spans="1:28" ht="15.75" customHeight="1" x14ac:dyDescent="0.3">
      <c r="A32" s="12">
        <f>RAW!$A$11</f>
        <v>25200</v>
      </c>
      <c r="B32" s="2"/>
      <c r="C32" s="24" t="s">
        <v>24</v>
      </c>
      <c r="D32" s="23">
        <f t="shared" si="21"/>
        <v>25200</v>
      </c>
      <c r="E32" s="2"/>
      <c r="F32" s="24" t="s">
        <v>24</v>
      </c>
      <c r="G32" s="23">
        <f t="shared" ref="G32:AB32" si="27">$A32/G$5</f>
        <v>3600</v>
      </c>
      <c r="H32" s="23">
        <f t="shared" si="27"/>
        <v>1680</v>
      </c>
      <c r="I32" s="23">
        <f t="shared" si="27"/>
        <v>2520</v>
      </c>
      <c r="J32" s="23">
        <f t="shared" si="27"/>
        <v>6300</v>
      </c>
      <c r="K32" s="23">
        <f t="shared" si="27"/>
        <v>25200</v>
      </c>
      <c r="L32" s="23">
        <f t="shared" si="27"/>
        <v>25200</v>
      </c>
      <c r="M32" s="23">
        <f t="shared" si="27"/>
        <v>25200</v>
      </c>
      <c r="N32" s="23">
        <f t="shared" si="27"/>
        <v>25200</v>
      </c>
      <c r="O32" s="23">
        <f t="shared" si="27"/>
        <v>25200</v>
      </c>
      <c r="P32" s="23">
        <f t="shared" si="27"/>
        <v>25200</v>
      </c>
      <c r="Q32" s="23">
        <f t="shared" si="27"/>
        <v>25200</v>
      </c>
      <c r="R32" s="23">
        <f t="shared" si="27"/>
        <v>25200</v>
      </c>
      <c r="S32" s="23">
        <f t="shared" si="27"/>
        <v>25200</v>
      </c>
      <c r="T32" s="23">
        <f t="shared" si="27"/>
        <v>25200</v>
      </c>
      <c r="U32" s="23">
        <f t="shared" si="27"/>
        <v>25200</v>
      </c>
      <c r="V32" s="23">
        <f t="shared" si="27"/>
        <v>25200</v>
      </c>
      <c r="W32" s="23">
        <f t="shared" si="27"/>
        <v>25200</v>
      </c>
      <c r="X32" s="23">
        <f t="shared" si="27"/>
        <v>25200</v>
      </c>
      <c r="Y32" s="23">
        <f t="shared" si="27"/>
        <v>25200</v>
      </c>
      <c r="Z32" s="23">
        <f t="shared" si="27"/>
        <v>25200</v>
      </c>
      <c r="AA32" s="23">
        <f t="shared" si="27"/>
        <v>25200</v>
      </c>
      <c r="AB32" s="23">
        <f t="shared" si="27"/>
        <v>25200</v>
      </c>
    </row>
    <row r="33" spans="1:28" ht="15.75" customHeight="1" x14ac:dyDescent="0.3">
      <c r="A33" s="12">
        <f>RAW!$A$12</f>
        <v>50800</v>
      </c>
      <c r="B33" s="2"/>
      <c r="C33" s="24" t="s">
        <v>25</v>
      </c>
      <c r="D33" s="23">
        <f t="shared" si="21"/>
        <v>50800</v>
      </c>
      <c r="E33" s="2"/>
      <c r="F33" s="24" t="s">
        <v>25</v>
      </c>
      <c r="G33" s="23">
        <f t="shared" ref="G33:AB33" si="28">$A33/G$5</f>
        <v>7257.1428571428569</v>
      </c>
      <c r="H33" s="23">
        <f t="shared" si="28"/>
        <v>3386.6666666666665</v>
      </c>
      <c r="I33" s="23">
        <f t="shared" si="28"/>
        <v>5080</v>
      </c>
      <c r="J33" s="23">
        <f t="shared" si="28"/>
        <v>12700</v>
      </c>
      <c r="K33" s="23">
        <f t="shared" si="28"/>
        <v>50800</v>
      </c>
      <c r="L33" s="23">
        <f t="shared" si="28"/>
        <v>50800</v>
      </c>
      <c r="M33" s="23">
        <f t="shared" si="28"/>
        <v>50800</v>
      </c>
      <c r="N33" s="23">
        <f t="shared" si="28"/>
        <v>50800</v>
      </c>
      <c r="O33" s="23">
        <f t="shared" si="28"/>
        <v>50800</v>
      </c>
      <c r="P33" s="23">
        <f t="shared" si="28"/>
        <v>50800</v>
      </c>
      <c r="Q33" s="23">
        <f t="shared" si="28"/>
        <v>50800</v>
      </c>
      <c r="R33" s="23">
        <f t="shared" si="28"/>
        <v>50800</v>
      </c>
      <c r="S33" s="23">
        <f t="shared" si="28"/>
        <v>50800</v>
      </c>
      <c r="T33" s="23">
        <f t="shared" si="28"/>
        <v>50800</v>
      </c>
      <c r="U33" s="23">
        <f t="shared" si="28"/>
        <v>50800</v>
      </c>
      <c r="V33" s="23">
        <f t="shared" si="28"/>
        <v>50800</v>
      </c>
      <c r="W33" s="23">
        <f t="shared" si="28"/>
        <v>50800</v>
      </c>
      <c r="X33" s="23">
        <f t="shared" si="28"/>
        <v>50800</v>
      </c>
      <c r="Y33" s="23">
        <f t="shared" si="28"/>
        <v>50800</v>
      </c>
      <c r="Z33" s="23">
        <f t="shared" si="28"/>
        <v>50800</v>
      </c>
      <c r="AA33" s="23">
        <f t="shared" si="28"/>
        <v>50800</v>
      </c>
      <c r="AB33" s="23">
        <f t="shared" si="28"/>
        <v>50800</v>
      </c>
    </row>
    <row r="34" spans="1:28" ht="15.75" customHeight="1" x14ac:dyDescent="0.3">
      <c r="A34" s="12">
        <f>RAW!$A$13</f>
        <v>102000</v>
      </c>
      <c r="B34" s="2"/>
      <c r="C34" s="24" t="s">
        <v>26</v>
      </c>
      <c r="D34" s="23">
        <f t="shared" si="21"/>
        <v>102000</v>
      </c>
      <c r="E34" s="2"/>
      <c r="F34" s="24" t="s">
        <v>26</v>
      </c>
      <c r="G34" s="23">
        <f t="shared" ref="G34:AB34" si="29">$A34/G$5</f>
        <v>14571.428571428571</v>
      </c>
      <c r="H34" s="23">
        <f t="shared" si="29"/>
        <v>6800</v>
      </c>
      <c r="I34" s="23">
        <f t="shared" si="29"/>
        <v>10200</v>
      </c>
      <c r="J34" s="23">
        <f t="shared" si="29"/>
        <v>25500</v>
      </c>
      <c r="K34" s="23">
        <f t="shared" si="29"/>
        <v>102000</v>
      </c>
      <c r="L34" s="23">
        <f t="shared" si="29"/>
        <v>102000</v>
      </c>
      <c r="M34" s="23">
        <f t="shared" si="29"/>
        <v>102000</v>
      </c>
      <c r="N34" s="23">
        <f t="shared" si="29"/>
        <v>102000</v>
      </c>
      <c r="O34" s="23">
        <f t="shared" si="29"/>
        <v>102000</v>
      </c>
      <c r="P34" s="23">
        <f t="shared" si="29"/>
        <v>102000</v>
      </c>
      <c r="Q34" s="23">
        <f t="shared" si="29"/>
        <v>102000</v>
      </c>
      <c r="R34" s="23">
        <f t="shared" si="29"/>
        <v>102000</v>
      </c>
      <c r="S34" s="23">
        <f t="shared" si="29"/>
        <v>102000</v>
      </c>
      <c r="T34" s="23">
        <f t="shared" si="29"/>
        <v>102000</v>
      </c>
      <c r="U34" s="23">
        <f t="shared" si="29"/>
        <v>102000</v>
      </c>
      <c r="V34" s="23">
        <f t="shared" si="29"/>
        <v>102000</v>
      </c>
      <c r="W34" s="23">
        <f t="shared" si="29"/>
        <v>102000</v>
      </c>
      <c r="X34" s="23">
        <f t="shared" si="29"/>
        <v>102000</v>
      </c>
      <c r="Y34" s="23">
        <f t="shared" si="29"/>
        <v>102000</v>
      </c>
      <c r="Z34" s="23">
        <f t="shared" si="29"/>
        <v>102000</v>
      </c>
      <c r="AA34" s="23">
        <f t="shared" si="29"/>
        <v>102000</v>
      </c>
      <c r="AB34" s="23">
        <f t="shared" si="29"/>
        <v>102000</v>
      </c>
    </row>
    <row r="35" spans="1:28" ht="15.75" customHeight="1" x14ac:dyDescent="0.3">
      <c r="A35" s="12">
        <f>RAW!$A$14</f>
        <v>204400</v>
      </c>
      <c r="B35" s="2"/>
      <c r="C35" s="24" t="s">
        <v>27</v>
      </c>
      <c r="D35" s="23">
        <f t="shared" si="21"/>
        <v>204400</v>
      </c>
      <c r="E35" s="2"/>
      <c r="F35" s="24" t="s">
        <v>27</v>
      </c>
      <c r="G35" s="23">
        <f t="shared" ref="G35:AB35" si="30">$A35/G$5</f>
        <v>29200</v>
      </c>
      <c r="H35" s="23">
        <f t="shared" si="30"/>
        <v>13626.666666666666</v>
      </c>
      <c r="I35" s="23">
        <f t="shared" si="30"/>
        <v>20440</v>
      </c>
      <c r="J35" s="23">
        <f t="shared" si="30"/>
        <v>51100</v>
      </c>
      <c r="K35" s="23">
        <f t="shared" si="30"/>
        <v>204400</v>
      </c>
      <c r="L35" s="23">
        <f t="shared" si="30"/>
        <v>204400</v>
      </c>
      <c r="M35" s="23">
        <f t="shared" si="30"/>
        <v>204400</v>
      </c>
      <c r="N35" s="23">
        <f t="shared" si="30"/>
        <v>204400</v>
      </c>
      <c r="O35" s="23">
        <f t="shared" si="30"/>
        <v>204400</v>
      </c>
      <c r="P35" s="23">
        <f t="shared" si="30"/>
        <v>204400</v>
      </c>
      <c r="Q35" s="23">
        <f t="shared" si="30"/>
        <v>204400</v>
      </c>
      <c r="R35" s="23">
        <f t="shared" si="30"/>
        <v>204400</v>
      </c>
      <c r="S35" s="23">
        <f t="shared" si="30"/>
        <v>204400</v>
      </c>
      <c r="T35" s="23">
        <f t="shared" si="30"/>
        <v>204400</v>
      </c>
      <c r="U35" s="23">
        <f t="shared" si="30"/>
        <v>204400</v>
      </c>
      <c r="V35" s="23">
        <f t="shared" si="30"/>
        <v>204400</v>
      </c>
      <c r="W35" s="23">
        <f t="shared" si="30"/>
        <v>204400</v>
      </c>
      <c r="X35" s="23">
        <f t="shared" si="30"/>
        <v>204400</v>
      </c>
      <c r="Y35" s="23">
        <f t="shared" si="30"/>
        <v>204400</v>
      </c>
      <c r="Z35" s="23">
        <f t="shared" si="30"/>
        <v>204400</v>
      </c>
      <c r="AA35" s="23">
        <f t="shared" si="30"/>
        <v>204400</v>
      </c>
      <c r="AB35" s="23">
        <f t="shared" si="30"/>
        <v>204400</v>
      </c>
    </row>
    <row r="36" spans="1:28" ht="15.75" customHeight="1" x14ac:dyDescent="0.3">
      <c r="A36" s="12">
        <f>RAW!$A$15</f>
        <v>409200</v>
      </c>
      <c r="B36" s="2"/>
      <c r="C36" s="24" t="s">
        <v>28</v>
      </c>
      <c r="D36" s="23">
        <f t="shared" si="21"/>
        <v>409200</v>
      </c>
      <c r="E36" s="2"/>
      <c r="F36" s="24" t="s">
        <v>28</v>
      </c>
      <c r="G36" s="23">
        <f t="shared" ref="G36:AB36" si="31">$A36/G$5</f>
        <v>58457.142857142855</v>
      </c>
      <c r="H36" s="23">
        <f t="shared" si="31"/>
        <v>27280</v>
      </c>
      <c r="I36" s="23">
        <f t="shared" si="31"/>
        <v>40920</v>
      </c>
      <c r="J36" s="23">
        <f t="shared" si="31"/>
        <v>102300</v>
      </c>
      <c r="K36" s="23">
        <f t="shared" si="31"/>
        <v>409200</v>
      </c>
      <c r="L36" s="23">
        <f t="shared" si="31"/>
        <v>409200</v>
      </c>
      <c r="M36" s="23">
        <f t="shared" si="31"/>
        <v>409200</v>
      </c>
      <c r="N36" s="23">
        <f t="shared" si="31"/>
        <v>409200</v>
      </c>
      <c r="O36" s="23">
        <f t="shared" si="31"/>
        <v>409200</v>
      </c>
      <c r="P36" s="23">
        <f t="shared" si="31"/>
        <v>409200</v>
      </c>
      <c r="Q36" s="23">
        <f t="shared" si="31"/>
        <v>409200</v>
      </c>
      <c r="R36" s="23">
        <f t="shared" si="31"/>
        <v>409200</v>
      </c>
      <c r="S36" s="23">
        <f t="shared" si="31"/>
        <v>409200</v>
      </c>
      <c r="T36" s="23">
        <f t="shared" si="31"/>
        <v>409200</v>
      </c>
      <c r="U36" s="23">
        <f t="shared" si="31"/>
        <v>409200</v>
      </c>
      <c r="V36" s="23">
        <f t="shared" si="31"/>
        <v>409200</v>
      </c>
      <c r="W36" s="23">
        <f t="shared" si="31"/>
        <v>409200</v>
      </c>
      <c r="X36" s="23">
        <f t="shared" si="31"/>
        <v>409200</v>
      </c>
      <c r="Y36" s="23">
        <f t="shared" si="31"/>
        <v>409200</v>
      </c>
      <c r="Z36" s="23">
        <f t="shared" si="31"/>
        <v>409200</v>
      </c>
      <c r="AA36" s="23">
        <f t="shared" si="31"/>
        <v>409200</v>
      </c>
      <c r="AB36" s="23">
        <f t="shared" si="31"/>
        <v>409200</v>
      </c>
    </row>
    <row r="37" spans="1:28" ht="15.75" customHeight="1" x14ac:dyDescent="0.3">
      <c r="A37" s="12">
        <f>RAW!$A$16</f>
        <v>818800</v>
      </c>
      <c r="B37" s="2"/>
      <c r="C37" s="24" t="s">
        <v>29</v>
      </c>
      <c r="D37" s="23">
        <f t="shared" si="21"/>
        <v>818800</v>
      </c>
      <c r="E37" s="2"/>
      <c r="F37" s="24" t="s">
        <v>29</v>
      </c>
      <c r="G37" s="23">
        <f t="shared" ref="G37:AB37" si="32">$A37/G$5</f>
        <v>116971.42857142857</v>
      </c>
      <c r="H37" s="23">
        <f t="shared" si="32"/>
        <v>54586.666666666664</v>
      </c>
      <c r="I37" s="23">
        <f t="shared" si="32"/>
        <v>81880</v>
      </c>
      <c r="J37" s="23">
        <f t="shared" si="32"/>
        <v>204700</v>
      </c>
      <c r="K37" s="23">
        <f t="shared" si="32"/>
        <v>818800</v>
      </c>
      <c r="L37" s="23">
        <f t="shared" si="32"/>
        <v>818800</v>
      </c>
      <c r="M37" s="23">
        <f t="shared" si="32"/>
        <v>818800</v>
      </c>
      <c r="N37" s="23">
        <f t="shared" si="32"/>
        <v>818800</v>
      </c>
      <c r="O37" s="23">
        <f t="shared" si="32"/>
        <v>818800</v>
      </c>
      <c r="P37" s="23">
        <f t="shared" si="32"/>
        <v>818800</v>
      </c>
      <c r="Q37" s="23">
        <f t="shared" si="32"/>
        <v>818800</v>
      </c>
      <c r="R37" s="23">
        <f t="shared" si="32"/>
        <v>818800</v>
      </c>
      <c r="S37" s="23">
        <f t="shared" si="32"/>
        <v>818800</v>
      </c>
      <c r="T37" s="23">
        <f t="shared" si="32"/>
        <v>818800</v>
      </c>
      <c r="U37" s="23">
        <f t="shared" si="32"/>
        <v>818800</v>
      </c>
      <c r="V37" s="23">
        <f t="shared" si="32"/>
        <v>818800</v>
      </c>
      <c r="W37" s="23">
        <f t="shared" si="32"/>
        <v>818800</v>
      </c>
      <c r="X37" s="23">
        <f t="shared" si="32"/>
        <v>818800</v>
      </c>
      <c r="Y37" s="23">
        <f t="shared" si="32"/>
        <v>818800</v>
      </c>
      <c r="Z37" s="23">
        <f t="shared" si="32"/>
        <v>818800</v>
      </c>
      <c r="AA37" s="23">
        <f t="shared" si="32"/>
        <v>818800</v>
      </c>
      <c r="AB37" s="23">
        <f t="shared" si="32"/>
        <v>818800</v>
      </c>
    </row>
    <row r="38" spans="1:28" ht="15.75" customHeight="1" x14ac:dyDescent="0.3">
      <c r="A38" s="12">
        <f>RAW!$A$17</f>
        <v>1638000</v>
      </c>
      <c r="B38" s="2"/>
      <c r="C38" s="24" t="s">
        <v>30</v>
      </c>
      <c r="D38" s="23">
        <f t="shared" si="21"/>
        <v>1638000</v>
      </c>
      <c r="E38" s="2"/>
      <c r="F38" s="24" t="s">
        <v>30</v>
      </c>
      <c r="G38" s="23">
        <f t="shared" ref="G38:AB38" si="33">$A38/G$5</f>
        <v>234000</v>
      </c>
      <c r="H38" s="23">
        <f t="shared" si="33"/>
        <v>109200</v>
      </c>
      <c r="I38" s="23">
        <f t="shared" si="33"/>
        <v>163800</v>
      </c>
      <c r="J38" s="23">
        <f t="shared" si="33"/>
        <v>409500</v>
      </c>
      <c r="K38" s="23">
        <f t="shared" si="33"/>
        <v>1638000</v>
      </c>
      <c r="L38" s="23">
        <f t="shared" si="33"/>
        <v>1638000</v>
      </c>
      <c r="M38" s="23">
        <f t="shared" si="33"/>
        <v>1638000</v>
      </c>
      <c r="N38" s="23">
        <f t="shared" si="33"/>
        <v>1638000</v>
      </c>
      <c r="O38" s="23">
        <f t="shared" si="33"/>
        <v>1638000</v>
      </c>
      <c r="P38" s="23">
        <f t="shared" si="33"/>
        <v>1638000</v>
      </c>
      <c r="Q38" s="23">
        <f t="shared" si="33"/>
        <v>1638000</v>
      </c>
      <c r="R38" s="23">
        <f t="shared" si="33"/>
        <v>1638000</v>
      </c>
      <c r="S38" s="23">
        <f t="shared" si="33"/>
        <v>1638000</v>
      </c>
      <c r="T38" s="23">
        <f t="shared" si="33"/>
        <v>1638000</v>
      </c>
      <c r="U38" s="23">
        <f t="shared" si="33"/>
        <v>1638000</v>
      </c>
      <c r="V38" s="23">
        <f t="shared" si="33"/>
        <v>1638000</v>
      </c>
      <c r="W38" s="23">
        <f t="shared" si="33"/>
        <v>1638000</v>
      </c>
      <c r="X38" s="23">
        <f t="shared" si="33"/>
        <v>1638000</v>
      </c>
      <c r="Y38" s="23">
        <f t="shared" si="33"/>
        <v>1638000</v>
      </c>
      <c r="Z38" s="23">
        <f t="shared" si="33"/>
        <v>1638000</v>
      </c>
      <c r="AA38" s="23">
        <f t="shared" si="33"/>
        <v>1638000</v>
      </c>
      <c r="AB38" s="23">
        <f t="shared" si="33"/>
        <v>1638000</v>
      </c>
    </row>
    <row r="39" spans="1:28" ht="15.75" customHeight="1" x14ac:dyDescent="0.3">
      <c r="A39" s="12">
        <f>RAW!$A$18</f>
        <v>3276400</v>
      </c>
      <c r="B39" s="2"/>
      <c r="C39" s="24" t="s">
        <v>31</v>
      </c>
      <c r="D39" s="23">
        <f t="shared" si="21"/>
        <v>3276400</v>
      </c>
      <c r="E39" s="2"/>
      <c r="F39" s="24" t="s">
        <v>31</v>
      </c>
      <c r="G39" s="23">
        <f t="shared" ref="G39:AB39" si="34">$A39/G$5</f>
        <v>468057.14285714284</v>
      </c>
      <c r="H39" s="23">
        <f t="shared" si="34"/>
        <v>218426.66666666666</v>
      </c>
      <c r="I39" s="23">
        <f t="shared" si="34"/>
        <v>327640</v>
      </c>
      <c r="J39" s="23">
        <f t="shared" si="34"/>
        <v>819100</v>
      </c>
      <c r="K39" s="23">
        <f t="shared" si="34"/>
        <v>3276400</v>
      </c>
      <c r="L39" s="23">
        <f t="shared" si="34"/>
        <v>3276400</v>
      </c>
      <c r="M39" s="23">
        <f t="shared" si="34"/>
        <v>3276400</v>
      </c>
      <c r="N39" s="23">
        <f t="shared" si="34"/>
        <v>3276400</v>
      </c>
      <c r="O39" s="23">
        <f t="shared" si="34"/>
        <v>3276400</v>
      </c>
      <c r="P39" s="23">
        <f t="shared" si="34"/>
        <v>3276400</v>
      </c>
      <c r="Q39" s="23">
        <f t="shared" si="34"/>
        <v>3276400</v>
      </c>
      <c r="R39" s="23">
        <f t="shared" si="34"/>
        <v>3276400</v>
      </c>
      <c r="S39" s="23">
        <f t="shared" si="34"/>
        <v>3276400</v>
      </c>
      <c r="T39" s="23">
        <f t="shared" si="34"/>
        <v>3276400</v>
      </c>
      <c r="U39" s="23">
        <f t="shared" si="34"/>
        <v>3276400</v>
      </c>
      <c r="V39" s="23">
        <f t="shared" si="34"/>
        <v>3276400</v>
      </c>
      <c r="W39" s="23">
        <f t="shared" si="34"/>
        <v>3276400</v>
      </c>
      <c r="X39" s="23">
        <f t="shared" si="34"/>
        <v>3276400</v>
      </c>
      <c r="Y39" s="23">
        <f t="shared" si="34"/>
        <v>3276400</v>
      </c>
      <c r="Z39" s="23">
        <f t="shared" si="34"/>
        <v>3276400</v>
      </c>
      <c r="AA39" s="23">
        <f t="shared" si="34"/>
        <v>3276400</v>
      </c>
      <c r="AB39" s="23">
        <f t="shared" si="34"/>
        <v>3276400</v>
      </c>
    </row>
    <row r="40" spans="1:28" ht="15.75" customHeight="1" x14ac:dyDescent="0.3">
      <c r="A40" s="12">
        <f>RAW!$A$19</f>
        <v>6553200</v>
      </c>
      <c r="B40" s="2"/>
      <c r="C40" s="24" t="s">
        <v>32</v>
      </c>
      <c r="D40" s="23">
        <f t="shared" si="21"/>
        <v>6553200</v>
      </c>
      <c r="E40" s="2"/>
      <c r="F40" s="24" t="s">
        <v>32</v>
      </c>
      <c r="G40" s="23">
        <f t="shared" ref="G40:AB40" si="35">$A40/G$5</f>
        <v>936171.42857142852</v>
      </c>
      <c r="H40" s="23">
        <f t="shared" si="35"/>
        <v>436880</v>
      </c>
      <c r="I40" s="23">
        <f t="shared" si="35"/>
        <v>655320</v>
      </c>
      <c r="J40" s="23">
        <f t="shared" si="35"/>
        <v>1638300</v>
      </c>
      <c r="K40" s="23">
        <f t="shared" si="35"/>
        <v>6553200</v>
      </c>
      <c r="L40" s="23">
        <f t="shared" si="35"/>
        <v>6553200</v>
      </c>
      <c r="M40" s="23">
        <f t="shared" si="35"/>
        <v>6553200</v>
      </c>
      <c r="N40" s="23">
        <f t="shared" si="35"/>
        <v>6553200</v>
      </c>
      <c r="O40" s="23">
        <f t="shared" si="35"/>
        <v>6553200</v>
      </c>
      <c r="P40" s="23">
        <f t="shared" si="35"/>
        <v>6553200</v>
      </c>
      <c r="Q40" s="23">
        <f t="shared" si="35"/>
        <v>6553200</v>
      </c>
      <c r="R40" s="23">
        <f t="shared" si="35"/>
        <v>6553200</v>
      </c>
      <c r="S40" s="23">
        <f t="shared" si="35"/>
        <v>6553200</v>
      </c>
      <c r="T40" s="23">
        <f t="shared" si="35"/>
        <v>6553200</v>
      </c>
      <c r="U40" s="23">
        <f t="shared" si="35"/>
        <v>6553200</v>
      </c>
      <c r="V40" s="23">
        <f t="shared" si="35"/>
        <v>6553200</v>
      </c>
      <c r="W40" s="23">
        <f t="shared" si="35"/>
        <v>6553200</v>
      </c>
      <c r="X40" s="23">
        <f t="shared" si="35"/>
        <v>6553200</v>
      </c>
      <c r="Y40" s="23">
        <f t="shared" si="35"/>
        <v>6553200</v>
      </c>
      <c r="Z40" s="23">
        <f t="shared" si="35"/>
        <v>6553200</v>
      </c>
      <c r="AA40" s="23">
        <f t="shared" si="35"/>
        <v>6553200</v>
      </c>
      <c r="AB40" s="23">
        <f t="shared" si="35"/>
        <v>6553200</v>
      </c>
    </row>
    <row r="41" spans="1:28" ht="15.75" customHeight="1" x14ac:dyDescent="0.3">
      <c r="A41" s="12">
        <f>RAW!$A$20</f>
        <v>13106800</v>
      </c>
      <c r="B41" s="2"/>
      <c r="C41" s="24" t="s">
        <v>33</v>
      </c>
      <c r="D41" s="23">
        <f t="shared" si="21"/>
        <v>13106800</v>
      </c>
      <c r="E41" s="2"/>
      <c r="F41" s="24" t="s">
        <v>33</v>
      </c>
      <c r="G41" s="23">
        <f t="shared" ref="G41:AB41" si="36">$A41/G$5</f>
        <v>1872400</v>
      </c>
      <c r="H41" s="23">
        <f t="shared" si="36"/>
        <v>873786.66666666663</v>
      </c>
      <c r="I41" s="23">
        <f t="shared" si="36"/>
        <v>1310680</v>
      </c>
      <c r="J41" s="23">
        <f t="shared" si="36"/>
        <v>3276700</v>
      </c>
      <c r="K41" s="23">
        <f t="shared" si="36"/>
        <v>13106800</v>
      </c>
      <c r="L41" s="23">
        <f t="shared" si="36"/>
        <v>13106800</v>
      </c>
      <c r="M41" s="23">
        <f t="shared" si="36"/>
        <v>13106800</v>
      </c>
      <c r="N41" s="23">
        <f t="shared" si="36"/>
        <v>13106800</v>
      </c>
      <c r="O41" s="23">
        <f t="shared" si="36"/>
        <v>13106800</v>
      </c>
      <c r="P41" s="23">
        <f t="shared" si="36"/>
        <v>13106800</v>
      </c>
      <c r="Q41" s="23">
        <f t="shared" si="36"/>
        <v>13106800</v>
      </c>
      <c r="R41" s="23">
        <f t="shared" si="36"/>
        <v>13106800</v>
      </c>
      <c r="S41" s="23">
        <f t="shared" si="36"/>
        <v>13106800</v>
      </c>
      <c r="T41" s="23">
        <f t="shared" si="36"/>
        <v>13106800</v>
      </c>
      <c r="U41" s="23">
        <f t="shared" si="36"/>
        <v>13106800</v>
      </c>
      <c r="V41" s="23">
        <f t="shared" si="36"/>
        <v>13106800</v>
      </c>
      <c r="W41" s="23">
        <f t="shared" si="36"/>
        <v>13106800</v>
      </c>
      <c r="X41" s="23">
        <f t="shared" si="36"/>
        <v>13106800</v>
      </c>
      <c r="Y41" s="23">
        <f t="shared" si="36"/>
        <v>13106800</v>
      </c>
      <c r="Z41" s="23">
        <f t="shared" si="36"/>
        <v>13106800</v>
      </c>
      <c r="AA41" s="23">
        <f t="shared" si="36"/>
        <v>13106800</v>
      </c>
      <c r="AB41" s="23">
        <f t="shared" si="36"/>
        <v>13106800</v>
      </c>
    </row>
    <row r="42" spans="1:28" ht="15.75" customHeight="1" x14ac:dyDescent="0.3">
      <c r="A42" s="12">
        <f>RAW!$A$21</f>
        <v>26214000</v>
      </c>
      <c r="B42" s="2"/>
      <c r="C42" s="24" t="s">
        <v>34</v>
      </c>
      <c r="D42" s="23">
        <f t="shared" si="21"/>
        <v>26214000</v>
      </c>
      <c r="E42" s="2"/>
      <c r="F42" s="24" t="s">
        <v>34</v>
      </c>
      <c r="G42" s="23">
        <f t="shared" ref="G42:AB42" si="37">$A42/G$5</f>
        <v>3744857.1428571427</v>
      </c>
      <c r="H42" s="23">
        <f t="shared" si="37"/>
        <v>1747600</v>
      </c>
      <c r="I42" s="23">
        <f t="shared" si="37"/>
        <v>2621400</v>
      </c>
      <c r="J42" s="23">
        <f t="shared" si="37"/>
        <v>6553500</v>
      </c>
      <c r="K42" s="23">
        <f t="shared" si="37"/>
        <v>26214000</v>
      </c>
      <c r="L42" s="23">
        <f t="shared" si="37"/>
        <v>26214000</v>
      </c>
      <c r="M42" s="23">
        <f t="shared" si="37"/>
        <v>26214000</v>
      </c>
      <c r="N42" s="23">
        <f t="shared" si="37"/>
        <v>26214000</v>
      </c>
      <c r="O42" s="23">
        <f t="shared" si="37"/>
        <v>26214000</v>
      </c>
      <c r="P42" s="23">
        <f t="shared" si="37"/>
        <v>26214000</v>
      </c>
      <c r="Q42" s="23">
        <f t="shared" si="37"/>
        <v>26214000</v>
      </c>
      <c r="R42" s="23">
        <f t="shared" si="37"/>
        <v>26214000</v>
      </c>
      <c r="S42" s="23">
        <f t="shared" si="37"/>
        <v>26214000</v>
      </c>
      <c r="T42" s="23">
        <f t="shared" si="37"/>
        <v>26214000</v>
      </c>
      <c r="U42" s="23">
        <f t="shared" si="37"/>
        <v>26214000</v>
      </c>
      <c r="V42" s="23">
        <f t="shared" si="37"/>
        <v>26214000</v>
      </c>
      <c r="W42" s="23">
        <f t="shared" si="37"/>
        <v>26214000</v>
      </c>
      <c r="X42" s="23">
        <f t="shared" si="37"/>
        <v>26214000</v>
      </c>
      <c r="Y42" s="23">
        <f t="shared" si="37"/>
        <v>26214000</v>
      </c>
      <c r="Z42" s="23">
        <f t="shared" si="37"/>
        <v>26214000</v>
      </c>
      <c r="AA42" s="23">
        <f t="shared" si="37"/>
        <v>26214000</v>
      </c>
      <c r="AB42" s="23">
        <f t="shared" si="37"/>
        <v>26214000</v>
      </c>
    </row>
    <row r="43" spans="1:28" ht="15.75" customHeight="1" x14ac:dyDescent="0.3">
      <c r="A43" s="12">
        <f>RAW!$A$22</f>
        <v>52428400</v>
      </c>
      <c r="B43" s="2"/>
      <c r="C43" s="24" t="s">
        <v>35</v>
      </c>
      <c r="D43" s="23">
        <f t="shared" si="21"/>
        <v>52428400</v>
      </c>
      <c r="E43" s="2"/>
      <c r="F43" s="24" t="s">
        <v>35</v>
      </c>
      <c r="G43" s="23">
        <f t="shared" ref="G43:AB43" si="38">$A43/G$5</f>
        <v>7489771.4285714282</v>
      </c>
      <c r="H43" s="23">
        <f t="shared" si="38"/>
        <v>3495226.6666666665</v>
      </c>
      <c r="I43" s="23">
        <f t="shared" si="38"/>
        <v>5242840</v>
      </c>
      <c r="J43" s="23">
        <f t="shared" si="38"/>
        <v>13107100</v>
      </c>
      <c r="K43" s="23">
        <f t="shared" si="38"/>
        <v>52428400</v>
      </c>
      <c r="L43" s="23">
        <f t="shared" si="38"/>
        <v>52428400</v>
      </c>
      <c r="M43" s="23">
        <f t="shared" si="38"/>
        <v>52428400</v>
      </c>
      <c r="N43" s="23">
        <f t="shared" si="38"/>
        <v>52428400</v>
      </c>
      <c r="O43" s="23">
        <f t="shared" si="38"/>
        <v>52428400</v>
      </c>
      <c r="P43" s="23">
        <f t="shared" si="38"/>
        <v>52428400</v>
      </c>
      <c r="Q43" s="23">
        <f t="shared" si="38"/>
        <v>52428400</v>
      </c>
      <c r="R43" s="23">
        <f t="shared" si="38"/>
        <v>52428400</v>
      </c>
      <c r="S43" s="23">
        <f t="shared" si="38"/>
        <v>52428400</v>
      </c>
      <c r="T43" s="23">
        <f t="shared" si="38"/>
        <v>52428400</v>
      </c>
      <c r="U43" s="23">
        <f t="shared" si="38"/>
        <v>52428400</v>
      </c>
      <c r="V43" s="23">
        <f t="shared" si="38"/>
        <v>52428400</v>
      </c>
      <c r="W43" s="23">
        <f t="shared" si="38"/>
        <v>52428400</v>
      </c>
      <c r="X43" s="23">
        <f t="shared" si="38"/>
        <v>52428400</v>
      </c>
      <c r="Y43" s="23">
        <f t="shared" si="38"/>
        <v>52428400</v>
      </c>
      <c r="Z43" s="23">
        <f t="shared" si="38"/>
        <v>52428400</v>
      </c>
      <c r="AA43" s="23">
        <f t="shared" si="38"/>
        <v>52428400</v>
      </c>
      <c r="AB43" s="23">
        <f t="shared" si="38"/>
        <v>52428400</v>
      </c>
    </row>
    <row r="44" spans="1:28" ht="15.75" customHeight="1" x14ac:dyDescent="0.3">
      <c r="A44" s="3"/>
      <c r="B44" s="2"/>
      <c r="C44" s="29"/>
      <c r="D44" s="30"/>
      <c r="E44" s="2"/>
      <c r="F44" s="3"/>
      <c r="G44" s="31" t="s">
        <v>38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15.75" customHeight="1" x14ac:dyDescent="0.3">
      <c r="A45" s="19" t="s">
        <v>37</v>
      </c>
      <c r="B45" s="2"/>
      <c r="C45" s="10" t="s">
        <v>9</v>
      </c>
      <c r="D45" s="10" t="s">
        <v>10</v>
      </c>
      <c r="E45" s="2"/>
      <c r="F45" s="20" t="s">
        <v>9</v>
      </c>
      <c r="G45" s="11" t="str">
        <f t="shared" ref="G45:AB45" si="39">G26</f>
        <v>Clodoveu</v>
      </c>
      <c r="H45" s="11" t="str">
        <f t="shared" si="39"/>
        <v>Marcus</v>
      </c>
      <c r="I45" s="11" t="str">
        <f t="shared" si="39"/>
        <v>Wilson</v>
      </c>
      <c r="J45" s="11" t="str">
        <f t="shared" si="39"/>
        <v>Maicon</v>
      </c>
      <c r="K45" s="11">
        <f t="shared" si="39"/>
        <v>0</v>
      </c>
      <c r="L45" s="11">
        <f t="shared" si="39"/>
        <v>0</v>
      </c>
      <c r="M45" s="11">
        <f t="shared" si="39"/>
        <v>0</v>
      </c>
      <c r="N45" s="11">
        <f t="shared" si="39"/>
        <v>0</v>
      </c>
      <c r="O45" s="11">
        <f t="shared" si="39"/>
        <v>0</v>
      </c>
      <c r="P45" s="11">
        <f t="shared" si="39"/>
        <v>0</v>
      </c>
      <c r="Q45" s="11">
        <f t="shared" si="39"/>
        <v>0</v>
      </c>
      <c r="R45" s="11">
        <f t="shared" si="39"/>
        <v>0</v>
      </c>
      <c r="S45" s="11">
        <f t="shared" si="39"/>
        <v>0</v>
      </c>
      <c r="T45" s="11">
        <f t="shared" si="39"/>
        <v>0</v>
      </c>
      <c r="U45" s="11">
        <f t="shared" si="39"/>
        <v>0</v>
      </c>
      <c r="V45" s="11">
        <f t="shared" si="39"/>
        <v>0</v>
      </c>
      <c r="W45" s="11">
        <f t="shared" si="39"/>
        <v>0</v>
      </c>
      <c r="X45" s="11">
        <f t="shared" si="39"/>
        <v>0</v>
      </c>
      <c r="Y45" s="11">
        <f t="shared" si="39"/>
        <v>0</v>
      </c>
      <c r="Z45" s="11">
        <f t="shared" si="39"/>
        <v>0</v>
      </c>
      <c r="AA45" s="11">
        <f t="shared" si="39"/>
        <v>0</v>
      </c>
      <c r="AB45" s="11">
        <f t="shared" si="39"/>
        <v>0</v>
      </c>
    </row>
    <row r="46" spans="1:28" ht="15.75" customHeight="1" x14ac:dyDescent="0.3">
      <c r="A46" s="12">
        <f>RAW!$A$6</f>
        <v>400</v>
      </c>
      <c r="B46" s="2"/>
      <c r="C46" s="21" t="s">
        <v>19</v>
      </c>
      <c r="D46" s="22">
        <f t="shared" ref="D46:D62" si="40">($A46/D$5)/365</f>
        <v>1.095890410958904</v>
      </c>
      <c r="E46" s="2"/>
      <c r="F46" s="21" t="s">
        <v>19</v>
      </c>
      <c r="G46" s="23">
        <f t="shared" ref="G46:AB46" si="41">($A46/G$5)/365</f>
        <v>0.15655577299412918</v>
      </c>
      <c r="H46" s="23">
        <f t="shared" si="41"/>
        <v>7.3059360730593617E-2</v>
      </c>
      <c r="I46" s="23">
        <f t="shared" si="41"/>
        <v>0.1095890410958904</v>
      </c>
      <c r="J46" s="23">
        <f t="shared" si="41"/>
        <v>0.27397260273972601</v>
      </c>
      <c r="K46" s="23">
        <f t="shared" si="41"/>
        <v>1.095890410958904</v>
      </c>
      <c r="L46" s="23">
        <f t="shared" si="41"/>
        <v>1.095890410958904</v>
      </c>
      <c r="M46" s="23">
        <f t="shared" si="41"/>
        <v>1.095890410958904</v>
      </c>
      <c r="N46" s="23">
        <f t="shared" si="41"/>
        <v>1.095890410958904</v>
      </c>
      <c r="O46" s="23">
        <f t="shared" si="41"/>
        <v>1.095890410958904</v>
      </c>
      <c r="P46" s="23">
        <f t="shared" si="41"/>
        <v>1.095890410958904</v>
      </c>
      <c r="Q46" s="23">
        <f t="shared" si="41"/>
        <v>1.095890410958904</v>
      </c>
      <c r="R46" s="23">
        <f t="shared" si="41"/>
        <v>1.095890410958904</v>
      </c>
      <c r="S46" s="23">
        <f t="shared" si="41"/>
        <v>1.095890410958904</v>
      </c>
      <c r="T46" s="23">
        <f t="shared" si="41"/>
        <v>1.095890410958904</v>
      </c>
      <c r="U46" s="23">
        <f t="shared" si="41"/>
        <v>1.095890410958904</v>
      </c>
      <c r="V46" s="23">
        <f t="shared" si="41"/>
        <v>1.095890410958904</v>
      </c>
      <c r="W46" s="23">
        <f t="shared" si="41"/>
        <v>1.095890410958904</v>
      </c>
      <c r="X46" s="23">
        <f t="shared" si="41"/>
        <v>1.095890410958904</v>
      </c>
      <c r="Y46" s="23">
        <f t="shared" si="41"/>
        <v>1.095890410958904</v>
      </c>
      <c r="Z46" s="23">
        <f t="shared" si="41"/>
        <v>1.095890410958904</v>
      </c>
      <c r="AA46" s="23">
        <f t="shared" si="41"/>
        <v>1.095890410958904</v>
      </c>
      <c r="AB46" s="23">
        <f t="shared" si="41"/>
        <v>1.095890410958904</v>
      </c>
    </row>
    <row r="47" spans="1:28" ht="15.75" customHeight="1" x14ac:dyDescent="0.3">
      <c r="A47" s="12">
        <f>RAW!$A$7</f>
        <v>1200</v>
      </c>
      <c r="B47" s="2"/>
      <c r="C47" s="24" t="s">
        <v>20</v>
      </c>
      <c r="D47" s="23">
        <f t="shared" si="40"/>
        <v>3.2876712328767121</v>
      </c>
      <c r="E47" s="2"/>
      <c r="F47" s="24" t="s">
        <v>20</v>
      </c>
      <c r="G47" s="23">
        <f t="shared" ref="G47:AB47" si="42">($A47/G$5)/365</f>
        <v>0.46966731898238745</v>
      </c>
      <c r="H47" s="23">
        <f t="shared" si="42"/>
        <v>0.21917808219178081</v>
      </c>
      <c r="I47" s="23">
        <f t="shared" si="42"/>
        <v>0.32876712328767121</v>
      </c>
      <c r="J47" s="23">
        <f t="shared" si="42"/>
        <v>0.82191780821917804</v>
      </c>
      <c r="K47" s="23">
        <f t="shared" si="42"/>
        <v>3.2876712328767121</v>
      </c>
      <c r="L47" s="23">
        <f t="shared" si="42"/>
        <v>3.2876712328767121</v>
      </c>
      <c r="M47" s="23">
        <f t="shared" si="42"/>
        <v>3.2876712328767121</v>
      </c>
      <c r="N47" s="23">
        <f t="shared" si="42"/>
        <v>3.2876712328767121</v>
      </c>
      <c r="O47" s="23">
        <f t="shared" si="42"/>
        <v>3.2876712328767121</v>
      </c>
      <c r="P47" s="23">
        <f t="shared" si="42"/>
        <v>3.2876712328767121</v>
      </c>
      <c r="Q47" s="23">
        <f t="shared" si="42"/>
        <v>3.2876712328767121</v>
      </c>
      <c r="R47" s="23">
        <f t="shared" si="42"/>
        <v>3.2876712328767121</v>
      </c>
      <c r="S47" s="23">
        <f t="shared" si="42"/>
        <v>3.2876712328767121</v>
      </c>
      <c r="T47" s="23">
        <f t="shared" si="42"/>
        <v>3.2876712328767121</v>
      </c>
      <c r="U47" s="23">
        <f t="shared" si="42"/>
        <v>3.2876712328767121</v>
      </c>
      <c r="V47" s="23">
        <f t="shared" si="42"/>
        <v>3.2876712328767121</v>
      </c>
      <c r="W47" s="23">
        <f t="shared" si="42"/>
        <v>3.2876712328767121</v>
      </c>
      <c r="X47" s="23">
        <f t="shared" si="42"/>
        <v>3.2876712328767121</v>
      </c>
      <c r="Y47" s="23">
        <f t="shared" si="42"/>
        <v>3.2876712328767121</v>
      </c>
      <c r="Z47" s="23">
        <f t="shared" si="42"/>
        <v>3.2876712328767121</v>
      </c>
      <c r="AA47" s="23">
        <f t="shared" si="42"/>
        <v>3.2876712328767121</v>
      </c>
      <c r="AB47" s="23">
        <f t="shared" si="42"/>
        <v>3.2876712328767121</v>
      </c>
    </row>
    <row r="48" spans="1:28" ht="15.75" customHeight="1" x14ac:dyDescent="0.3">
      <c r="A48" s="12">
        <f>RAW!$A$8</f>
        <v>2800</v>
      </c>
      <c r="B48" s="2"/>
      <c r="C48" s="24" t="s">
        <v>21</v>
      </c>
      <c r="D48" s="23">
        <f t="shared" si="40"/>
        <v>7.6712328767123283</v>
      </c>
      <c r="E48" s="2"/>
      <c r="F48" s="24" t="s">
        <v>21</v>
      </c>
      <c r="G48" s="23">
        <f t="shared" ref="G48:AB48" si="43">($A48/G$5)/365</f>
        <v>1.095890410958904</v>
      </c>
      <c r="H48" s="23">
        <f t="shared" si="43"/>
        <v>0.51141552511415522</v>
      </c>
      <c r="I48" s="23">
        <f t="shared" si="43"/>
        <v>0.76712328767123283</v>
      </c>
      <c r="J48" s="23">
        <f t="shared" si="43"/>
        <v>1.9178082191780821</v>
      </c>
      <c r="K48" s="23">
        <f t="shared" si="43"/>
        <v>7.6712328767123283</v>
      </c>
      <c r="L48" s="23">
        <f t="shared" si="43"/>
        <v>7.6712328767123283</v>
      </c>
      <c r="M48" s="23">
        <f t="shared" si="43"/>
        <v>7.6712328767123283</v>
      </c>
      <c r="N48" s="23">
        <f t="shared" si="43"/>
        <v>7.6712328767123283</v>
      </c>
      <c r="O48" s="23">
        <f t="shared" si="43"/>
        <v>7.6712328767123283</v>
      </c>
      <c r="P48" s="23">
        <f t="shared" si="43"/>
        <v>7.6712328767123283</v>
      </c>
      <c r="Q48" s="23">
        <f t="shared" si="43"/>
        <v>7.6712328767123283</v>
      </c>
      <c r="R48" s="23">
        <f t="shared" si="43"/>
        <v>7.6712328767123283</v>
      </c>
      <c r="S48" s="23">
        <f t="shared" si="43"/>
        <v>7.6712328767123283</v>
      </c>
      <c r="T48" s="23">
        <f t="shared" si="43"/>
        <v>7.6712328767123283</v>
      </c>
      <c r="U48" s="23">
        <f t="shared" si="43"/>
        <v>7.6712328767123283</v>
      </c>
      <c r="V48" s="23">
        <f t="shared" si="43"/>
        <v>7.6712328767123283</v>
      </c>
      <c r="W48" s="23">
        <f t="shared" si="43"/>
        <v>7.6712328767123283</v>
      </c>
      <c r="X48" s="23">
        <f t="shared" si="43"/>
        <v>7.6712328767123283</v>
      </c>
      <c r="Y48" s="23">
        <f t="shared" si="43"/>
        <v>7.6712328767123283</v>
      </c>
      <c r="Z48" s="23">
        <f t="shared" si="43"/>
        <v>7.6712328767123283</v>
      </c>
      <c r="AA48" s="23">
        <f t="shared" si="43"/>
        <v>7.6712328767123283</v>
      </c>
      <c r="AB48" s="23">
        <f t="shared" si="43"/>
        <v>7.6712328767123283</v>
      </c>
    </row>
    <row r="49" spans="1:28" ht="15.75" customHeight="1" x14ac:dyDescent="0.3">
      <c r="A49" s="12">
        <f>RAW!$A$9</f>
        <v>6000</v>
      </c>
      <c r="B49" s="2"/>
      <c r="C49" s="24" t="s">
        <v>22</v>
      </c>
      <c r="D49" s="23">
        <f t="shared" si="40"/>
        <v>16.438356164383563</v>
      </c>
      <c r="E49" s="2"/>
      <c r="F49" s="24" t="s">
        <v>22</v>
      </c>
      <c r="G49" s="23">
        <f t="shared" ref="G49:AB49" si="44">($A49/G$5)/365</f>
        <v>2.3483365949119372</v>
      </c>
      <c r="H49" s="23">
        <f t="shared" si="44"/>
        <v>1.095890410958904</v>
      </c>
      <c r="I49" s="23">
        <f t="shared" si="44"/>
        <v>1.6438356164383561</v>
      </c>
      <c r="J49" s="23">
        <f t="shared" si="44"/>
        <v>4.1095890410958908</v>
      </c>
      <c r="K49" s="23">
        <f t="shared" si="44"/>
        <v>16.438356164383563</v>
      </c>
      <c r="L49" s="23">
        <f t="shared" si="44"/>
        <v>16.438356164383563</v>
      </c>
      <c r="M49" s="23">
        <f t="shared" si="44"/>
        <v>16.438356164383563</v>
      </c>
      <c r="N49" s="23">
        <f t="shared" si="44"/>
        <v>16.438356164383563</v>
      </c>
      <c r="O49" s="23">
        <f t="shared" si="44"/>
        <v>16.438356164383563</v>
      </c>
      <c r="P49" s="23">
        <f t="shared" si="44"/>
        <v>16.438356164383563</v>
      </c>
      <c r="Q49" s="23">
        <f t="shared" si="44"/>
        <v>16.438356164383563</v>
      </c>
      <c r="R49" s="23">
        <f t="shared" si="44"/>
        <v>16.438356164383563</v>
      </c>
      <c r="S49" s="23">
        <f t="shared" si="44"/>
        <v>16.438356164383563</v>
      </c>
      <c r="T49" s="23">
        <f t="shared" si="44"/>
        <v>16.438356164383563</v>
      </c>
      <c r="U49" s="23">
        <f t="shared" si="44"/>
        <v>16.438356164383563</v>
      </c>
      <c r="V49" s="23">
        <f t="shared" si="44"/>
        <v>16.438356164383563</v>
      </c>
      <c r="W49" s="23">
        <f t="shared" si="44"/>
        <v>16.438356164383563</v>
      </c>
      <c r="X49" s="23">
        <f t="shared" si="44"/>
        <v>16.438356164383563</v>
      </c>
      <c r="Y49" s="23">
        <f t="shared" si="44"/>
        <v>16.438356164383563</v>
      </c>
      <c r="Z49" s="23">
        <f t="shared" si="44"/>
        <v>16.438356164383563</v>
      </c>
      <c r="AA49" s="23">
        <f t="shared" si="44"/>
        <v>16.438356164383563</v>
      </c>
      <c r="AB49" s="23">
        <f t="shared" si="44"/>
        <v>16.438356164383563</v>
      </c>
    </row>
    <row r="50" spans="1:28" ht="15.75" customHeight="1" x14ac:dyDescent="0.3">
      <c r="A50" s="12">
        <f>RAW!$A$10</f>
        <v>12400</v>
      </c>
      <c r="B50" s="2"/>
      <c r="C50" s="24" t="s">
        <v>23</v>
      </c>
      <c r="D50" s="23">
        <f t="shared" si="40"/>
        <v>33.972602739726028</v>
      </c>
      <c r="E50" s="2"/>
      <c r="F50" s="24" t="s">
        <v>23</v>
      </c>
      <c r="G50" s="23">
        <f t="shared" ref="G50:AB50" si="45">($A50/G$5)/365</f>
        <v>4.8532289628180036</v>
      </c>
      <c r="H50" s="23">
        <f t="shared" si="45"/>
        <v>2.2648401826484017</v>
      </c>
      <c r="I50" s="23">
        <f t="shared" si="45"/>
        <v>3.3972602739726026</v>
      </c>
      <c r="J50" s="23">
        <f t="shared" si="45"/>
        <v>8.493150684931507</v>
      </c>
      <c r="K50" s="23">
        <f t="shared" si="45"/>
        <v>33.972602739726028</v>
      </c>
      <c r="L50" s="23">
        <f t="shared" si="45"/>
        <v>33.972602739726028</v>
      </c>
      <c r="M50" s="23">
        <f t="shared" si="45"/>
        <v>33.972602739726028</v>
      </c>
      <c r="N50" s="23">
        <f t="shared" si="45"/>
        <v>33.972602739726028</v>
      </c>
      <c r="O50" s="23">
        <f t="shared" si="45"/>
        <v>33.972602739726028</v>
      </c>
      <c r="P50" s="23">
        <f t="shared" si="45"/>
        <v>33.972602739726028</v>
      </c>
      <c r="Q50" s="23">
        <f t="shared" si="45"/>
        <v>33.972602739726028</v>
      </c>
      <c r="R50" s="23">
        <f t="shared" si="45"/>
        <v>33.972602739726028</v>
      </c>
      <c r="S50" s="23">
        <f t="shared" si="45"/>
        <v>33.972602739726028</v>
      </c>
      <c r="T50" s="23">
        <f t="shared" si="45"/>
        <v>33.972602739726028</v>
      </c>
      <c r="U50" s="23">
        <f t="shared" si="45"/>
        <v>33.972602739726028</v>
      </c>
      <c r="V50" s="23">
        <f t="shared" si="45"/>
        <v>33.972602739726028</v>
      </c>
      <c r="W50" s="23">
        <f t="shared" si="45"/>
        <v>33.972602739726028</v>
      </c>
      <c r="X50" s="23">
        <f t="shared" si="45"/>
        <v>33.972602739726028</v>
      </c>
      <c r="Y50" s="23">
        <f t="shared" si="45"/>
        <v>33.972602739726028</v>
      </c>
      <c r="Z50" s="23">
        <f t="shared" si="45"/>
        <v>33.972602739726028</v>
      </c>
      <c r="AA50" s="23">
        <f t="shared" si="45"/>
        <v>33.972602739726028</v>
      </c>
      <c r="AB50" s="23">
        <f t="shared" si="45"/>
        <v>33.972602739726028</v>
      </c>
    </row>
    <row r="51" spans="1:28" ht="15.75" customHeight="1" x14ac:dyDescent="0.3">
      <c r="A51" s="12">
        <f>RAW!$A$11</f>
        <v>25200</v>
      </c>
      <c r="B51" s="2"/>
      <c r="C51" s="24" t="s">
        <v>24</v>
      </c>
      <c r="D51" s="23">
        <f t="shared" si="40"/>
        <v>69.041095890410958</v>
      </c>
      <c r="E51" s="2"/>
      <c r="F51" s="24" t="s">
        <v>24</v>
      </c>
      <c r="G51" s="23">
        <f t="shared" ref="G51:AB51" si="46">($A51/G$5)/365</f>
        <v>9.8630136986301373</v>
      </c>
      <c r="H51" s="23">
        <f t="shared" si="46"/>
        <v>4.602739726027397</v>
      </c>
      <c r="I51" s="23">
        <f t="shared" si="46"/>
        <v>6.904109589041096</v>
      </c>
      <c r="J51" s="23">
        <f t="shared" si="46"/>
        <v>17.260273972602739</v>
      </c>
      <c r="K51" s="23">
        <f t="shared" si="46"/>
        <v>69.041095890410958</v>
      </c>
      <c r="L51" s="23">
        <f t="shared" si="46"/>
        <v>69.041095890410958</v>
      </c>
      <c r="M51" s="23">
        <f t="shared" si="46"/>
        <v>69.041095890410958</v>
      </c>
      <c r="N51" s="23">
        <f t="shared" si="46"/>
        <v>69.041095890410958</v>
      </c>
      <c r="O51" s="23">
        <f t="shared" si="46"/>
        <v>69.041095890410958</v>
      </c>
      <c r="P51" s="23">
        <f t="shared" si="46"/>
        <v>69.041095890410958</v>
      </c>
      <c r="Q51" s="23">
        <f t="shared" si="46"/>
        <v>69.041095890410958</v>
      </c>
      <c r="R51" s="23">
        <f t="shared" si="46"/>
        <v>69.041095890410958</v>
      </c>
      <c r="S51" s="23">
        <f t="shared" si="46"/>
        <v>69.041095890410958</v>
      </c>
      <c r="T51" s="23">
        <f t="shared" si="46"/>
        <v>69.041095890410958</v>
      </c>
      <c r="U51" s="23">
        <f t="shared" si="46"/>
        <v>69.041095890410958</v>
      </c>
      <c r="V51" s="23">
        <f t="shared" si="46"/>
        <v>69.041095890410958</v>
      </c>
      <c r="W51" s="23">
        <f t="shared" si="46"/>
        <v>69.041095890410958</v>
      </c>
      <c r="X51" s="23">
        <f t="shared" si="46"/>
        <v>69.041095890410958</v>
      </c>
      <c r="Y51" s="23">
        <f t="shared" si="46"/>
        <v>69.041095890410958</v>
      </c>
      <c r="Z51" s="23">
        <f t="shared" si="46"/>
        <v>69.041095890410958</v>
      </c>
      <c r="AA51" s="23">
        <f t="shared" si="46"/>
        <v>69.041095890410958</v>
      </c>
      <c r="AB51" s="23">
        <f t="shared" si="46"/>
        <v>69.041095890410958</v>
      </c>
    </row>
    <row r="52" spans="1:28" ht="15.75" customHeight="1" x14ac:dyDescent="0.3">
      <c r="A52" s="12">
        <f>RAW!$A$12</f>
        <v>50800</v>
      </c>
      <c r="B52" s="2"/>
      <c r="C52" s="24" t="s">
        <v>25</v>
      </c>
      <c r="D52" s="23">
        <f t="shared" si="40"/>
        <v>139.17808219178082</v>
      </c>
      <c r="E52" s="2"/>
      <c r="F52" s="24" t="s">
        <v>25</v>
      </c>
      <c r="G52" s="23">
        <f t="shared" ref="G52:AB52" si="47">($A52/G$5)/365</f>
        <v>19.882583170254403</v>
      </c>
      <c r="H52" s="23">
        <f t="shared" si="47"/>
        <v>9.2785388127853885</v>
      </c>
      <c r="I52" s="23">
        <f t="shared" si="47"/>
        <v>13.917808219178083</v>
      </c>
      <c r="J52" s="23">
        <f t="shared" si="47"/>
        <v>34.794520547945204</v>
      </c>
      <c r="K52" s="23">
        <f t="shared" si="47"/>
        <v>139.17808219178082</v>
      </c>
      <c r="L52" s="23">
        <f t="shared" si="47"/>
        <v>139.17808219178082</v>
      </c>
      <c r="M52" s="23">
        <f t="shared" si="47"/>
        <v>139.17808219178082</v>
      </c>
      <c r="N52" s="23">
        <f t="shared" si="47"/>
        <v>139.17808219178082</v>
      </c>
      <c r="O52" s="23">
        <f t="shared" si="47"/>
        <v>139.17808219178082</v>
      </c>
      <c r="P52" s="23">
        <f t="shared" si="47"/>
        <v>139.17808219178082</v>
      </c>
      <c r="Q52" s="23">
        <f t="shared" si="47"/>
        <v>139.17808219178082</v>
      </c>
      <c r="R52" s="23">
        <f t="shared" si="47"/>
        <v>139.17808219178082</v>
      </c>
      <c r="S52" s="23">
        <f t="shared" si="47"/>
        <v>139.17808219178082</v>
      </c>
      <c r="T52" s="23">
        <f t="shared" si="47"/>
        <v>139.17808219178082</v>
      </c>
      <c r="U52" s="23">
        <f t="shared" si="47"/>
        <v>139.17808219178082</v>
      </c>
      <c r="V52" s="23">
        <f t="shared" si="47"/>
        <v>139.17808219178082</v>
      </c>
      <c r="W52" s="23">
        <f t="shared" si="47"/>
        <v>139.17808219178082</v>
      </c>
      <c r="X52" s="23">
        <f t="shared" si="47"/>
        <v>139.17808219178082</v>
      </c>
      <c r="Y52" s="23">
        <f t="shared" si="47"/>
        <v>139.17808219178082</v>
      </c>
      <c r="Z52" s="23">
        <f t="shared" si="47"/>
        <v>139.17808219178082</v>
      </c>
      <c r="AA52" s="23">
        <f t="shared" si="47"/>
        <v>139.17808219178082</v>
      </c>
      <c r="AB52" s="23">
        <f t="shared" si="47"/>
        <v>139.17808219178082</v>
      </c>
    </row>
    <row r="53" spans="1:28" ht="15.75" customHeight="1" x14ac:dyDescent="0.3">
      <c r="A53" s="12">
        <f>RAW!$A$13</f>
        <v>102000</v>
      </c>
      <c r="B53" s="2"/>
      <c r="C53" s="24" t="s">
        <v>26</v>
      </c>
      <c r="D53" s="23">
        <f t="shared" si="40"/>
        <v>279.45205479452056</v>
      </c>
      <c r="E53" s="2"/>
      <c r="F53" s="24" t="s">
        <v>26</v>
      </c>
      <c r="G53" s="23">
        <f t="shared" ref="G53:AB53" si="48">($A53/G$5)/365</f>
        <v>39.921722113502931</v>
      </c>
      <c r="H53" s="23">
        <f t="shared" si="48"/>
        <v>18.63013698630137</v>
      </c>
      <c r="I53" s="23">
        <f t="shared" si="48"/>
        <v>27.945205479452056</v>
      </c>
      <c r="J53" s="23">
        <f t="shared" si="48"/>
        <v>69.863013698630141</v>
      </c>
      <c r="K53" s="23">
        <f t="shared" si="48"/>
        <v>279.45205479452056</v>
      </c>
      <c r="L53" s="23">
        <f t="shared" si="48"/>
        <v>279.45205479452056</v>
      </c>
      <c r="M53" s="23">
        <f t="shared" si="48"/>
        <v>279.45205479452056</v>
      </c>
      <c r="N53" s="23">
        <f t="shared" si="48"/>
        <v>279.45205479452056</v>
      </c>
      <c r="O53" s="23">
        <f t="shared" si="48"/>
        <v>279.45205479452056</v>
      </c>
      <c r="P53" s="23">
        <f t="shared" si="48"/>
        <v>279.45205479452056</v>
      </c>
      <c r="Q53" s="23">
        <f t="shared" si="48"/>
        <v>279.45205479452056</v>
      </c>
      <c r="R53" s="23">
        <f t="shared" si="48"/>
        <v>279.45205479452056</v>
      </c>
      <c r="S53" s="23">
        <f t="shared" si="48"/>
        <v>279.45205479452056</v>
      </c>
      <c r="T53" s="23">
        <f t="shared" si="48"/>
        <v>279.45205479452056</v>
      </c>
      <c r="U53" s="23">
        <f t="shared" si="48"/>
        <v>279.45205479452056</v>
      </c>
      <c r="V53" s="23">
        <f t="shared" si="48"/>
        <v>279.45205479452056</v>
      </c>
      <c r="W53" s="23">
        <f t="shared" si="48"/>
        <v>279.45205479452056</v>
      </c>
      <c r="X53" s="23">
        <f t="shared" si="48"/>
        <v>279.45205479452056</v>
      </c>
      <c r="Y53" s="23">
        <f t="shared" si="48"/>
        <v>279.45205479452056</v>
      </c>
      <c r="Z53" s="23">
        <f t="shared" si="48"/>
        <v>279.45205479452056</v>
      </c>
      <c r="AA53" s="23">
        <f t="shared" si="48"/>
        <v>279.45205479452056</v>
      </c>
      <c r="AB53" s="23">
        <f t="shared" si="48"/>
        <v>279.45205479452056</v>
      </c>
    </row>
    <row r="54" spans="1:28" ht="15.75" customHeight="1" x14ac:dyDescent="0.3">
      <c r="A54" s="12">
        <f>RAW!$A$14</f>
        <v>204400</v>
      </c>
      <c r="B54" s="2"/>
      <c r="C54" s="24" t="s">
        <v>27</v>
      </c>
      <c r="D54" s="23">
        <f t="shared" si="40"/>
        <v>560</v>
      </c>
      <c r="E54" s="2"/>
      <c r="F54" s="24" t="s">
        <v>27</v>
      </c>
      <c r="G54" s="23">
        <f t="shared" ref="G54:AB54" si="49">($A54/G$5)/365</f>
        <v>80</v>
      </c>
      <c r="H54" s="23">
        <f t="shared" si="49"/>
        <v>37.333333333333329</v>
      </c>
      <c r="I54" s="23">
        <f t="shared" si="49"/>
        <v>56</v>
      </c>
      <c r="J54" s="23">
        <f t="shared" si="49"/>
        <v>140</v>
      </c>
      <c r="K54" s="23">
        <f t="shared" si="49"/>
        <v>560</v>
      </c>
      <c r="L54" s="23">
        <f t="shared" si="49"/>
        <v>560</v>
      </c>
      <c r="M54" s="23">
        <f t="shared" si="49"/>
        <v>560</v>
      </c>
      <c r="N54" s="23">
        <f t="shared" si="49"/>
        <v>560</v>
      </c>
      <c r="O54" s="23">
        <f t="shared" si="49"/>
        <v>560</v>
      </c>
      <c r="P54" s="23">
        <f t="shared" si="49"/>
        <v>560</v>
      </c>
      <c r="Q54" s="23">
        <f t="shared" si="49"/>
        <v>560</v>
      </c>
      <c r="R54" s="23">
        <f t="shared" si="49"/>
        <v>560</v>
      </c>
      <c r="S54" s="23">
        <f t="shared" si="49"/>
        <v>560</v>
      </c>
      <c r="T54" s="23">
        <f t="shared" si="49"/>
        <v>560</v>
      </c>
      <c r="U54" s="23">
        <f t="shared" si="49"/>
        <v>560</v>
      </c>
      <c r="V54" s="23">
        <f t="shared" si="49"/>
        <v>560</v>
      </c>
      <c r="W54" s="23">
        <f t="shared" si="49"/>
        <v>560</v>
      </c>
      <c r="X54" s="23">
        <f t="shared" si="49"/>
        <v>560</v>
      </c>
      <c r="Y54" s="23">
        <f t="shared" si="49"/>
        <v>560</v>
      </c>
      <c r="Z54" s="23">
        <f t="shared" si="49"/>
        <v>560</v>
      </c>
      <c r="AA54" s="23">
        <f t="shared" si="49"/>
        <v>560</v>
      </c>
      <c r="AB54" s="23">
        <f t="shared" si="49"/>
        <v>560</v>
      </c>
    </row>
    <row r="55" spans="1:28" ht="15.75" customHeight="1" x14ac:dyDescent="0.3">
      <c r="A55" s="12">
        <f>RAW!$A$15</f>
        <v>409200</v>
      </c>
      <c r="B55" s="2"/>
      <c r="C55" s="24" t="s">
        <v>28</v>
      </c>
      <c r="D55" s="23">
        <f t="shared" si="40"/>
        <v>1121.0958904109589</v>
      </c>
      <c r="E55" s="2"/>
      <c r="F55" s="24" t="s">
        <v>28</v>
      </c>
      <c r="G55" s="23">
        <f t="shared" ref="G55:AB55" si="50">($A55/G$5)/365</f>
        <v>160.15655577299412</v>
      </c>
      <c r="H55" s="23">
        <f t="shared" si="50"/>
        <v>74.739726027397253</v>
      </c>
      <c r="I55" s="23">
        <f t="shared" si="50"/>
        <v>112.10958904109589</v>
      </c>
      <c r="J55" s="23">
        <f t="shared" si="50"/>
        <v>280.27397260273972</v>
      </c>
      <c r="K55" s="23">
        <f t="shared" si="50"/>
        <v>1121.0958904109589</v>
      </c>
      <c r="L55" s="23">
        <f t="shared" si="50"/>
        <v>1121.0958904109589</v>
      </c>
      <c r="M55" s="23">
        <f t="shared" si="50"/>
        <v>1121.0958904109589</v>
      </c>
      <c r="N55" s="23">
        <f t="shared" si="50"/>
        <v>1121.0958904109589</v>
      </c>
      <c r="O55" s="23">
        <f t="shared" si="50"/>
        <v>1121.0958904109589</v>
      </c>
      <c r="P55" s="23">
        <f t="shared" si="50"/>
        <v>1121.0958904109589</v>
      </c>
      <c r="Q55" s="23">
        <f t="shared" si="50"/>
        <v>1121.0958904109589</v>
      </c>
      <c r="R55" s="23">
        <f t="shared" si="50"/>
        <v>1121.0958904109589</v>
      </c>
      <c r="S55" s="23">
        <f t="shared" si="50"/>
        <v>1121.0958904109589</v>
      </c>
      <c r="T55" s="23">
        <f t="shared" si="50"/>
        <v>1121.0958904109589</v>
      </c>
      <c r="U55" s="23">
        <f t="shared" si="50"/>
        <v>1121.0958904109589</v>
      </c>
      <c r="V55" s="23">
        <f t="shared" si="50"/>
        <v>1121.0958904109589</v>
      </c>
      <c r="W55" s="23">
        <f t="shared" si="50"/>
        <v>1121.0958904109589</v>
      </c>
      <c r="X55" s="23">
        <f t="shared" si="50"/>
        <v>1121.0958904109589</v>
      </c>
      <c r="Y55" s="23">
        <f t="shared" si="50"/>
        <v>1121.0958904109589</v>
      </c>
      <c r="Z55" s="23">
        <f t="shared" si="50"/>
        <v>1121.0958904109589</v>
      </c>
      <c r="AA55" s="23">
        <f t="shared" si="50"/>
        <v>1121.0958904109589</v>
      </c>
      <c r="AB55" s="23">
        <f t="shared" si="50"/>
        <v>1121.0958904109589</v>
      </c>
    </row>
    <row r="56" spans="1:28" ht="15.75" customHeight="1" x14ac:dyDescent="0.3">
      <c r="A56" s="12">
        <f>RAW!$A$16</f>
        <v>818800</v>
      </c>
      <c r="B56" s="2"/>
      <c r="C56" s="24" t="s">
        <v>29</v>
      </c>
      <c r="D56" s="23">
        <f t="shared" si="40"/>
        <v>2243.2876712328766</v>
      </c>
      <c r="E56" s="2"/>
      <c r="F56" s="24" t="s">
        <v>29</v>
      </c>
      <c r="G56" s="23">
        <f t="shared" ref="G56:AB56" si="51">($A56/G$5)/365</f>
        <v>320.46966731898237</v>
      </c>
      <c r="H56" s="23">
        <f t="shared" si="51"/>
        <v>149.55251141552512</v>
      </c>
      <c r="I56" s="23">
        <f t="shared" si="51"/>
        <v>224.32876712328766</v>
      </c>
      <c r="J56" s="23">
        <f t="shared" si="51"/>
        <v>560.82191780821915</v>
      </c>
      <c r="K56" s="23">
        <f t="shared" si="51"/>
        <v>2243.2876712328766</v>
      </c>
      <c r="L56" s="23">
        <f t="shared" si="51"/>
        <v>2243.2876712328766</v>
      </c>
      <c r="M56" s="23">
        <f t="shared" si="51"/>
        <v>2243.2876712328766</v>
      </c>
      <c r="N56" s="23">
        <f t="shared" si="51"/>
        <v>2243.2876712328766</v>
      </c>
      <c r="O56" s="23">
        <f t="shared" si="51"/>
        <v>2243.2876712328766</v>
      </c>
      <c r="P56" s="23">
        <f t="shared" si="51"/>
        <v>2243.2876712328766</v>
      </c>
      <c r="Q56" s="23">
        <f t="shared" si="51"/>
        <v>2243.2876712328766</v>
      </c>
      <c r="R56" s="23">
        <f t="shared" si="51"/>
        <v>2243.2876712328766</v>
      </c>
      <c r="S56" s="23">
        <f t="shared" si="51"/>
        <v>2243.2876712328766</v>
      </c>
      <c r="T56" s="23">
        <f t="shared" si="51"/>
        <v>2243.2876712328766</v>
      </c>
      <c r="U56" s="23">
        <f t="shared" si="51"/>
        <v>2243.2876712328766</v>
      </c>
      <c r="V56" s="23">
        <f t="shared" si="51"/>
        <v>2243.2876712328766</v>
      </c>
      <c r="W56" s="23">
        <f t="shared" si="51"/>
        <v>2243.2876712328766</v>
      </c>
      <c r="X56" s="23">
        <f t="shared" si="51"/>
        <v>2243.2876712328766</v>
      </c>
      <c r="Y56" s="23">
        <f t="shared" si="51"/>
        <v>2243.2876712328766</v>
      </c>
      <c r="Z56" s="23">
        <f t="shared" si="51"/>
        <v>2243.2876712328766</v>
      </c>
      <c r="AA56" s="23">
        <f t="shared" si="51"/>
        <v>2243.2876712328766</v>
      </c>
      <c r="AB56" s="23">
        <f t="shared" si="51"/>
        <v>2243.2876712328766</v>
      </c>
    </row>
    <row r="57" spans="1:28" ht="15.75" customHeight="1" x14ac:dyDescent="0.3">
      <c r="A57" s="12">
        <f>RAW!$A$17</f>
        <v>1638000</v>
      </c>
      <c r="B57" s="2"/>
      <c r="C57" s="24" t="s">
        <v>30</v>
      </c>
      <c r="D57" s="23">
        <f t="shared" si="40"/>
        <v>4487.6712328767126</v>
      </c>
      <c r="E57" s="2"/>
      <c r="F57" s="24" t="s">
        <v>30</v>
      </c>
      <c r="G57" s="23">
        <f t="shared" ref="G57:AB57" si="52">($A57/G$5)/365</f>
        <v>641.09589041095887</v>
      </c>
      <c r="H57" s="23">
        <f t="shared" si="52"/>
        <v>299.17808219178085</v>
      </c>
      <c r="I57" s="23">
        <f t="shared" si="52"/>
        <v>448.76712328767121</v>
      </c>
      <c r="J57" s="23">
        <f t="shared" si="52"/>
        <v>1121.9178082191781</v>
      </c>
      <c r="K57" s="23">
        <f t="shared" si="52"/>
        <v>4487.6712328767126</v>
      </c>
      <c r="L57" s="23">
        <f t="shared" si="52"/>
        <v>4487.6712328767126</v>
      </c>
      <c r="M57" s="23">
        <f t="shared" si="52"/>
        <v>4487.6712328767126</v>
      </c>
      <c r="N57" s="23">
        <f t="shared" si="52"/>
        <v>4487.6712328767126</v>
      </c>
      <c r="O57" s="23">
        <f t="shared" si="52"/>
        <v>4487.6712328767126</v>
      </c>
      <c r="P57" s="23">
        <f t="shared" si="52"/>
        <v>4487.6712328767126</v>
      </c>
      <c r="Q57" s="23">
        <f t="shared" si="52"/>
        <v>4487.6712328767126</v>
      </c>
      <c r="R57" s="23">
        <f t="shared" si="52"/>
        <v>4487.6712328767126</v>
      </c>
      <c r="S57" s="23">
        <f t="shared" si="52"/>
        <v>4487.6712328767126</v>
      </c>
      <c r="T57" s="23">
        <f t="shared" si="52"/>
        <v>4487.6712328767126</v>
      </c>
      <c r="U57" s="23">
        <f t="shared" si="52"/>
        <v>4487.6712328767126</v>
      </c>
      <c r="V57" s="23">
        <f t="shared" si="52"/>
        <v>4487.6712328767126</v>
      </c>
      <c r="W57" s="23">
        <f t="shared" si="52"/>
        <v>4487.6712328767126</v>
      </c>
      <c r="X57" s="23">
        <f t="shared" si="52"/>
        <v>4487.6712328767126</v>
      </c>
      <c r="Y57" s="23">
        <f t="shared" si="52"/>
        <v>4487.6712328767126</v>
      </c>
      <c r="Z57" s="23">
        <f t="shared" si="52"/>
        <v>4487.6712328767126</v>
      </c>
      <c r="AA57" s="23">
        <f t="shared" si="52"/>
        <v>4487.6712328767126</v>
      </c>
      <c r="AB57" s="23">
        <f t="shared" si="52"/>
        <v>4487.6712328767126</v>
      </c>
    </row>
    <row r="58" spans="1:28" ht="15.75" customHeight="1" x14ac:dyDescent="0.3">
      <c r="A58" s="12">
        <f>RAW!$A$18</f>
        <v>3276400</v>
      </c>
      <c r="B58" s="2"/>
      <c r="C58" s="24" t="s">
        <v>31</v>
      </c>
      <c r="D58" s="23">
        <f t="shared" si="40"/>
        <v>8976.4383561643845</v>
      </c>
      <c r="E58" s="2"/>
      <c r="F58" s="24" t="s">
        <v>31</v>
      </c>
      <c r="G58" s="23">
        <f t="shared" ref="G58:AB58" si="53">($A58/G$5)/365</f>
        <v>1282.3483365949119</v>
      </c>
      <c r="H58" s="23">
        <f t="shared" si="53"/>
        <v>598.42922374429224</v>
      </c>
      <c r="I58" s="23">
        <f t="shared" si="53"/>
        <v>897.64383561643831</v>
      </c>
      <c r="J58" s="23">
        <f t="shared" si="53"/>
        <v>2244.1095890410961</v>
      </c>
      <c r="K58" s="23">
        <f t="shared" si="53"/>
        <v>8976.4383561643845</v>
      </c>
      <c r="L58" s="23">
        <f t="shared" si="53"/>
        <v>8976.4383561643845</v>
      </c>
      <c r="M58" s="23">
        <f t="shared" si="53"/>
        <v>8976.4383561643845</v>
      </c>
      <c r="N58" s="23">
        <f t="shared" si="53"/>
        <v>8976.4383561643845</v>
      </c>
      <c r="O58" s="23">
        <f t="shared" si="53"/>
        <v>8976.4383561643845</v>
      </c>
      <c r="P58" s="23">
        <f t="shared" si="53"/>
        <v>8976.4383561643845</v>
      </c>
      <c r="Q58" s="23">
        <f t="shared" si="53"/>
        <v>8976.4383561643845</v>
      </c>
      <c r="R58" s="23">
        <f t="shared" si="53"/>
        <v>8976.4383561643845</v>
      </c>
      <c r="S58" s="23">
        <f t="shared" si="53"/>
        <v>8976.4383561643845</v>
      </c>
      <c r="T58" s="23">
        <f t="shared" si="53"/>
        <v>8976.4383561643845</v>
      </c>
      <c r="U58" s="23">
        <f t="shared" si="53"/>
        <v>8976.4383561643845</v>
      </c>
      <c r="V58" s="23">
        <f t="shared" si="53"/>
        <v>8976.4383561643845</v>
      </c>
      <c r="W58" s="23">
        <f t="shared" si="53"/>
        <v>8976.4383561643845</v>
      </c>
      <c r="X58" s="23">
        <f t="shared" si="53"/>
        <v>8976.4383561643845</v>
      </c>
      <c r="Y58" s="23">
        <f t="shared" si="53"/>
        <v>8976.4383561643845</v>
      </c>
      <c r="Z58" s="23">
        <f t="shared" si="53"/>
        <v>8976.4383561643845</v>
      </c>
      <c r="AA58" s="23">
        <f t="shared" si="53"/>
        <v>8976.4383561643845</v>
      </c>
      <c r="AB58" s="23">
        <f t="shared" si="53"/>
        <v>8976.4383561643845</v>
      </c>
    </row>
    <row r="59" spans="1:28" ht="15.75" customHeight="1" x14ac:dyDescent="0.3">
      <c r="A59" s="12">
        <f>RAW!$A$19</f>
        <v>6553200</v>
      </c>
      <c r="B59" s="2"/>
      <c r="C59" s="24" t="s">
        <v>32</v>
      </c>
      <c r="D59" s="23">
        <f t="shared" si="40"/>
        <v>17953.972602739726</v>
      </c>
      <c r="E59" s="2"/>
      <c r="F59" s="24" t="s">
        <v>32</v>
      </c>
      <c r="G59" s="23">
        <f t="shared" ref="G59:AB59" si="54">($A59/G$5)/365</f>
        <v>2564.8532289628179</v>
      </c>
      <c r="H59" s="23">
        <f t="shared" si="54"/>
        <v>1196.9315068493152</v>
      </c>
      <c r="I59" s="23">
        <f t="shared" si="54"/>
        <v>1795.3972602739725</v>
      </c>
      <c r="J59" s="23">
        <f t="shared" si="54"/>
        <v>4488.4931506849316</v>
      </c>
      <c r="K59" s="23">
        <f t="shared" si="54"/>
        <v>17953.972602739726</v>
      </c>
      <c r="L59" s="23">
        <f t="shared" si="54"/>
        <v>17953.972602739726</v>
      </c>
      <c r="M59" s="23">
        <f t="shared" si="54"/>
        <v>17953.972602739726</v>
      </c>
      <c r="N59" s="23">
        <f t="shared" si="54"/>
        <v>17953.972602739726</v>
      </c>
      <c r="O59" s="23">
        <f t="shared" si="54"/>
        <v>17953.972602739726</v>
      </c>
      <c r="P59" s="23">
        <f t="shared" si="54"/>
        <v>17953.972602739726</v>
      </c>
      <c r="Q59" s="23">
        <f t="shared" si="54"/>
        <v>17953.972602739726</v>
      </c>
      <c r="R59" s="23">
        <f t="shared" si="54"/>
        <v>17953.972602739726</v>
      </c>
      <c r="S59" s="23">
        <f t="shared" si="54"/>
        <v>17953.972602739726</v>
      </c>
      <c r="T59" s="23">
        <f t="shared" si="54"/>
        <v>17953.972602739726</v>
      </c>
      <c r="U59" s="23">
        <f t="shared" si="54"/>
        <v>17953.972602739726</v>
      </c>
      <c r="V59" s="23">
        <f t="shared" si="54"/>
        <v>17953.972602739726</v>
      </c>
      <c r="W59" s="23">
        <f t="shared" si="54"/>
        <v>17953.972602739726</v>
      </c>
      <c r="X59" s="23">
        <f t="shared" si="54"/>
        <v>17953.972602739726</v>
      </c>
      <c r="Y59" s="23">
        <f t="shared" si="54"/>
        <v>17953.972602739726</v>
      </c>
      <c r="Z59" s="23">
        <f t="shared" si="54"/>
        <v>17953.972602739726</v>
      </c>
      <c r="AA59" s="23">
        <f t="shared" si="54"/>
        <v>17953.972602739726</v>
      </c>
      <c r="AB59" s="23">
        <f t="shared" si="54"/>
        <v>17953.972602739726</v>
      </c>
    </row>
    <row r="60" spans="1:28" ht="15.75" customHeight="1" x14ac:dyDescent="0.3">
      <c r="A60" s="12">
        <f>RAW!$A$20</f>
        <v>13106800</v>
      </c>
      <c r="B60" s="2"/>
      <c r="C60" s="24" t="s">
        <v>33</v>
      </c>
      <c r="D60" s="23">
        <f t="shared" si="40"/>
        <v>35909.04109589041</v>
      </c>
      <c r="E60" s="2"/>
      <c r="F60" s="24" t="s">
        <v>33</v>
      </c>
      <c r="G60" s="23">
        <f t="shared" ref="G60:AB60" si="55">($A60/G$5)/365</f>
        <v>5129.8630136986303</v>
      </c>
      <c r="H60" s="23">
        <f t="shared" si="55"/>
        <v>2393.9360730593608</v>
      </c>
      <c r="I60" s="23">
        <f t="shared" si="55"/>
        <v>3590.9041095890411</v>
      </c>
      <c r="J60" s="23">
        <f t="shared" si="55"/>
        <v>8977.2602739726026</v>
      </c>
      <c r="K60" s="23">
        <f t="shared" si="55"/>
        <v>35909.04109589041</v>
      </c>
      <c r="L60" s="23">
        <f t="shared" si="55"/>
        <v>35909.04109589041</v>
      </c>
      <c r="M60" s="23">
        <f t="shared" si="55"/>
        <v>35909.04109589041</v>
      </c>
      <c r="N60" s="23">
        <f t="shared" si="55"/>
        <v>35909.04109589041</v>
      </c>
      <c r="O60" s="23">
        <f t="shared" si="55"/>
        <v>35909.04109589041</v>
      </c>
      <c r="P60" s="23">
        <f t="shared" si="55"/>
        <v>35909.04109589041</v>
      </c>
      <c r="Q60" s="23">
        <f t="shared" si="55"/>
        <v>35909.04109589041</v>
      </c>
      <c r="R60" s="23">
        <f t="shared" si="55"/>
        <v>35909.04109589041</v>
      </c>
      <c r="S60" s="23">
        <f t="shared" si="55"/>
        <v>35909.04109589041</v>
      </c>
      <c r="T60" s="23">
        <f t="shared" si="55"/>
        <v>35909.04109589041</v>
      </c>
      <c r="U60" s="23">
        <f t="shared" si="55"/>
        <v>35909.04109589041</v>
      </c>
      <c r="V60" s="23">
        <f t="shared" si="55"/>
        <v>35909.04109589041</v>
      </c>
      <c r="W60" s="23">
        <f t="shared" si="55"/>
        <v>35909.04109589041</v>
      </c>
      <c r="X60" s="23">
        <f t="shared" si="55"/>
        <v>35909.04109589041</v>
      </c>
      <c r="Y60" s="23">
        <f t="shared" si="55"/>
        <v>35909.04109589041</v>
      </c>
      <c r="Z60" s="23">
        <f t="shared" si="55"/>
        <v>35909.04109589041</v>
      </c>
      <c r="AA60" s="23">
        <f t="shared" si="55"/>
        <v>35909.04109589041</v>
      </c>
      <c r="AB60" s="23">
        <f t="shared" si="55"/>
        <v>35909.04109589041</v>
      </c>
    </row>
    <row r="61" spans="1:28" ht="15.75" customHeight="1" x14ac:dyDescent="0.3">
      <c r="A61" s="12">
        <f>RAW!$A$21</f>
        <v>26214000</v>
      </c>
      <c r="B61" s="2"/>
      <c r="C61" s="24" t="s">
        <v>34</v>
      </c>
      <c r="D61" s="23">
        <f t="shared" si="40"/>
        <v>71819.178082191778</v>
      </c>
      <c r="E61" s="2"/>
      <c r="F61" s="24" t="s">
        <v>34</v>
      </c>
      <c r="G61" s="23">
        <f t="shared" ref="G61:AB61" si="56">($A61/G$5)/365</f>
        <v>10259.882583170254</v>
      </c>
      <c r="H61" s="23">
        <f t="shared" si="56"/>
        <v>4787.9452054794519</v>
      </c>
      <c r="I61" s="23">
        <f t="shared" si="56"/>
        <v>7181.9178082191784</v>
      </c>
      <c r="J61" s="23">
        <f t="shared" si="56"/>
        <v>17954.794520547945</v>
      </c>
      <c r="K61" s="23">
        <f t="shared" si="56"/>
        <v>71819.178082191778</v>
      </c>
      <c r="L61" s="23">
        <f t="shared" si="56"/>
        <v>71819.178082191778</v>
      </c>
      <c r="M61" s="23">
        <f t="shared" si="56"/>
        <v>71819.178082191778</v>
      </c>
      <c r="N61" s="23">
        <f t="shared" si="56"/>
        <v>71819.178082191778</v>
      </c>
      <c r="O61" s="23">
        <f t="shared" si="56"/>
        <v>71819.178082191778</v>
      </c>
      <c r="P61" s="23">
        <f t="shared" si="56"/>
        <v>71819.178082191778</v>
      </c>
      <c r="Q61" s="23">
        <f t="shared" si="56"/>
        <v>71819.178082191778</v>
      </c>
      <c r="R61" s="23">
        <f t="shared" si="56"/>
        <v>71819.178082191778</v>
      </c>
      <c r="S61" s="23">
        <f t="shared" si="56"/>
        <v>71819.178082191778</v>
      </c>
      <c r="T61" s="23">
        <f t="shared" si="56"/>
        <v>71819.178082191778</v>
      </c>
      <c r="U61" s="23">
        <f t="shared" si="56"/>
        <v>71819.178082191778</v>
      </c>
      <c r="V61" s="23">
        <f t="shared" si="56"/>
        <v>71819.178082191778</v>
      </c>
      <c r="W61" s="23">
        <f t="shared" si="56"/>
        <v>71819.178082191778</v>
      </c>
      <c r="X61" s="23">
        <f t="shared" si="56"/>
        <v>71819.178082191778</v>
      </c>
      <c r="Y61" s="23">
        <f t="shared" si="56"/>
        <v>71819.178082191778</v>
      </c>
      <c r="Z61" s="23">
        <f t="shared" si="56"/>
        <v>71819.178082191778</v>
      </c>
      <c r="AA61" s="23">
        <f t="shared" si="56"/>
        <v>71819.178082191778</v>
      </c>
      <c r="AB61" s="23">
        <f t="shared" si="56"/>
        <v>71819.178082191778</v>
      </c>
    </row>
    <row r="62" spans="1:28" ht="15.75" customHeight="1" x14ac:dyDescent="0.3">
      <c r="A62" s="12">
        <f>RAW!$A$22</f>
        <v>52428400</v>
      </c>
      <c r="B62" s="2"/>
      <c r="C62" s="24" t="s">
        <v>35</v>
      </c>
      <c r="D62" s="23">
        <f t="shared" si="40"/>
        <v>143639.45205479453</v>
      </c>
      <c r="E62" s="2"/>
      <c r="F62" s="24" t="s">
        <v>35</v>
      </c>
      <c r="G62" s="23">
        <f t="shared" ref="G62:AB62" si="57">($A62/G$5)/365</f>
        <v>20519.9217221135</v>
      </c>
      <c r="H62" s="23">
        <f t="shared" si="57"/>
        <v>9575.9634703196334</v>
      </c>
      <c r="I62" s="23">
        <f t="shared" si="57"/>
        <v>14363.945205479453</v>
      </c>
      <c r="J62" s="23">
        <f t="shared" si="57"/>
        <v>35909.863013698632</v>
      </c>
      <c r="K62" s="23">
        <f t="shared" si="57"/>
        <v>143639.45205479453</v>
      </c>
      <c r="L62" s="23">
        <f t="shared" si="57"/>
        <v>143639.45205479453</v>
      </c>
      <c r="M62" s="23">
        <f t="shared" si="57"/>
        <v>143639.45205479453</v>
      </c>
      <c r="N62" s="23">
        <f t="shared" si="57"/>
        <v>143639.45205479453</v>
      </c>
      <c r="O62" s="23">
        <f t="shared" si="57"/>
        <v>143639.45205479453</v>
      </c>
      <c r="P62" s="23">
        <f t="shared" si="57"/>
        <v>143639.45205479453</v>
      </c>
      <c r="Q62" s="23">
        <f t="shared" si="57"/>
        <v>143639.45205479453</v>
      </c>
      <c r="R62" s="23">
        <f t="shared" si="57"/>
        <v>143639.45205479453</v>
      </c>
      <c r="S62" s="23">
        <f t="shared" si="57"/>
        <v>143639.45205479453</v>
      </c>
      <c r="T62" s="23">
        <f t="shared" si="57"/>
        <v>143639.45205479453</v>
      </c>
      <c r="U62" s="23">
        <f t="shared" si="57"/>
        <v>143639.45205479453</v>
      </c>
      <c r="V62" s="23">
        <f t="shared" si="57"/>
        <v>143639.45205479453</v>
      </c>
      <c r="W62" s="23">
        <f t="shared" si="57"/>
        <v>143639.45205479453</v>
      </c>
      <c r="X62" s="23">
        <f t="shared" si="57"/>
        <v>143639.45205479453</v>
      </c>
      <c r="Y62" s="23">
        <f t="shared" si="57"/>
        <v>143639.45205479453</v>
      </c>
      <c r="Z62" s="23">
        <f t="shared" si="57"/>
        <v>143639.45205479453</v>
      </c>
      <c r="AA62" s="23">
        <f t="shared" si="57"/>
        <v>143639.45205479453</v>
      </c>
      <c r="AB62" s="23">
        <f t="shared" si="57"/>
        <v>143639.45205479453</v>
      </c>
    </row>
    <row r="63" spans="1:28" ht="15.75" customHeight="1" x14ac:dyDescent="0.3">
      <c r="B63" s="2"/>
      <c r="E63" s="2"/>
    </row>
    <row r="64" spans="1:28" ht="15.75" customHeight="1" x14ac:dyDescent="0.3">
      <c r="B64" s="2"/>
      <c r="E64" s="2"/>
    </row>
    <row r="65" spans="2:5" ht="15.75" customHeight="1" x14ac:dyDescent="0.3">
      <c r="B65" s="2"/>
      <c r="E65" s="2"/>
    </row>
    <row r="66" spans="2:5" ht="15.75" customHeight="1" x14ac:dyDescent="0.3">
      <c r="B66" s="2"/>
      <c r="E66" s="2"/>
    </row>
    <row r="67" spans="2:5" ht="15.75" customHeight="1" x14ac:dyDescent="0.3">
      <c r="B67" s="2"/>
      <c r="E67" s="2"/>
    </row>
    <row r="68" spans="2:5" ht="15.75" customHeight="1" x14ac:dyDescent="0.3">
      <c r="B68" s="2"/>
      <c r="E68" s="2"/>
    </row>
    <row r="69" spans="2:5" ht="15.75" customHeight="1" x14ac:dyDescent="0.3">
      <c r="B69" s="2"/>
      <c r="E69" s="2"/>
    </row>
    <row r="70" spans="2:5" ht="15.75" customHeight="1" x14ac:dyDescent="0.3">
      <c r="B70" s="2"/>
      <c r="E70" s="2"/>
    </row>
    <row r="71" spans="2:5" ht="15.75" customHeight="1" x14ac:dyDescent="0.3">
      <c r="B71" s="2"/>
      <c r="E71" s="2"/>
    </row>
    <row r="72" spans="2:5" ht="15.75" customHeight="1" x14ac:dyDescent="0.3">
      <c r="B72" s="2"/>
      <c r="E72" s="2"/>
    </row>
    <row r="73" spans="2:5" ht="15.75" customHeight="1" x14ac:dyDescent="0.3">
      <c r="B73" s="2"/>
      <c r="E73" s="2"/>
    </row>
    <row r="74" spans="2:5" ht="15.75" customHeight="1" x14ac:dyDescent="0.3">
      <c r="B74" s="2"/>
      <c r="E74" s="2"/>
    </row>
    <row r="75" spans="2:5" ht="15.75" customHeight="1" x14ac:dyDescent="0.3">
      <c r="B75" s="2"/>
      <c r="E75" s="2"/>
    </row>
    <row r="76" spans="2:5" ht="15.75" customHeight="1" x14ac:dyDescent="0.3">
      <c r="B76" s="2"/>
      <c r="E76" s="2"/>
    </row>
    <row r="77" spans="2:5" ht="15.75" customHeight="1" x14ac:dyDescent="0.3">
      <c r="B77" s="2"/>
      <c r="E77" s="2"/>
    </row>
    <row r="78" spans="2:5" ht="15.75" customHeight="1" x14ac:dyDescent="0.3">
      <c r="B78" s="2"/>
      <c r="E78" s="2"/>
    </row>
    <row r="79" spans="2:5" ht="15.75" customHeight="1" x14ac:dyDescent="0.3">
      <c r="B79" s="2"/>
      <c r="E79" s="2"/>
    </row>
    <row r="80" spans="2:5" ht="15.75" customHeight="1" x14ac:dyDescent="0.3">
      <c r="B80" s="2"/>
      <c r="E80" s="2"/>
    </row>
    <row r="81" spans="2:5" ht="15.75" customHeight="1" x14ac:dyDescent="0.3">
      <c r="B81" s="2"/>
      <c r="E81" s="2"/>
    </row>
    <row r="82" spans="2:5" ht="15.75" customHeight="1" x14ac:dyDescent="0.3">
      <c r="B82" s="2"/>
      <c r="E82" s="2"/>
    </row>
    <row r="83" spans="2:5" ht="15.75" customHeight="1" x14ac:dyDescent="0.3">
      <c r="B83" s="2"/>
      <c r="E83" s="2"/>
    </row>
    <row r="84" spans="2:5" ht="15.75" customHeight="1" x14ac:dyDescent="0.3">
      <c r="B84" s="2"/>
      <c r="E84" s="2"/>
    </row>
    <row r="85" spans="2:5" ht="15.75" customHeight="1" x14ac:dyDescent="0.3">
      <c r="B85" s="2"/>
      <c r="E85" s="2"/>
    </row>
    <row r="86" spans="2:5" ht="15.75" customHeight="1" x14ac:dyDescent="0.3">
      <c r="B86" s="2"/>
      <c r="E86" s="2"/>
    </row>
    <row r="87" spans="2:5" ht="15.75" customHeight="1" x14ac:dyDescent="0.3">
      <c r="B87" s="2"/>
      <c r="E87" s="2"/>
    </row>
    <row r="88" spans="2:5" ht="15.75" customHeight="1" x14ac:dyDescent="0.3">
      <c r="B88" s="2"/>
      <c r="E88" s="2"/>
    </row>
    <row r="89" spans="2:5" ht="15.75" customHeight="1" x14ac:dyDescent="0.3">
      <c r="B89" s="2"/>
      <c r="E89" s="2"/>
    </row>
    <row r="90" spans="2:5" ht="15.75" customHeight="1" x14ac:dyDescent="0.3">
      <c r="B90" s="2"/>
      <c r="E90" s="2"/>
    </row>
    <row r="91" spans="2:5" ht="15.75" customHeight="1" x14ac:dyDescent="0.3">
      <c r="B91" s="2"/>
      <c r="E91" s="2"/>
    </row>
    <row r="92" spans="2:5" ht="15.75" customHeight="1" x14ac:dyDescent="0.3">
      <c r="B92" s="2"/>
      <c r="E92" s="2"/>
    </row>
    <row r="93" spans="2:5" ht="15.75" customHeight="1" x14ac:dyDescent="0.3">
      <c r="B93" s="2"/>
      <c r="E93" s="2"/>
    </row>
    <row r="94" spans="2:5" ht="15.75" customHeight="1" x14ac:dyDescent="0.3">
      <c r="B94" s="2"/>
      <c r="E94" s="2"/>
    </row>
    <row r="95" spans="2:5" ht="15.75" customHeight="1" x14ac:dyDescent="0.3">
      <c r="B95" s="2"/>
      <c r="E95" s="2"/>
    </row>
    <row r="96" spans="2:5" ht="15.75" customHeight="1" x14ac:dyDescent="0.3">
      <c r="B96" s="2"/>
      <c r="E96" s="2"/>
    </row>
    <row r="97" spans="2:5" ht="15.75" customHeight="1" x14ac:dyDescent="0.3">
      <c r="B97" s="2"/>
      <c r="E97" s="2"/>
    </row>
    <row r="98" spans="2:5" ht="15.75" customHeight="1" x14ac:dyDescent="0.3">
      <c r="B98" s="2"/>
      <c r="E98" s="2"/>
    </row>
    <row r="99" spans="2:5" ht="15.75" customHeight="1" x14ac:dyDescent="0.3">
      <c r="B99" s="2"/>
      <c r="E99" s="2"/>
    </row>
    <row r="100" spans="2:5" ht="15.75" customHeight="1" x14ac:dyDescent="0.3">
      <c r="B100" s="2"/>
      <c r="E100" s="2"/>
    </row>
    <row r="101" spans="2:5" ht="15.75" customHeight="1" x14ac:dyDescent="0.3">
      <c r="B101" s="2"/>
      <c r="E101" s="2"/>
    </row>
    <row r="102" spans="2:5" ht="15.75" customHeight="1" x14ac:dyDescent="0.3">
      <c r="B102" s="2"/>
      <c r="E102" s="2"/>
    </row>
    <row r="103" spans="2:5" ht="15.75" customHeight="1" x14ac:dyDescent="0.3">
      <c r="B103" s="2"/>
      <c r="E103" s="2"/>
    </row>
    <row r="104" spans="2:5" ht="15.75" customHeight="1" x14ac:dyDescent="0.3">
      <c r="B104" s="2"/>
      <c r="E104" s="2"/>
    </row>
    <row r="105" spans="2:5" ht="15.75" customHeight="1" x14ac:dyDescent="0.3">
      <c r="B105" s="2"/>
      <c r="E105" s="2"/>
    </row>
    <row r="106" spans="2:5" ht="15.75" customHeight="1" x14ac:dyDescent="0.3">
      <c r="B106" s="2"/>
      <c r="E106" s="2"/>
    </row>
    <row r="107" spans="2:5" ht="15.75" customHeight="1" x14ac:dyDescent="0.3">
      <c r="B107" s="2"/>
      <c r="E107" s="2"/>
    </row>
    <row r="108" spans="2:5" ht="15.75" customHeight="1" x14ac:dyDescent="0.3">
      <c r="B108" s="2"/>
      <c r="E108" s="2"/>
    </row>
    <row r="109" spans="2:5" ht="15.75" customHeight="1" x14ac:dyDescent="0.3">
      <c r="B109" s="2"/>
      <c r="E109" s="2"/>
    </row>
    <row r="110" spans="2:5" ht="15.75" customHeight="1" x14ac:dyDescent="0.3">
      <c r="B110" s="2"/>
      <c r="E110" s="2"/>
    </row>
    <row r="111" spans="2:5" ht="15.75" customHeight="1" x14ac:dyDescent="0.3">
      <c r="B111" s="2"/>
      <c r="E111" s="2"/>
    </row>
    <row r="112" spans="2:5" ht="15.75" customHeight="1" x14ac:dyDescent="0.3">
      <c r="B112" s="2"/>
      <c r="E112" s="2"/>
    </row>
    <row r="113" spans="2:5" ht="15.75" customHeight="1" x14ac:dyDescent="0.3">
      <c r="B113" s="2"/>
      <c r="E113" s="2"/>
    </row>
    <row r="114" spans="2:5" ht="15.75" customHeight="1" x14ac:dyDescent="0.3">
      <c r="B114" s="2"/>
      <c r="E114" s="2"/>
    </row>
    <row r="115" spans="2:5" ht="15.75" customHeight="1" x14ac:dyDescent="0.3">
      <c r="B115" s="2"/>
      <c r="E115" s="2"/>
    </row>
    <row r="116" spans="2:5" ht="15.75" customHeight="1" x14ac:dyDescent="0.3">
      <c r="B116" s="2"/>
      <c r="E116" s="2"/>
    </row>
    <row r="117" spans="2:5" ht="15.75" customHeight="1" x14ac:dyDescent="0.3">
      <c r="B117" s="2"/>
      <c r="E117" s="2"/>
    </row>
    <row r="118" spans="2:5" ht="15.75" customHeight="1" x14ac:dyDescent="0.3">
      <c r="B118" s="2"/>
      <c r="E118" s="2"/>
    </row>
    <row r="119" spans="2:5" ht="15.75" customHeight="1" x14ac:dyDescent="0.3">
      <c r="B119" s="2"/>
      <c r="E119" s="2"/>
    </row>
    <row r="120" spans="2:5" ht="15.75" customHeight="1" x14ac:dyDescent="0.3">
      <c r="B120" s="2"/>
      <c r="E120" s="2"/>
    </row>
    <row r="121" spans="2:5" ht="15.75" customHeight="1" x14ac:dyDescent="0.3">
      <c r="B121" s="2"/>
      <c r="E121" s="2"/>
    </row>
    <row r="122" spans="2:5" ht="15.75" customHeight="1" x14ac:dyDescent="0.3">
      <c r="B122" s="2"/>
      <c r="E122" s="2"/>
    </row>
    <row r="123" spans="2:5" ht="15.75" customHeight="1" x14ac:dyDescent="0.3">
      <c r="B123" s="2"/>
      <c r="E123" s="2"/>
    </row>
    <row r="124" spans="2:5" ht="15.75" customHeight="1" x14ac:dyDescent="0.3">
      <c r="B124" s="2"/>
      <c r="E124" s="2"/>
    </row>
    <row r="125" spans="2:5" ht="15.75" customHeight="1" x14ac:dyDescent="0.3">
      <c r="B125" s="2"/>
      <c r="E125" s="2"/>
    </row>
    <row r="126" spans="2:5" ht="15.75" customHeight="1" x14ac:dyDescent="0.3">
      <c r="B126" s="2"/>
      <c r="E126" s="2"/>
    </row>
    <row r="127" spans="2:5" ht="15.75" customHeight="1" x14ac:dyDescent="0.3">
      <c r="B127" s="2"/>
      <c r="E127" s="2"/>
    </row>
    <row r="128" spans="2:5" ht="15.75" customHeight="1" x14ac:dyDescent="0.3">
      <c r="B128" s="2"/>
      <c r="E128" s="2"/>
    </row>
    <row r="129" spans="2:5" ht="15.75" customHeight="1" x14ac:dyDescent="0.3">
      <c r="B129" s="2"/>
      <c r="E129" s="2"/>
    </row>
    <row r="130" spans="2:5" ht="15.75" customHeight="1" x14ac:dyDescent="0.3">
      <c r="B130" s="2"/>
      <c r="E130" s="2"/>
    </row>
    <row r="131" spans="2:5" ht="15.75" customHeight="1" x14ac:dyDescent="0.3">
      <c r="B131" s="2"/>
      <c r="E131" s="2"/>
    </row>
    <row r="132" spans="2:5" ht="15.75" customHeight="1" x14ac:dyDescent="0.3">
      <c r="B132" s="2"/>
      <c r="E132" s="2"/>
    </row>
    <row r="133" spans="2:5" ht="15.75" customHeight="1" x14ac:dyDescent="0.3">
      <c r="B133" s="2"/>
      <c r="E133" s="2"/>
    </row>
    <row r="134" spans="2:5" ht="15.75" customHeight="1" x14ac:dyDescent="0.3">
      <c r="B134" s="2"/>
      <c r="E134" s="2"/>
    </row>
    <row r="135" spans="2:5" ht="15.75" customHeight="1" x14ac:dyDescent="0.3">
      <c r="B135" s="2"/>
      <c r="E135" s="2"/>
    </row>
    <row r="136" spans="2:5" ht="15.75" customHeight="1" x14ac:dyDescent="0.3">
      <c r="B136" s="2"/>
      <c r="E136" s="2"/>
    </row>
    <row r="137" spans="2:5" ht="15.75" customHeight="1" x14ac:dyDescent="0.3">
      <c r="B137" s="2"/>
      <c r="E137" s="2"/>
    </row>
    <row r="138" spans="2:5" ht="15.75" customHeight="1" x14ac:dyDescent="0.3">
      <c r="B138" s="2"/>
      <c r="E138" s="2"/>
    </row>
    <row r="139" spans="2:5" ht="15.75" customHeight="1" x14ac:dyDescent="0.3">
      <c r="B139" s="2"/>
      <c r="E139" s="2"/>
    </row>
    <row r="140" spans="2:5" ht="15.75" customHeight="1" x14ac:dyDescent="0.3">
      <c r="B140" s="2"/>
      <c r="E140" s="2"/>
    </row>
    <row r="141" spans="2:5" ht="15.75" customHeight="1" x14ac:dyDescent="0.3">
      <c r="B141" s="2"/>
      <c r="E141" s="2"/>
    </row>
    <row r="142" spans="2:5" ht="15.75" customHeight="1" x14ac:dyDescent="0.3">
      <c r="B142" s="2"/>
      <c r="E142" s="2"/>
    </row>
    <row r="143" spans="2:5" ht="15.75" customHeight="1" x14ac:dyDescent="0.3">
      <c r="B143" s="2"/>
      <c r="E143" s="2"/>
    </row>
    <row r="144" spans="2:5" ht="15.75" customHeight="1" x14ac:dyDescent="0.3">
      <c r="B144" s="2"/>
      <c r="E144" s="2"/>
    </row>
    <row r="145" spans="2:5" ht="15.75" customHeight="1" x14ac:dyDescent="0.3">
      <c r="B145" s="2"/>
      <c r="E145" s="2"/>
    </row>
    <row r="146" spans="2:5" ht="15.75" customHeight="1" x14ac:dyDescent="0.3">
      <c r="B146" s="2"/>
      <c r="E146" s="2"/>
    </row>
    <row r="147" spans="2:5" ht="15.75" customHeight="1" x14ac:dyDescent="0.3">
      <c r="B147" s="2"/>
      <c r="E147" s="2"/>
    </row>
    <row r="148" spans="2:5" ht="15.75" customHeight="1" x14ac:dyDescent="0.3">
      <c r="B148" s="2"/>
      <c r="E148" s="2"/>
    </row>
    <row r="149" spans="2:5" ht="15.75" customHeight="1" x14ac:dyDescent="0.3">
      <c r="B149" s="2"/>
      <c r="E149" s="2"/>
    </row>
    <row r="150" spans="2:5" ht="15.75" customHeight="1" x14ac:dyDescent="0.3">
      <c r="B150" s="2"/>
      <c r="E150" s="2"/>
    </row>
    <row r="151" spans="2:5" ht="15.75" customHeight="1" x14ac:dyDescent="0.3">
      <c r="B151" s="2"/>
      <c r="E151" s="2"/>
    </row>
    <row r="152" spans="2:5" ht="15.75" customHeight="1" x14ac:dyDescent="0.3">
      <c r="B152" s="2"/>
      <c r="E152" s="2"/>
    </row>
    <row r="153" spans="2:5" ht="15.75" customHeight="1" x14ac:dyDescent="0.3">
      <c r="B153" s="2"/>
      <c r="E153" s="2"/>
    </row>
    <row r="154" spans="2:5" ht="15.75" customHeight="1" x14ac:dyDescent="0.3">
      <c r="B154" s="2"/>
      <c r="E154" s="2"/>
    </row>
    <row r="155" spans="2:5" ht="15.75" customHeight="1" x14ac:dyDescent="0.3">
      <c r="B155" s="2"/>
      <c r="E155" s="2"/>
    </row>
    <row r="156" spans="2:5" ht="15.75" customHeight="1" x14ac:dyDescent="0.3">
      <c r="B156" s="2"/>
      <c r="E156" s="2"/>
    </row>
    <row r="157" spans="2:5" ht="15.75" customHeight="1" x14ac:dyDescent="0.3">
      <c r="B157" s="2"/>
      <c r="E157" s="2"/>
    </row>
    <row r="158" spans="2:5" ht="15.75" customHeight="1" x14ac:dyDescent="0.3">
      <c r="B158" s="2"/>
      <c r="E158" s="2"/>
    </row>
    <row r="159" spans="2:5" ht="15.75" customHeight="1" x14ac:dyDescent="0.3">
      <c r="B159" s="2"/>
      <c r="E159" s="2"/>
    </row>
    <row r="160" spans="2:5" ht="15.75" customHeight="1" x14ac:dyDescent="0.3">
      <c r="B160" s="2"/>
      <c r="E160" s="2"/>
    </row>
    <row r="161" spans="2:5" ht="15.75" customHeight="1" x14ac:dyDescent="0.3">
      <c r="B161" s="2"/>
      <c r="E161" s="2"/>
    </row>
    <row r="162" spans="2:5" ht="15.75" customHeight="1" x14ac:dyDescent="0.3">
      <c r="B162" s="2"/>
      <c r="E162" s="2"/>
    </row>
    <row r="163" spans="2:5" ht="15.75" customHeight="1" x14ac:dyDescent="0.3">
      <c r="B163" s="2"/>
      <c r="E163" s="2"/>
    </row>
    <row r="164" spans="2:5" ht="15.75" customHeight="1" x14ac:dyDescent="0.3">
      <c r="B164" s="2"/>
      <c r="E164" s="2"/>
    </row>
    <row r="165" spans="2:5" ht="15.75" customHeight="1" x14ac:dyDescent="0.3">
      <c r="B165" s="2"/>
      <c r="E165" s="2"/>
    </row>
    <row r="166" spans="2:5" ht="15.75" customHeight="1" x14ac:dyDescent="0.3">
      <c r="B166" s="2"/>
      <c r="E166" s="2"/>
    </row>
    <row r="167" spans="2:5" ht="15.75" customHeight="1" x14ac:dyDescent="0.3">
      <c r="B167" s="2"/>
      <c r="E167" s="2"/>
    </row>
    <row r="168" spans="2:5" ht="15.75" customHeight="1" x14ac:dyDescent="0.3">
      <c r="B168" s="2"/>
      <c r="E168" s="2"/>
    </row>
    <row r="169" spans="2:5" ht="15.75" customHeight="1" x14ac:dyDescent="0.3">
      <c r="B169" s="2"/>
      <c r="E169" s="2"/>
    </row>
    <row r="170" spans="2:5" ht="15.75" customHeight="1" x14ac:dyDescent="0.3">
      <c r="B170" s="2"/>
      <c r="E170" s="2"/>
    </row>
    <row r="171" spans="2:5" ht="15.75" customHeight="1" x14ac:dyDescent="0.3">
      <c r="B171" s="2"/>
      <c r="E171" s="2"/>
    </row>
    <row r="172" spans="2:5" ht="15.75" customHeight="1" x14ac:dyDescent="0.3">
      <c r="B172" s="2"/>
      <c r="E172" s="2"/>
    </row>
    <row r="173" spans="2:5" ht="15.75" customHeight="1" x14ac:dyDescent="0.3">
      <c r="B173" s="2"/>
      <c r="E173" s="2"/>
    </row>
    <row r="174" spans="2:5" ht="15.75" customHeight="1" x14ac:dyDescent="0.3">
      <c r="B174" s="2"/>
      <c r="E174" s="2"/>
    </row>
    <row r="175" spans="2:5" ht="15.75" customHeight="1" x14ac:dyDescent="0.3">
      <c r="B175" s="2"/>
      <c r="E175" s="2"/>
    </row>
    <row r="176" spans="2:5" ht="15.75" customHeight="1" x14ac:dyDescent="0.3">
      <c r="B176" s="2"/>
      <c r="E176" s="2"/>
    </row>
    <row r="177" spans="2:5" ht="15.75" customHeight="1" x14ac:dyDescent="0.3">
      <c r="B177" s="2"/>
      <c r="E177" s="2"/>
    </row>
    <row r="178" spans="2:5" ht="15.75" customHeight="1" x14ac:dyDescent="0.3">
      <c r="B178" s="2"/>
      <c r="E178" s="2"/>
    </row>
    <row r="179" spans="2:5" ht="15.75" customHeight="1" x14ac:dyDescent="0.3">
      <c r="B179" s="2"/>
      <c r="E179" s="2"/>
    </row>
    <row r="180" spans="2:5" ht="15.75" customHeight="1" x14ac:dyDescent="0.3">
      <c r="B180" s="2"/>
      <c r="E180" s="2"/>
    </row>
    <row r="181" spans="2:5" ht="15.75" customHeight="1" x14ac:dyDescent="0.3">
      <c r="B181" s="2"/>
      <c r="E181" s="2"/>
    </row>
    <row r="182" spans="2:5" ht="15.75" customHeight="1" x14ac:dyDescent="0.3">
      <c r="B182" s="2"/>
      <c r="E182" s="2"/>
    </row>
    <row r="183" spans="2:5" ht="15.75" customHeight="1" x14ac:dyDescent="0.3">
      <c r="B183" s="2"/>
      <c r="E183" s="2"/>
    </row>
    <row r="184" spans="2:5" ht="15.75" customHeight="1" x14ac:dyDescent="0.3">
      <c r="B184" s="2"/>
      <c r="E184" s="2"/>
    </row>
    <row r="185" spans="2:5" ht="15.75" customHeight="1" x14ac:dyDescent="0.3">
      <c r="B185" s="2"/>
      <c r="E185" s="2"/>
    </row>
    <row r="186" spans="2:5" ht="15.75" customHeight="1" x14ac:dyDescent="0.3">
      <c r="B186" s="2"/>
      <c r="E186" s="2"/>
    </row>
    <row r="187" spans="2:5" ht="15.75" customHeight="1" x14ac:dyDescent="0.3">
      <c r="B187" s="2"/>
      <c r="E187" s="2"/>
    </row>
    <row r="188" spans="2:5" ht="15.75" customHeight="1" x14ac:dyDescent="0.3">
      <c r="B188" s="2"/>
      <c r="E188" s="2"/>
    </row>
    <row r="189" spans="2:5" ht="15.75" customHeight="1" x14ac:dyDescent="0.3">
      <c r="B189" s="2"/>
      <c r="E189" s="2"/>
    </row>
    <row r="190" spans="2:5" ht="15.75" customHeight="1" x14ac:dyDescent="0.3">
      <c r="B190" s="2"/>
      <c r="E190" s="2"/>
    </row>
    <row r="191" spans="2:5" ht="15.75" customHeight="1" x14ac:dyDescent="0.3">
      <c r="B191" s="2"/>
      <c r="E191" s="2"/>
    </row>
    <row r="192" spans="2:5" ht="15.75" customHeight="1" x14ac:dyDescent="0.3">
      <c r="B192" s="2"/>
      <c r="E192" s="2"/>
    </row>
    <row r="193" spans="2:5" ht="15.75" customHeight="1" x14ac:dyDescent="0.3">
      <c r="B193" s="2"/>
      <c r="E193" s="2"/>
    </row>
    <row r="194" spans="2:5" ht="15.75" customHeight="1" x14ac:dyDescent="0.3">
      <c r="B194" s="2"/>
      <c r="E194" s="2"/>
    </row>
    <row r="195" spans="2:5" ht="15.75" customHeight="1" x14ac:dyDescent="0.3">
      <c r="B195" s="2"/>
      <c r="E195" s="2"/>
    </row>
    <row r="196" spans="2:5" ht="15.75" customHeight="1" x14ac:dyDescent="0.3">
      <c r="B196" s="2"/>
      <c r="E196" s="2"/>
    </row>
    <row r="197" spans="2:5" ht="15.75" customHeight="1" x14ac:dyDescent="0.3">
      <c r="B197" s="2"/>
      <c r="E197" s="2"/>
    </row>
    <row r="198" spans="2:5" ht="15.75" customHeight="1" x14ac:dyDescent="0.3">
      <c r="B198" s="2"/>
      <c r="E198" s="2"/>
    </row>
    <row r="199" spans="2:5" ht="15.75" customHeight="1" x14ac:dyDescent="0.3">
      <c r="B199" s="2"/>
      <c r="E199" s="2"/>
    </row>
    <row r="200" spans="2:5" ht="15.75" customHeight="1" x14ac:dyDescent="0.3">
      <c r="B200" s="2"/>
      <c r="E200" s="2"/>
    </row>
    <row r="201" spans="2:5" ht="15.75" customHeight="1" x14ac:dyDescent="0.3">
      <c r="B201" s="2"/>
      <c r="E201" s="2"/>
    </row>
    <row r="202" spans="2:5" ht="15.75" customHeight="1" x14ac:dyDescent="0.3">
      <c r="B202" s="2"/>
      <c r="E202" s="2"/>
    </row>
    <row r="203" spans="2:5" ht="15.75" customHeight="1" x14ac:dyDescent="0.3">
      <c r="B203" s="2"/>
      <c r="E203" s="2"/>
    </row>
    <row r="204" spans="2:5" ht="15.75" customHeight="1" x14ac:dyDescent="0.3">
      <c r="B204" s="2"/>
      <c r="E204" s="2"/>
    </row>
    <row r="205" spans="2:5" ht="15.75" customHeight="1" x14ac:dyDescent="0.3">
      <c r="B205" s="2"/>
      <c r="E205" s="2"/>
    </row>
    <row r="206" spans="2:5" ht="15.75" customHeight="1" x14ac:dyDescent="0.3">
      <c r="B206" s="2"/>
      <c r="E206" s="2"/>
    </row>
    <row r="207" spans="2:5" ht="15.75" customHeight="1" x14ac:dyDescent="0.3">
      <c r="B207" s="2"/>
      <c r="E207" s="2"/>
    </row>
    <row r="208" spans="2:5" ht="15.75" customHeight="1" x14ac:dyDescent="0.3">
      <c r="B208" s="2"/>
      <c r="E208" s="2"/>
    </row>
    <row r="209" spans="2:5" ht="15.75" customHeight="1" x14ac:dyDescent="0.3">
      <c r="B209" s="2"/>
      <c r="E209" s="2"/>
    </row>
    <row r="210" spans="2:5" ht="15.75" customHeight="1" x14ac:dyDescent="0.3">
      <c r="B210" s="2"/>
      <c r="E210" s="2"/>
    </row>
    <row r="211" spans="2:5" ht="15.75" customHeight="1" x14ac:dyDescent="0.3">
      <c r="B211" s="2"/>
      <c r="E211" s="2"/>
    </row>
    <row r="212" spans="2:5" ht="15.75" customHeight="1" x14ac:dyDescent="0.3">
      <c r="B212" s="2"/>
      <c r="E212" s="2"/>
    </row>
    <row r="213" spans="2:5" ht="15.75" customHeight="1" x14ac:dyDescent="0.3">
      <c r="B213" s="2"/>
      <c r="E213" s="2"/>
    </row>
    <row r="214" spans="2:5" ht="15.75" customHeight="1" x14ac:dyDescent="0.3">
      <c r="B214" s="2"/>
      <c r="E214" s="2"/>
    </row>
    <row r="215" spans="2:5" ht="15.75" customHeight="1" x14ac:dyDescent="0.3">
      <c r="B215" s="2"/>
      <c r="E215" s="2"/>
    </row>
    <row r="216" spans="2:5" ht="15.75" customHeight="1" x14ac:dyDescent="0.3">
      <c r="B216" s="2"/>
      <c r="E216" s="2"/>
    </row>
    <row r="217" spans="2:5" ht="15.75" customHeight="1" x14ac:dyDescent="0.3">
      <c r="B217" s="2"/>
      <c r="E217" s="2"/>
    </row>
    <row r="218" spans="2:5" ht="15.75" customHeight="1" x14ac:dyDescent="0.3">
      <c r="B218" s="2"/>
      <c r="E218" s="2"/>
    </row>
    <row r="219" spans="2:5" ht="15.75" customHeight="1" x14ac:dyDescent="0.3">
      <c r="B219" s="2"/>
      <c r="E219" s="2"/>
    </row>
    <row r="220" spans="2:5" ht="15.75" customHeight="1" x14ac:dyDescent="0.3">
      <c r="B220" s="2"/>
      <c r="E220" s="2"/>
    </row>
    <row r="221" spans="2:5" ht="15.75" customHeight="1" x14ac:dyDescent="0.3">
      <c r="B221" s="2"/>
      <c r="E221" s="2"/>
    </row>
    <row r="222" spans="2:5" ht="15.75" customHeight="1" x14ac:dyDescent="0.3">
      <c r="B222" s="2"/>
      <c r="E222" s="2"/>
    </row>
    <row r="223" spans="2:5" ht="15.75" customHeight="1" x14ac:dyDescent="0.3">
      <c r="B223" s="2"/>
      <c r="E223" s="2"/>
    </row>
    <row r="224" spans="2:5" ht="15.75" customHeight="1" x14ac:dyDescent="0.3">
      <c r="B224" s="2"/>
      <c r="E224" s="2"/>
    </row>
    <row r="225" spans="2:5" ht="15.75" customHeight="1" x14ac:dyDescent="0.3">
      <c r="B225" s="2"/>
      <c r="E225" s="2"/>
    </row>
    <row r="226" spans="2:5" ht="15.75" customHeight="1" x14ac:dyDescent="0.3">
      <c r="B226" s="2"/>
      <c r="E226" s="2"/>
    </row>
    <row r="227" spans="2:5" ht="15.75" customHeight="1" x14ac:dyDescent="0.3">
      <c r="B227" s="2"/>
      <c r="E227" s="2"/>
    </row>
    <row r="228" spans="2:5" ht="15.75" customHeight="1" x14ac:dyDescent="0.3">
      <c r="B228" s="2"/>
      <c r="E228" s="2"/>
    </row>
    <row r="229" spans="2:5" ht="15.75" customHeight="1" x14ac:dyDescent="0.3">
      <c r="B229" s="2"/>
      <c r="E229" s="2"/>
    </row>
    <row r="230" spans="2:5" ht="15.75" customHeight="1" x14ac:dyDescent="0.3">
      <c r="B230" s="2"/>
      <c r="E230" s="2"/>
    </row>
    <row r="231" spans="2:5" ht="15.75" customHeight="1" x14ac:dyDescent="0.3">
      <c r="B231" s="2"/>
      <c r="E231" s="2"/>
    </row>
    <row r="232" spans="2:5" ht="15.75" customHeight="1" x14ac:dyDescent="0.3">
      <c r="B232" s="2"/>
      <c r="E232" s="2"/>
    </row>
    <row r="233" spans="2:5" ht="15.75" customHeight="1" x14ac:dyDescent="0.3">
      <c r="B233" s="2"/>
      <c r="E233" s="2"/>
    </row>
    <row r="234" spans="2:5" ht="15.75" customHeight="1" x14ac:dyDescent="0.3">
      <c r="B234" s="2"/>
      <c r="E234" s="2"/>
    </row>
    <row r="235" spans="2:5" ht="15.75" customHeight="1" x14ac:dyDescent="0.3">
      <c r="B235" s="2"/>
      <c r="E235" s="2"/>
    </row>
    <row r="236" spans="2:5" ht="15.75" customHeight="1" x14ac:dyDescent="0.3">
      <c r="B236" s="2"/>
      <c r="E236" s="2"/>
    </row>
    <row r="237" spans="2:5" ht="15.75" customHeight="1" x14ac:dyDescent="0.3">
      <c r="B237" s="2"/>
      <c r="E237" s="2"/>
    </row>
    <row r="238" spans="2:5" ht="15.75" customHeight="1" x14ac:dyDescent="0.3">
      <c r="B238" s="2"/>
      <c r="E238" s="2"/>
    </row>
    <row r="239" spans="2:5" ht="15.75" customHeight="1" x14ac:dyDescent="0.3">
      <c r="B239" s="2"/>
      <c r="E239" s="2"/>
    </row>
    <row r="240" spans="2:5" ht="15.75" customHeight="1" x14ac:dyDescent="0.3">
      <c r="B240" s="2"/>
      <c r="E240" s="2"/>
    </row>
    <row r="241" spans="2:5" ht="15.75" customHeight="1" x14ac:dyDescent="0.3">
      <c r="B241" s="2"/>
      <c r="E241" s="2"/>
    </row>
    <row r="242" spans="2:5" ht="15.75" customHeight="1" x14ac:dyDescent="0.3">
      <c r="B242" s="2"/>
      <c r="E242" s="2"/>
    </row>
    <row r="243" spans="2:5" ht="15.75" customHeight="1" x14ac:dyDescent="0.3">
      <c r="B243" s="2"/>
      <c r="E243" s="2"/>
    </row>
    <row r="244" spans="2:5" ht="15.75" customHeight="1" x14ac:dyDescent="0.3">
      <c r="B244" s="2"/>
      <c r="E244" s="2"/>
    </row>
    <row r="245" spans="2:5" ht="15.75" customHeight="1" x14ac:dyDescent="0.3">
      <c r="B245" s="2"/>
      <c r="E245" s="2"/>
    </row>
    <row r="246" spans="2:5" ht="15.75" customHeight="1" x14ac:dyDescent="0.3">
      <c r="B246" s="2"/>
      <c r="E246" s="2"/>
    </row>
    <row r="247" spans="2:5" ht="15.75" customHeight="1" x14ac:dyDescent="0.3">
      <c r="B247" s="2"/>
      <c r="E247" s="2"/>
    </row>
    <row r="248" spans="2:5" ht="15.75" customHeight="1" x14ac:dyDescent="0.3">
      <c r="B248" s="2"/>
      <c r="E248" s="2"/>
    </row>
    <row r="249" spans="2:5" ht="15.75" customHeight="1" x14ac:dyDescent="0.3">
      <c r="B249" s="2"/>
      <c r="E249" s="2"/>
    </row>
    <row r="250" spans="2:5" ht="15.75" customHeight="1" x14ac:dyDescent="0.3">
      <c r="B250" s="2"/>
      <c r="E250" s="2"/>
    </row>
    <row r="251" spans="2:5" ht="15.75" customHeight="1" x14ac:dyDescent="0.3">
      <c r="B251" s="2"/>
      <c r="E251" s="2"/>
    </row>
    <row r="252" spans="2:5" ht="15.75" customHeight="1" x14ac:dyDescent="0.3">
      <c r="B252" s="2"/>
      <c r="E252" s="2"/>
    </row>
    <row r="253" spans="2:5" ht="15.75" customHeight="1" x14ac:dyDescent="0.3">
      <c r="B253" s="2"/>
      <c r="E253" s="2"/>
    </row>
    <row r="254" spans="2:5" ht="15.75" customHeight="1" x14ac:dyDescent="0.3">
      <c r="B254" s="2"/>
      <c r="E254" s="2"/>
    </row>
    <row r="255" spans="2:5" ht="15.75" customHeight="1" x14ac:dyDescent="0.3">
      <c r="B255" s="2"/>
      <c r="E255" s="2"/>
    </row>
    <row r="256" spans="2:5" ht="15.75" customHeight="1" x14ac:dyDescent="0.3">
      <c r="B256" s="2"/>
      <c r="E256" s="2"/>
    </row>
    <row r="257" spans="2:5" ht="15.75" customHeight="1" x14ac:dyDescent="0.3">
      <c r="B257" s="2"/>
      <c r="E257" s="2"/>
    </row>
    <row r="258" spans="2:5" ht="15.75" customHeight="1" x14ac:dyDescent="0.3">
      <c r="B258" s="2"/>
      <c r="E258" s="2"/>
    </row>
    <row r="259" spans="2:5" ht="15.75" customHeight="1" x14ac:dyDescent="0.3">
      <c r="B259" s="2"/>
      <c r="E259" s="2"/>
    </row>
    <row r="260" spans="2:5" ht="15.75" customHeight="1" x14ac:dyDescent="0.3">
      <c r="B260" s="2"/>
      <c r="E260" s="2"/>
    </row>
    <row r="261" spans="2:5" ht="15.75" customHeight="1" x14ac:dyDescent="0.3">
      <c r="B261" s="2"/>
      <c r="E261" s="2"/>
    </row>
    <row r="262" spans="2:5" ht="15.75" customHeight="1" x14ac:dyDescent="0.3">
      <c r="B262" s="2"/>
      <c r="E262" s="2"/>
    </row>
    <row r="263" spans="2:5" ht="15.75" customHeight="1" x14ac:dyDescent="0.3"/>
    <row r="264" spans="2:5" ht="15.75" customHeight="1" x14ac:dyDescent="0.3"/>
    <row r="265" spans="2:5" ht="15.75" customHeight="1" x14ac:dyDescent="0.3"/>
    <row r="266" spans="2:5" ht="15.75" customHeight="1" x14ac:dyDescent="0.3"/>
    <row r="267" spans="2:5" ht="15.75" customHeight="1" x14ac:dyDescent="0.3"/>
    <row r="268" spans="2:5" ht="15.75" customHeight="1" x14ac:dyDescent="0.3"/>
    <row r="269" spans="2:5" ht="15.75" customHeight="1" x14ac:dyDescent="0.3"/>
    <row r="270" spans="2:5" ht="15.75" customHeight="1" x14ac:dyDescent="0.3"/>
    <row r="271" spans="2:5" ht="15.75" customHeight="1" x14ac:dyDescent="0.3"/>
    <row r="272" spans="2:5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C44:D44"/>
    <mergeCell ref="G44:AB44"/>
    <mergeCell ref="C1:D1"/>
    <mergeCell ref="G1:AB1"/>
    <mergeCell ref="A2:A5"/>
    <mergeCell ref="C6:D6"/>
    <mergeCell ref="G6:AB6"/>
    <mergeCell ref="C25:D25"/>
    <mergeCell ref="G25:AB25"/>
  </mergeCells>
  <conditionalFormatting sqref="D8:D24">
    <cfRule type="cellIs" dxfId="496" priority="22" operator="greaterThanOrEqual">
      <formula>$D$4</formula>
    </cfRule>
    <cfRule type="cellIs" dxfId="495" priority="24" operator="between">
      <formula>$D$3</formula>
      <formula>$D$4</formula>
    </cfRule>
    <cfRule type="cellIs" dxfId="494" priority="23" operator="lessThanOrEqual">
      <formula>$D$2</formula>
    </cfRule>
  </conditionalFormatting>
  <conditionalFormatting sqref="D27:D43 G27:AB43">
    <cfRule type="cellIs" dxfId="493" priority="21" operator="greaterThanOrEqual">
      <formula>365</formula>
    </cfRule>
  </conditionalFormatting>
  <conditionalFormatting sqref="D46:D62 G46:AB62">
    <cfRule type="cellIs" dxfId="492" priority="20" operator="lessThanOrEqual">
      <formula>1</formula>
    </cfRule>
  </conditionalFormatting>
  <conditionalFormatting sqref="G8:G24">
    <cfRule type="cellIs" dxfId="491" priority="1" operator="greaterThanOrEqual">
      <formula>$G$4</formula>
    </cfRule>
    <cfRule type="cellIs" dxfId="490" priority="19" operator="lessThanOrEqual">
      <formula>$G$2</formula>
    </cfRule>
    <cfRule type="cellIs" dxfId="489" priority="10" operator="between">
      <formula>$G$3</formula>
      <formula>$G$4</formula>
    </cfRule>
  </conditionalFormatting>
  <conditionalFormatting sqref="H8:H24">
    <cfRule type="cellIs" dxfId="488" priority="2" operator="greaterThanOrEqual">
      <formula>$H$4</formula>
    </cfRule>
    <cfRule type="cellIs" dxfId="487" priority="11" operator="between">
      <formula>$H$3</formula>
      <formula>$H$4</formula>
    </cfRule>
    <cfRule type="cellIs" dxfId="486" priority="26" operator="lessThanOrEqual">
      <formula>$H$2</formula>
    </cfRule>
  </conditionalFormatting>
  <conditionalFormatting sqref="I8:I24">
    <cfRule type="cellIs" dxfId="485" priority="3" operator="greaterThanOrEqual">
      <formula>$I$4</formula>
    </cfRule>
    <cfRule type="cellIs" dxfId="484" priority="12" operator="between">
      <formula>I$3</formula>
      <formula>I$4</formula>
    </cfRule>
    <cfRule type="cellIs" dxfId="483" priority="27" operator="lessThanOrEqual">
      <formula>$I$2</formula>
    </cfRule>
  </conditionalFormatting>
  <conditionalFormatting sqref="J8:J24">
    <cfRule type="cellIs" dxfId="482" priority="4" operator="greaterThanOrEqual">
      <formula>$J$4</formula>
    </cfRule>
    <cfRule type="cellIs" dxfId="481" priority="13" operator="between">
      <formula>$J$3</formula>
      <formula>$J$4</formula>
    </cfRule>
    <cfRule type="cellIs" dxfId="480" priority="28" operator="lessThanOrEqual">
      <formula>$J$2</formula>
    </cfRule>
  </conditionalFormatting>
  <conditionalFormatting sqref="K8:K24">
    <cfRule type="cellIs" dxfId="479" priority="5" operator="greaterThanOrEqual">
      <formula>$K$4</formula>
    </cfRule>
    <cfRule type="cellIs" dxfId="478" priority="14" operator="between">
      <formula>$K$3</formula>
      <formula>$K$4</formula>
    </cfRule>
    <cfRule type="cellIs" dxfId="477" priority="29" operator="lessThanOrEqual">
      <formula>$K$2</formula>
    </cfRule>
  </conditionalFormatting>
  <conditionalFormatting sqref="L8:L24">
    <cfRule type="cellIs" dxfId="476" priority="6" operator="greaterThanOrEqual">
      <formula>$L$4</formula>
    </cfRule>
    <cfRule type="cellIs" dxfId="475" priority="15" operator="between">
      <formula>$L$3</formula>
      <formula>$L$4</formula>
    </cfRule>
    <cfRule type="cellIs" dxfId="474" priority="30" operator="lessThanOrEqual">
      <formula>$L$2</formula>
    </cfRule>
  </conditionalFormatting>
  <conditionalFormatting sqref="M8:M24">
    <cfRule type="cellIs" dxfId="473" priority="7" operator="greaterThanOrEqual">
      <formula>$M$4</formula>
    </cfRule>
    <cfRule type="cellIs" dxfId="472" priority="16" operator="between">
      <formula>$M$3</formula>
      <formula>$M$4</formula>
    </cfRule>
    <cfRule type="cellIs" dxfId="471" priority="31" operator="lessThanOrEqual">
      <formula>$M$2</formula>
    </cfRule>
  </conditionalFormatting>
  <conditionalFormatting sqref="N8:N24">
    <cfRule type="cellIs" dxfId="470" priority="8" operator="greaterThanOrEqual">
      <formula>$N$4</formula>
    </cfRule>
    <cfRule type="cellIs" dxfId="469" priority="17" operator="between">
      <formula>$N$3</formula>
      <formula>$N$4</formula>
    </cfRule>
    <cfRule type="cellIs" dxfId="468" priority="32" operator="lessThanOrEqual">
      <formula>$N$2</formula>
    </cfRule>
  </conditionalFormatting>
  <conditionalFormatting sqref="O8:O24">
    <cfRule type="cellIs" dxfId="467" priority="18" operator="between">
      <formula>$O$3</formula>
      <formula>$O$4</formula>
    </cfRule>
    <cfRule type="cellIs" dxfId="466" priority="9" operator="greaterThanOrEqual">
      <formula>$O$4</formula>
    </cfRule>
    <cfRule type="cellIs" dxfId="465" priority="33" operator="lessThanOrEqual">
      <formula>$O$2</formula>
    </cfRule>
  </conditionalFormatting>
  <conditionalFormatting sqref="P7:P24">
    <cfRule type="cellIs" dxfId="464" priority="46" operator="between">
      <formula>$P$3</formula>
      <formula>$P$4</formula>
    </cfRule>
  </conditionalFormatting>
  <conditionalFormatting sqref="P8:P24">
    <cfRule type="cellIs" dxfId="463" priority="25" operator="lessThanOrEqual">
      <formula>$P$2</formula>
    </cfRule>
    <cfRule type="cellIs" dxfId="462" priority="59" operator="greaterThanOrEqual">
      <formula>$P$4</formula>
    </cfRule>
  </conditionalFormatting>
  <conditionalFormatting sqref="Q8:Q24">
    <cfRule type="cellIs" dxfId="461" priority="34" operator="lessThanOrEqual">
      <formula>$Q$2</formula>
    </cfRule>
    <cfRule type="cellIs" dxfId="460" priority="47" operator="between">
      <formula>$Q$3</formula>
      <formula>$Q$4</formula>
    </cfRule>
    <cfRule type="cellIs" dxfId="459" priority="60" operator="greaterThanOrEqual">
      <formula>$Q$4</formula>
    </cfRule>
  </conditionalFormatting>
  <conditionalFormatting sqref="R8:R24">
    <cfRule type="cellIs" dxfId="458" priority="48" operator="between">
      <formula>$R$3</formula>
      <formula>$R$4</formula>
    </cfRule>
    <cfRule type="cellIs" dxfId="457" priority="35" operator="lessThanOrEqual">
      <formula>$R$2</formula>
    </cfRule>
    <cfRule type="cellIs" dxfId="456" priority="61" operator="greaterThanOrEqual">
      <formula>$R$4</formula>
    </cfRule>
  </conditionalFormatting>
  <conditionalFormatting sqref="S8:S24">
    <cfRule type="cellIs" dxfId="455" priority="49" operator="between">
      <formula>$S$3</formula>
      <formula>$S$4</formula>
    </cfRule>
    <cfRule type="cellIs" dxfId="454" priority="36" operator="lessThanOrEqual">
      <formula>$S$2</formula>
    </cfRule>
    <cfRule type="cellIs" dxfId="453" priority="62" operator="greaterThanOrEqual">
      <formula>$S$4</formula>
    </cfRule>
  </conditionalFormatting>
  <conditionalFormatting sqref="T8:T24">
    <cfRule type="cellIs" dxfId="452" priority="37" operator="lessThanOrEqual">
      <formula>$T$2</formula>
    </cfRule>
    <cfRule type="cellIs" dxfId="451" priority="50" operator="between">
      <formula>$T$3</formula>
      <formula>$T$4</formula>
    </cfRule>
    <cfRule type="cellIs" dxfId="450" priority="63" operator="greaterThanOrEqual">
      <formula>$T$4</formula>
    </cfRule>
  </conditionalFormatting>
  <conditionalFormatting sqref="U8:U24">
    <cfRule type="cellIs" dxfId="449" priority="38" operator="lessThanOrEqual">
      <formula>$U$2</formula>
    </cfRule>
    <cfRule type="cellIs" dxfId="448" priority="51" operator="between">
      <formula>$U$3</formula>
      <formula>$U$4</formula>
    </cfRule>
    <cfRule type="cellIs" dxfId="447" priority="64" operator="greaterThanOrEqual">
      <formula>$U$4</formula>
    </cfRule>
  </conditionalFormatting>
  <conditionalFormatting sqref="V8:V24">
    <cfRule type="cellIs" dxfId="446" priority="39" operator="lessThanOrEqual">
      <formula>$V$2</formula>
    </cfRule>
    <cfRule type="cellIs" dxfId="445" priority="52" operator="between">
      <formula>$V$3</formula>
      <formula>$V$4</formula>
    </cfRule>
    <cfRule type="cellIs" dxfId="444" priority="65" operator="greaterThanOrEqual">
      <formula>$V$4</formula>
    </cfRule>
  </conditionalFormatting>
  <conditionalFormatting sqref="W8:W24">
    <cfRule type="cellIs" dxfId="443" priority="40" operator="lessThanOrEqual">
      <formula>$W$2</formula>
    </cfRule>
    <cfRule type="cellIs" dxfId="442" priority="53" operator="between">
      <formula>$W$3</formula>
      <formula>$W$4</formula>
    </cfRule>
    <cfRule type="cellIs" dxfId="441" priority="66" operator="greaterThanOrEqual">
      <formula>$W$4</formula>
    </cfRule>
  </conditionalFormatting>
  <conditionalFormatting sqref="X8:X24">
    <cfRule type="cellIs" dxfId="440" priority="54" operator="between">
      <formula>$X$3</formula>
      <formula>$X$4</formula>
    </cfRule>
    <cfRule type="cellIs" dxfId="439" priority="41" operator="lessThanOrEqual">
      <formula>$X$2</formula>
    </cfRule>
    <cfRule type="cellIs" dxfId="438" priority="67" operator="greaterThanOrEqual">
      <formula>$X$4</formula>
    </cfRule>
  </conditionalFormatting>
  <conditionalFormatting sqref="Y8:Y24">
    <cfRule type="cellIs" dxfId="437" priority="42" operator="lessThanOrEqual">
      <formula>$Y$2</formula>
    </cfRule>
    <cfRule type="cellIs" dxfId="436" priority="55" operator="between">
      <formula>$Y$3</formula>
      <formula>$Y$4</formula>
    </cfRule>
    <cfRule type="cellIs" dxfId="435" priority="68" operator="greaterThanOrEqual">
      <formula>$Y$4</formula>
    </cfRule>
  </conditionalFormatting>
  <conditionalFormatting sqref="Z8:Z24">
    <cfRule type="cellIs" dxfId="434" priority="56" operator="between">
      <formula>$Z$3</formula>
      <formula>$Z$4</formula>
    </cfRule>
    <cfRule type="cellIs" dxfId="433" priority="43" operator="lessThanOrEqual">
      <formula>$Z$2</formula>
    </cfRule>
    <cfRule type="cellIs" dxfId="432" priority="69" operator="greaterThanOrEqual">
      <formula>$Z$4</formula>
    </cfRule>
  </conditionalFormatting>
  <conditionalFormatting sqref="AA8:AA24">
    <cfRule type="cellIs" dxfId="431" priority="57" operator="between">
      <formula>$AA$3</formula>
      <formula>$AA$4</formula>
    </cfRule>
    <cfRule type="cellIs" dxfId="430" priority="44" operator="lessThanOrEqual">
      <formula>$AA$2</formula>
    </cfRule>
    <cfRule type="cellIs" dxfId="429" priority="70" operator="greaterThanOrEqual">
      <formula>$AA$4</formula>
    </cfRule>
  </conditionalFormatting>
  <conditionalFormatting sqref="AB8:AB24">
    <cfRule type="cellIs" dxfId="428" priority="45" operator="lessThanOrEqual">
      <formula>$AB$2</formula>
    </cfRule>
    <cfRule type="cellIs" dxfId="427" priority="58" operator="between">
      <formula>$AB$3</formula>
      <formula>$AB$4</formula>
    </cfRule>
    <cfRule type="cellIs" dxfId="426" priority="71" operator="greaterThanOrEqual">
      <formula>$AB$4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000"/>
  <sheetViews>
    <sheetView topLeftCell="A23" workbookViewId="0">
      <selection activeCell="A46" sqref="A46:A62"/>
    </sheetView>
  </sheetViews>
  <sheetFormatPr defaultColWidth="12.61328125" defaultRowHeight="15" customHeight="1" x14ac:dyDescent="0.3"/>
  <cols>
    <col min="1" max="1" width="10.4609375" customWidth="1"/>
    <col min="2" max="2" width="2.3828125" customWidth="1"/>
    <col min="3" max="3" width="10.4609375" customWidth="1"/>
    <col min="4" max="4" width="12.61328125" customWidth="1"/>
    <col min="5" max="5" width="2.3828125" customWidth="1"/>
    <col min="6" max="6" width="10.4609375" customWidth="1"/>
    <col min="9" max="10" width="14.61328125" customWidth="1"/>
  </cols>
  <sheetData>
    <row r="1" spans="1:28" ht="15.75" customHeight="1" x14ac:dyDescent="0.3">
      <c r="A1" s="1"/>
      <c r="B1" s="2"/>
      <c r="C1" s="32" t="s">
        <v>0</v>
      </c>
      <c r="D1" s="30"/>
      <c r="E1" s="2"/>
      <c r="F1" s="3"/>
      <c r="G1" s="32" t="s">
        <v>1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ht="15.75" customHeight="1" x14ac:dyDescent="0.3">
      <c r="A2" s="33" t="s">
        <v>2</v>
      </c>
      <c r="B2" s="2"/>
      <c r="C2" s="4" t="s">
        <v>3</v>
      </c>
      <c r="D2" s="5">
        <f>D3/12</f>
        <v>1.893939393939394E-2</v>
      </c>
      <c r="E2" s="2"/>
      <c r="F2" s="4" t="s">
        <v>3</v>
      </c>
      <c r="G2" s="5">
        <f t="shared" ref="G2:AB2" si="0">G3/12</f>
        <v>6.0606060606060597</v>
      </c>
      <c r="H2" s="5">
        <f t="shared" si="0"/>
        <v>4.6401515151515147</v>
      </c>
      <c r="I2" s="5">
        <f t="shared" si="0"/>
        <v>3.8825757575757573</v>
      </c>
      <c r="J2" s="5">
        <f t="shared" si="0"/>
        <v>1.893939393939394E-2</v>
      </c>
      <c r="K2" s="5">
        <f t="shared" si="0"/>
        <v>1.893939393939394E-2</v>
      </c>
      <c r="L2" s="5">
        <f t="shared" si="0"/>
        <v>1.893939393939394E-2</v>
      </c>
      <c r="M2" s="5">
        <f t="shared" si="0"/>
        <v>1.893939393939394E-2</v>
      </c>
      <c r="N2" s="5">
        <f t="shared" si="0"/>
        <v>1.893939393939394E-2</v>
      </c>
      <c r="O2" s="5">
        <f t="shared" si="0"/>
        <v>1.893939393939394E-2</v>
      </c>
      <c r="P2" s="5">
        <f t="shared" si="0"/>
        <v>1.893939393939394E-2</v>
      </c>
      <c r="Q2" s="5">
        <f t="shared" si="0"/>
        <v>1.893939393939394E-2</v>
      </c>
      <c r="R2" s="5">
        <f t="shared" si="0"/>
        <v>1.893939393939394E-2</v>
      </c>
      <c r="S2" s="5">
        <f t="shared" si="0"/>
        <v>1.893939393939394E-2</v>
      </c>
      <c r="T2" s="5">
        <f t="shared" si="0"/>
        <v>1.893939393939394E-2</v>
      </c>
      <c r="U2" s="5">
        <f t="shared" si="0"/>
        <v>1.893939393939394E-2</v>
      </c>
      <c r="V2" s="5">
        <f t="shared" si="0"/>
        <v>1.893939393939394E-2</v>
      </c>
      <c r="W2" s="5">
        <f t="shared" si="0"/>
        <v>1.893939393939394E-2</v>
      </c>
      <c r="X2" s="5">
        <f t="shared" si="0"/>
        <v>1.893939393939394E-2</v>
      </c>
      <c r="Y2" s="5">
        <f t="shared" si="0"/>
        <v>1.893939393939394E-2</v>
      </c>
      <c r="Z2" s="5">
        <f t="shared" si="0"/>
        <v>1.893939393939394E-2</v>
      </c>
      <c r="AA2" s="5">
        <f t="shared" si="0"/>
        <v>1.893939393939394E-2</v>
      </c>
      <c r="AB2" s="5">
        <f t="shared" si="0"/>
        <v>1.893939393939394E-2</v>
      </c>
    </row>
    <row r="3" spans="1:28" ht="15.75" customHeight="1" x14ac:dyDescent="0.3">
      <c r="A3" s="30"/>
      <c r="B3" s="2"/>
      <c r="C3" s="4" t="s">
        <v>4</v>
      </c>
      <c r="D3" s="5">
        <f>D4/4.4</f>
        <v>0.22727272727272727</v>
      </c>
      <c r="E3" s="2"/>
      <c r="F3" s="4" t="s">
        <v>4</v>
      </c>
      <c r="G3" s="5">
        <f t="shared" ref="G3:AB3" si="1">G4/4.4</f>
        <v>72.72727272727272</v>
      </c>
      <c r="H3" s="5">
        <f t="shared" si="1"/>
        <v>55.68181818181818</v>
      </c>
      <c r="I3" s="5">
        <f t="shared" si="1"/>
        <v>46.590909090909086</v>
      </c>
      <c r="J3" s="5">
        <f t="shared" si="1"/>
        <v>0.22727272727272727</v>
      </c>
      <c r="K3" s="5">
        <f t="shared" si="1"/>
        <v>0.22727272727272727</v>
      </c>
      <c r="L3" s="5">
        <f t="shared" si="1"/>
        <v>0.22727272727272727</v>
      </c>
      <c r="M3" s="5">
        <f t="shared" si="1"/>
        <v>0.22727272727272727</v>
      </c>
      <c r="N3" s="5">
        <f t="shared" si="1"/>
        <v>0.22727272727272727</v>
      </c>
      <c r="O3" s="5">
        <f t="shared" si="1"/>
        <v>0.22727272727272727</v>
      </c>
      <c r="P3" s="5">
        <f t="shared" si="1"/>
        <v>0.22727272727272727</v>
      </c>
      <c r="Q3" s="5">
        <f t="shared" si="1"/>
        <v>0.22727272727272727</v>
      </c>
      <c r="R3" s="5">
        <f t="shared" si="1"/>
        <v>0.22727272727272727</v>
      </c>
      <c r="S3" s="5">
        <f t="shared" si="1"/>
        <v>0.22727272727272727</v>
      </c>
      <c r="T3" s="5">
        <f t="shared" si="1"/>
        <v>0.22727272727272727</v>
      </c>
      <c r="U3" s="5">
        <f t="shared" si="1"/>
        <v>0.22727272727272727</v>
      </c>
      <c r="V3" s="5">
        <f t="shared" si="1"/>
        <v>0.22727272727272727</v>
      </c>
      <c r="W3" s="5">
        <f t="shared" si="1"/>
        <v>0.22727272727272727</v>
      </c>
      <c r="X3" s="5">
        <f t="shared" si="1"/>
        <v>0.22727272727272727</v>
      </c>
      <c r="Y3" s="5">
        <f t="shared" si="1"/>
        <v>0.22727272727272727</v>
      </c>
      <c r="Z3" s="5">
        <f t="shared" si="1"/>
        <v>0.22727272727272727</v>
      </c>
      <c r="AA3" s="5">
        <f t="shared" si="1"/>
        <v>0.22727272727272727</v>
      </c>
      <c r="AB3" s="5">
        <f t="shared" si="1"/>
        <v>0.22727272727272727</v>
      </c>
    </row>
    <row r="4" spans="1:28" ht="15.75" customHeight="1" x14ac:dyDescent="0.3">
      <c r="A4" s="30"/>
      <c r="B4" s="2"/>
      <c r="C4" s="4" t="s">
        <v>5</v>
      </c>
      <c r="D4" s="6">
        <v>1</v>
      </c>
      <c r="E4" s="2"/>
      <c r="F4" s="4" t="s">
        <v>5</v>
      </c>
      <c r="G4" s="25">
        <v>320</v>
      </c>
      <c r="H4" s="26">
        <v>245</v>
      </c>
      <c r="I4" s="26">
        <v>205</v>
      </c>
      <c r="J4" s="26">
        <v>1</v>
      </c>
      <c r="K4" s="25">
        <v>1</v>
      </c>
      <c r="L4" s="26">
        <v>1</v>
      </c>
      <c r="M4" s="26">
        <v>1</v>
      </c>
      <c r="N4" s="26">
        <v>1</v>
      </c>
      <c r="O4" s="25">
        <v>1</v>
      </c>
      <c r="P4" s="26">
        <v>1</v>
      </c>
      <c r="Q4" s="26">
        <v>1</v>
      </c>
      <c r="R4" s="25">
        <v>1</v>
      </c>
      <c r="S4" s="26">
        <v>1</v>
      </c>
      <c r="T4" s="26">
        <v>1</v>
      </c>
      <c r="U4" s="26">
        <v>1</v>
      </c>
      <c r="V4" s="25">
        <v>1</v>
      </c>
      <c r="W4" s="26">
        <v>1</v>
      </c>
      <c r="X4" s="25">
        <v>1</v>
      </c>
      <c r="Y4" s="25">
        <v>1</v>
      </c>
      <c r="Z4" s="26">
        <v>1</v>
      </c>
      <c r="AA4" s="26">
        <v>1</v>
      </c>
      <c r="AB4" s="26">
        <v>1</v>
      </c>
    </row>
    <row r="5" spans="1:28" ht="25.5" customHeight="1" x14ac:dyDescent="0.3">
      <c r="A5" s="30"/>
      <c r="B5" s="2"/>
      <c r="C5" s="7" t="s">
        <v>6</v>
      </c>
      <c r="D5" s="8">
        <v>1</v>
      </c>
      <c r="E5" s="2"/>
      <c r="F5" s="7" t="s">
        <v>6</v>
      </c>
      <c r="G5" s="27">
        <v>10</v>
      </c>
      <c r="H5" s="28">
        <v>5</v>
      </c>
      <c r="I5" s="28">
        <v>8</v>
      </c>
      <c r="J5" s="28">
        <v>1</v>
      </c>
      <c r="K5" s="27">
        <v>1</v>
      </c>
      <c r="L5" s="28">
        <v>1</v>
      </c>
      <c r="M5" s="28">
        <v>1</v>
      </c>
      <c r="N5" s="28">
        <v>1</v>
      </c>
      <c r="O5" s="27">
        <v>1</v>
      </c>
      <c r="P5" s="28">
        <v>1</v>
      </c>
      <c r="Q5" s="28">
        <v>1</v>
      </c>
      <c r="R5" s="27">
        <v>1</v>
      </c>
      <c r="S5" s="28">
        <v>1</v>
      </c>
      <c r="T5" s="28">
        <v>1</v>
      </c>
      <c r="U5" s="28">
        <v>1</v>
      </c>
      <c r="V5" s="27">
        <v>1</v>
      </c>
      <c r="W5" s="28">
        <v>1</v>
      </c>
      <c r="X5" s="27">
        <v>1</v>
      </c>
      <c r="Y5" s="27">
        <v>1</v>
      </c>
      <c r="Z5" s="28">
        <v>1</v>
      </c>
      <c r="AA5" s="28">
        <v>1</v>
      </c>
      <c r="AB5" s="28">
        <v>1</v>
      </c>
    </row>
    <row r="6" spans="1:28" ht="15.75" customHeight="1" x14ac:dyDescent="0.3">
      <c r="A6" s="3"/>
      <c r="B6" s="2"/>
      <c r="C6" s="29"/>
      <c r="D6" s="30"/>
      <c r="E6" s="2"/>
      <c r="F6" s="3"/>
      <c r="G6" s="31" t="s">
        <v>7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spans="1:28" ht="15.75" customHeight="1" x14ac:dyDescent="0.3">
      <c r="A7" s="9" t="s">
        <v>8</v>
      </c>
      <c r="B7" s="2"/>
      <c r="C7" s="10" t="s">
        <v>9</v>
      </c>
      <c r="D7" s="10" t="s">
        <v>10</v>
      </c>
      <c r="E7" s="2"/>
      <c r="F7" s="10" t="s">
        <v>9</v>
      </c>
      <c r="G7" s="10" t="s">
        <v>61</v>
      </c>
      <c r="H7" s="10" t="s">
        <v>62</v>
      </c>
      <c r="I7" s="10" t="s">
        <v>63</v>
      </c>
      <c r="J7" s="10"/>
      <c r="K7" s="10"/>
      <c r="L7" s="10"/>
      <c r="M7" s="10"/>
      <c r="N7" s="10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5.75" customHeight="1" x14ac:dyDescent="0.3">
      <c r="A8" s="12">
        <f>RAW!$A$6</f>
        <v>400</v>
      </c>
      <c r="B8" s="2"/>
      <c r="C8" s="13" t="s">
        <v>19</v>
      </c>
      <c r="D8" s="14">
        <f t="shared" ref="D8:D24" si="2">($A8/D$5)/365</f>
        <v>1.095890410958904</v>
      </c>
      <c r="E8" s="2"/>
      <c r="F8" s="13" t="s">
        <v>19</v>
      </c>
      <c r="G8" s="14">
        <f t="shared" ref="G8:AB8" si="3">($A8/G$5)/365</f>
        <v>0.1095890410958904</v>
      </c>
      <c r="H8" s="14">
        <f t="shared" si="3"/>
        <v>0.21917808219178081</v>
      </c>
      <c r="I8" s="14">
        <f t="shared" si="3"/>
        <v>0.13698630136986301</v>
      </c>
      <c r="J8" s="14">
        <f t="shared" si="3"/>
        <v>1.095890410958904</v>
      </c>
      <c r="K8" s="14">
        <f t="shared" si="3"/>
        <v>1.095890410958904</v>
      </c>
      <c r="L8" s="14">
        <f t="shared" si="3"/>
        <v>1.095890410958904</v>
      </c>
      <c r="M8" s="14">
        <f t="shared" si="3"/>
        <v>1.095890410958904</v>
      </c>
      <c r="N8" s="14">
        <f t="shared" si="3"/>
        <v>1.095890410958904</v>
      </c>
      <c r="O8" s="15">
        <f t="shared" si="3"/>
        <v>1.095890410958904</v>
      </c>
      <c r="P8" s="16">
        <f t="shared" si="3"/>
        <v>1.095890410958904</v>
      </c>
      <c r="Q8" s="16">
        <f t="shared" si="3"/>
        <v>1.095890410958904</v>
      </c>
      <c r="R8" s="16">
        <f t="shared" si="3"/>
        <v>1.095890410958904</v>
      </c>
      <c r="S8" s="16">
        <f t="shared" si="3"/>
        <v>1.095890410958904</v>
      </c>
      <c r="T8" s="16">
        <f t="shared" si="3"/>
        <v>1.095890410958904</v>
      </c>
      <c r="U8" s="16">
        <f t="shared" si="3"/>
        <v>1.095890410958904</v>
      </c>
      <c r="V8" s="16">
        <f t="shared" si="3"/>
        <v>1.095890410958904</v>
      </c>
      <c r="W8" s="16">
        <f t="shared" si="3"/>
        <v>1.095890410958904</v>
      </c>
      <c r="X8" s="16">
        <f t="shared" si="3"/>
        <v>1.095890410958904</v>
      </c>
      <c r="Y8" s="16">
        <f t="shared" si="3"/>
        <v>1.095890410958904</v>
      </c>
      <c r="Z8" s="16">
        <f t="shared" si="3"/>
        <v>1.095890410958904</v>
      </c>
      <c r="AA8" s="16">
        <f t="shared" si="3"/>
        <v>1.095890410958904</v>
      </c>
      <c r="AB8" s="16">
        <f t="shared" si="3"/>
        <v>1.095890410958904</v>
      </c>
    </row>
    <row r="9" spans="1:28" ht="15.75" customHeight="1" x14ac:dyDescent="0.3">
      <c r="A9" s="12">
        <f>RAW!$A$7</f>
        <v>1200</v>
      </c>
      <c r="B9" s="2"/>
      <c r="C9" s="17" t="s">
        <v>20</v>
      </c>
      <c r="D9" s="14">
        <f t="shared" si="2"/>
        <v>3.2876712328767121</v>
      </c>
      <c r="E9" s="2"/>
      <c r="F9" s="17" t="s">
        <v>20</v>
      </c>
      <c r="G9" s="14">
        <f t="shared" ref="G9:AB9" si="4">($A9/G$5)/365</f>
        <v>0.32876712328767121</v>
      </c>
      <c r="H9" s="14">
        <f t="shared" si="4"/>
        <v>0.65753424657534243</v>
      </c>
      <c r="I9" s="14">
        <f t="shared" si="4"/>
        <v>0.41095890410958902</v>
      </c>
      <c r="J9" s="14">
        <f t="shared" si="4"/>
        <v>3.2876712328767121</v>
      </c>
      <c r="K9" s="14">
        <f t="shared" si="4"/>
        <v>3.2876712328767121</v>
      </c>
      <c r="L9" s="14">
        <f t="shared" si="4"/>
        <v>3.2876712328767121</v>
      </c>
      <c r="M9" s="14">
        <f t="shared" si="4"/>
        <v>3.2876712328767121</v>
      </c>
      <c r="N9" s="14">
        <f t="shared" si="4"/>
        <v>3.2876712328767121</v>
      </c>
      <c r="O9" s="15">
        <f t="shared" si="4"/>
        <v>3.2876712328767121</v>
      </c>
      <c r="P9" s="16">
        <f t="shared" si="4"/>
        <v>3.2876712328767121</v>
      </c>
      <c r="Q9" s="16">
        <f t="shared" si="4"/>
        <v>3.2876712328767121</v>
      </c>
      <c r="R9" s="16">
        <f t="shared" si="4"/>
        <v>3.2876712328767121</v>
      </c>
      <c r="S9" s="16">
        <f t="shared" si="4"/>
        <v>3.2876712328767121</v>
      </c>
      <c r="T9" s="16">
        <f t="shared" si="4"/>
        <v>3.2876712328767121</v>
      </c>
      <c r="U9" s="16">
        <f t="shared" si="4"/>
        <v>3.2876712328767121</v>
      </c>
      <c r="V9" s="16">
        <f t="shared" si="4"/>
        <v>3.2876712328767121</v>
      </c>
      <c r="W9" s="16">
        <f t="shared" si="4"/>
        <v>3.2876712328767121</v>
      </c>
      <c r="X9" s="16">
        <f t="shared" si="4"/>
        <v>3.2876712328767121</v>
      </c>
      <c r="Y9" s="16">
        <f t="shared" si="4"/>
        <v>3.2876712328767121</v>
      </c>
      <c r="Z9" s="16">
        <f t="shared" si="4"/>
        <v>3.2876712328767121</v>
      </c>
      <c r="AA9" s="16">
        <f t="shared" si="4"/>
        <v>3.2876712328767121</v>
      </c>
      <c r="AB9" s="16">
        <f t="shared" si="4"/>
        <v>3.2876712328767121</v>
      </c>
    </row>
    <row r="10" spans="1:28" ht="15.75" customHeight="1" x14ac:dyDescent="0.3">
      <c r="A10" s="12">
        <f>RAW!$A$8</f>
        <v>2800</v>
      </c>
      <c r="B10" s="2"/>
      <c r="C10" s="17" t="s">
        <v>21</v>
      </c>
      <c r="D10" s="14">
        <f t="shared" si="2"/>
        <v>7.6712328767123283</v>
      </c>
      <c r="E10" s="2"/>
      <c r="F10" s="17" t="s">
        <v>21</v>
      </c>
      <c r="G10" s="14">
        <f t="shared" ref="G10:AB10" si="5">($A10/G$5)/365</f>
        <v>0.76712328767123283</v>
      </c>
      <c r="H10" s="14">
        <f t="shared" si="5"/>
        <v>1.5342465753424657</v>
      </c>
      <c r="I10" s="14">
        <f t="shared" si="5"/>
        <v>0.95890410958904104</v>
      </c>
      <c r="J10" s="14">
        <f t="shared" si="5"/>
        <v>7.6712328767123283</v>
      </c>
      <c r="K10" s="14">
        <f t="shared" si="5"/>
        <v>7.6712328767123283</v>
      </c>
      <c r="L10" s="14">
        <f t="shared" si="5"/>
        <v>7.6712328767123283</v>
      </c>
      <c r="M10" s="14">
        <f t="shared" si="5"/>
        <v>7.6712328767123283</v>
      </c>
      <c r="N10" s="14">
        <f t="shared" si="5"/>
        <v>7.6712328767123283</v>
      </c>
      <c r="O10" s="15">
        <f t="shared" si="5"/>
        <v>7.6712328767123283</v>
      </c>
      <c r="P10" s="16">
        <f t="shared" si="5"/>
        <v>7.6712328767123283</v>
      </c>
      <c r="Q10" s="16">
        <f t="shared" si="5"/>
        <v>7.6712328767123283</v>
      </c>
      <c r="R10" s="16">
        <f t="shared" si="5"/>
        <v>7.6712328767123283</v>
      </c>
      <c r="S10" s="16">
        <f t="shared" si="5"/>
        <v>7.6712328767123283</v>
      </c>
      <c r="T10" s="16">
        <f t="shared" si="5"/>
        <v>7.6712328767123283</v>
      </c>
      <c r="U10" s="16">
        <f t="shared" si="5"/>
        <v>7.6712328767123283</v>
      </c>
      <c r="V10" s="16">
        <f t="shared" si="5"/>
        <v>7.6712328767123283</v>
      </c>
      <c r="W10" s="16">
        <f t="shared" si="5"/>
        <v>7.6712328767123283</v>
      </c>
      <c r="X10" s="16">
        <f t="shared" si="5"/>
        <v>7.6712328767123283</v>
      </c>
      <c r="Y10" s="16">
        <f t="shared" si="5"/>
        <v>7.6712328767123283</v>
      </c>
      <c r="Z10" s="16">
        <f t="shared" si="5"/>
        <v>7.6712328767123283</v>
      </c>
      <c r="AA10" s="16">
        <f t="shared" si="5"/>
        <v>7.6712328767123283</v>
      </c>
      <c r="AB10" s="16">
        <f t="shared" si="5"/>
        <v>7.6712328767123283</v>
      </c>
    </row>
    <row r="11" spans="1:28" ht="15.75" customHeight="1" x14ac:dyDescent="0.3">
      <c r="A11" s="12">
        <f>RAW!$A$9</f>
        <v>6000</v>
      </c>
      <c r="B11" s="2"/>
      <c r="C11" s="17" t="s">
        <v>22</v>
      </c>
      <c r="D11" s="14">
        <f t="shared" si="2"/>
        <v>16.438356164383563</v>
      </c>
      <c r="E11" s="2"/>
      <c r="F11" s="17" t="s">
        <v>22</v>
      </c>
      <c r="G11" s="14">
        <f t="shared" ref="G11:AB11" si="6">($A11/G$5)/365</f>
        <v>1.6438356164383561</v>
      </c>
      <c r="H11" s="14">
        <f t="shared" si="6"/>
        <v>3.2876712328767121</v>
      </c>
      <c r="I11" s="14">
        <f t="shared" si="6"/>
        <v>2.0547945205479454</v>
      </c>
      <c r="J11" s="14">
        <f t="shared" si="6"/>
        <v>16.438356164383563</v>
      </c>
      <c r="K11" s="14">
        <f t="shared" si="6"/>
        <v>16.438356164383563</v>
      </c>
      <c r="L11" s="14">
        <f t="shared" si="6"/>
        <v>16.438356164383563</v>
      </c>
      <c r="M11" s="14">
        <f t="shared" si="6"/>
        <v>16.438356164383563</v>
      </c>
      <c r="N11" s="14">
        <f t="shared" si="6"/>
        <v>16.438356164383563</v>
      </c>
      <c r="O11" s="15">
        <f t="shared" si="6"/>
        <v>16.438356164383563</v>
      </c>
      <c r="P11" s="16">
        <f t="shared" si="6"/>
        <v>16.438356164383563</v>
      </c>
      <c r="Q11" s="16">
        <f t="shared" si="6"/>
        <v>16.438356164383563</v>
      </c>
      <c r="R11" s="16">
        <f t="shared" si="6"/>
        <v>16.438356164383563</v>
      </c>
      <c r="S11" s="16">
        <f t="shared" si="6"/>
        <v>16.438356164383563</v>
      </c>
      <c r="T11" s="16">
        <f t="shared" si="6"/>
        <v>16.438356164383563</v>
      </c>
      <c r="U11" s="16">
        <f t="shared" si="6"/>
        <v>16.438356164383563</v>
      </c>
      <c r="V11" s="16">
        <f t="shared" si="6"/>
        <v>16.438356164383563</v>
      </c>
      <c r="W11" s="16">
        <f t="shared" si="6"/>
        <v>16.438356164383563</v>
      </c>
      <c r="X11" s="16">
        <f t="shared" si="6"/>
        <v>16.438356164383563</v>
      </c>
      <c r="Y11" s="16">
        <f t="shared" si="6"/>
        <v>16.438356164383563</v>
      </c>
      <c r="Z11" s="16">
        <f t="shared" si="6"/>
        <v>16.438356164383563</v>
      </c>
      <c r="AA11" s="16">
        <f t="shared" si="6"/>
        <v>16.438356164383563</v>
      </c>
      <c r="AB11" s="16">
        <f t="shared" si="6"/>
        <v>16.438356164383563</v>
      </c>
    </row>
    <row r="12" spans="1:28" ht="15.75" customHeight="1" x14ac:dyDescent="0.3">
      <c r="A12" s="12">
        <f>RAW!$A$10</f>
        <v>12400</v>
      </c>
      <c r="B12" s="2"/>
      <c r="C12" s="17" t="s">
        <v>23</v>
      </c>
      <c r="D12" s="14">
        <f t="shared" si="2"/>
        <v>33.972602739726028</v>
      </c>
      <c r="E12" s="2"/>
      <c r="F12" s="17" t="s">
        <v>23</v>
      </c>
      <c r="G12" s="14">
        <f t="shared" ref="G12:AB12" si="7">($A12/G$5)/365</f>
        <v>3.3972602739726026</v>
      </c>
      <c r="H12" s="14">
        <f t="shared" si="7"/>
        <v>6.7945205479452051</v>
      </c>
      <c r="I12" s="14">
        <f t="shared" si="7"/>
        <v>4.2465753424657535</v>
      </c>
      <c r="J12" s="14">
        <f t="shared" si="7"/>
        <v>33.972602739726028</v>
      </c>
      <c r="K12" s="14">
        <f t="shared" si="7"/>
        <v>33.972602739726028</v>
      </c>
      <c r="L12" s="14">
        <f t="shared" si="7"/>
        <v>33.972602739726028</v>
      </c>
      <c r="M12" s="14">
        <f t="shared" si="7"/>
        <v>33.972602739726028</v>
      </c>
      <c r="N12" s="14">
        <f t="shared" si="7"/>
        <v>33.972602739726028</v>
      </c>
      <c r="O12" s="15">
        <f t="shared" si="7"/>
        <v>33.972602739726028</v>
      </c>
      <c r="P12" s="16">
        <f t="shared" si="7"/>
        <v>33.972602739726028</v>
      </c>
      <c r="Q12" s="16">
        <f t="shared" si="7"/>
        <v>33.972602739726028</v>
      </c>
      <c r="R12" s="16">
        <f t="shared" si="7"/>
        <v>33.972602739726028</v>
      </c>
      <c r="S12" s="16">
        <f t="shared" si="7"/>
        <v>33.972602739726028</v>
      </c>
      <c r="T12" s="16">
        <f t="shared" si="7"/>
        <v>33.972602739726028</v>
      </c>
      <c r="U12" s="16">
        <f t="shared" si="7"/>
        <v>33.972602739726028</v>
      </c>
      <c r="V12" s="16">
        <f t="shared" si="7"/>
        <v>33.972602739726028</v>
      </c>
      <c r="W12" s="16">
        <f t="shared" si="7"/>
        <v>33.972602739726028</v>
      </c>
      <c r="X12" s="16">
        <f t="shared" si="7"/>
        <v>33.972602739726028</v>
      </c>
      <c r="Y12" s="16">
        <f t="shared" si="7"/>
        <v>33.972602739726028</v>
      </c>
      <c r="Z12" s="16">
        <f t="shared" si="7"/>
        <v>33.972602739726028</v>
      </c>
      <c r="AA12" s="16">
        <f t="shared" si="7"/>
        <v>33.972602739726028</v>
      </c>
      <c r="AB12" s="16">
        <f t="shared" si="7"/>
        <v>33.972602739726028</v>
      </c>
    </row>
    <row r="13" spans="1:28" ht="15.75" customHeight="1" x14ac:dyDescent="0.3">
      <c r="A13" s="12">
        <f>RAW!$A$11</f>
        <v>25200</v>
      </c>
      <c r="B13" s="2"/>
      <c r="C13" s="17" t="s">
        <v>24</v>
      </c>
      <c r="D13" s="14">
        <f t="shared" si="2"/>
        <v>69.041095890410958</v>
      </c>
      <c r="E13" s="2"/>
      <c r="F13" s="17" t="s">
        <v>24</v>
      </c>
      <c r="G13" s="14">
        <f t="shared" ref="G13:AB13" si="8">($A13/G$5)/365</f>
        <v>6.904109589041096</v>
      </c>
      <c r="H13" s="14">
        <f t="shared" si="8"/>
        <v>13.808219178082192</v>
      </c>
      <c r="I13" s="14">
        <f t="shared" si="8"/>
        <v>8.6301369863013697</v>
      </c>
      <c r="J13" s="14">
        <f t="shared" si="8"/>
        <v>69.041095890410958</v>
      </c>
      <c r="K13" s="14">
        <f t="shared" si="8"/>
        <v>69.041095890410958</v>
      </c>
      <c r="L13" s="14">
        <f t="shared" si="8"/>
        <v>69.041095890410958</v>
      </c>
      <c r="M13" s="14">
        <f t="shared" si="8"/>
        <v>69.041095890410958</v>
      </c>
      <c r="N13" s="14">
        <f t="shared" si="8"/>
        <v>69.041095890410958</v>
      </c>
      <c r="O13" s="15">
        <f t="shared" si="8"/>
        <v>69.041095890410958</v>
      </c>
      <c r="P13" s="16">
        <f t="shared" si="8"/>
        <v>69.041095890410958</v>
      </c>
      <c r="Q13" s="16">
        <f t="shared" si="8"/>
        <v>69.041095890410958</v>
      </c>
      <c r="R13" s="16">
        <f t="shared" si="8"/>
        <v>69.041095890410958</v>
      </c>
      <c r="S13" s="16">
        <f t="shared" si="8"/>
        <v>69.041095890410958</v>
      </c>
      <c r="T13" s="16">
        <f t="shared" si="8"/>
        <v>69.041095890410958</v>
      </c>
      <c r="U13" s="16">
        <f t="shared" si="8"/>
        <v>69.041095890410958</v>
      </c>
      <c r="V13" s="16">
        <f t="shared" si="8"/>
        <v>69.041095890410958</v>
      </c>
      <c r="W13" s="16">
        <f t="shared" si="8"/>
        <v>69.041095890410958</v>
      </c>
      <c r="X13" s="16">
        <f t="shared" si="8"/>
        <v>69.041095890410958</v>
      </c>
      <c r="Y13" s="16">
        <f t="shared" si="8"/>
        <v>69.041095890410958</v>
      </c>
      <c r="Z13" s="16">
        <f t="shared" si="8"/>
        <v>69.041095890410958</v>
      </c>
      <c r="AA13" s="16">
        <f t="shared" si="8"/>
        <v>69.041095890410958</v>
      </c>
      <c r="AB13" s="16">
        <f t="shared" si="8"/>
        <v>69.041095890410958</v>
      </c>
    </row>
    <row r="14" spans="1:28" ht="15.75" customHeight="1" x14ac:dyDescent="0.3">
      <c r="A14" s="12">
        <f>RAW!$A$12</f>
        <v>50800</v>
      </c>
      <c r="B14" s="2"/>
      <c r="C14" s="17" t="s">
        <v>25</v>
      </c>
      <c r="D14" s="14">
        <f t="shared" si="2"/>
        <v>139.17808219178082</v>
      </c>
      <c r="E14" s="2"/>
      <c r="F14" s="17" t="s">
        <v>25</v>
      </c>
      <c r="G14" s="14">
        <f t="shared" ref="G14:AB14" si="9">($A14/G$5)/365</f>
        <v>13.917808219178083</v>
      </c>
      <c r="H14" s="14">
        <f t="shared" si="9"/>
        <v>27.835616438356166</v>
      </c>
      <c r="I14" s="14">
        <f t="shared" si="9"/>
        <v>17.397260273972602</v>
      </c>
      <c r="J14" s="14">
        <f t="shared" si="9"/>
        <v>139.17808219178082</v>
      </c>
      <c r="K14" s="14">
        <f t="shared" si="9"/>
        <v>139.17808219178082</v>
      </c>
      <c r="L14" s="14">
        <f t="shared" si="9"/>
        <v>139.17808219178082</v>
      </c>
      <c r="M14" s="14">
        <f t="shared" si="9"/>
        <v>139.17808219178082</v>
      </c>
      <c r="N14" s="14">
        <f t="shared" si="9"/>
        <v>139.17808219178082</v>
      </c>
      <c r="O14" s="15">
        <f t="shared" si="9"/>
        <v>139.17808219178082</v>
      </c>
      <c r="P14" s="16">
        <f t="shared" si="9"/>
        <v>139.17808219178082</v>
      </c>
      <c r="Q14" s="16">
        <f t="shared" si="9"/>
        <v>139.17808219178082</v>
      </c>
      <c r="R14" s="16">
        <f t="shared" si="9"/>
        <v>139.17808219178082</v>
      </c>
      <c r="S14" s="16">
        <f t="shared" si="9"/>
        <v>139.17808219178082</v>
      </c>
      <c r="T14" s="16">
        <f t="shared" si="9"/>
        <v>139.17808219178082</v>
      </c>
      <c r="U14" s="16">
        <f t="shared" si="9"/>
        <v>139.17808219178082</v>
      </c>
      <c r="V14" s="16">
        <f t="shared" si="9"/>
        <v>139.17808219178082</v>
      </c>
      <c r="W14" s="16">
        <f t="shared" si="9"/>
        <v>139.17808219178082</v>
      </c>
      <c r="X14" s="16">
        <f t="shared" si="9"/>
        <v>139.17808219178082</v>
      </c>
      <c r="Y14" s="16">
        <f t="shared" si="9"/>
        <v>139.17808219178082</v>
      </c>
      <c r="Z14" s="16">
        <f t="shared" si="9"/>
        <v>139.17808219178082</v>
      </c>
      <c r="AA14" s="16">
        <f t="shared" si="9"/>
        <v>139.17808219178082</v>
      </c>
      <c r="AB14" s="16">
        <f t="shared" si="9"/>
        <v>139.17808219178082</v>
      </c>
    </row>
    <row r="15" spans="1:28" ht="15.75" customHeight="1" x14ac:dyDescent="0.3">
      <c r="A15" s="12">
        <f>RAW!$A$13</f>
        <v>102000</v>
      </c>
      <c r="B15" s="2"/>
      <c r="C15" s="17" t="s">
        <v>26</v>
      </c>
      <c r="D15" s="14">
        <f t="shared" si="2"/>
        <v>279.45205479452056</v>
      </c>
      <c r="E15" s="2"/>
      <c r="F15" s="17" t="s">
        <v>26</v>
      </c>
      <c r="G15" s="14">
        <f t="shared" ref="G15:AB15" si="10">($A15/G$5)/365</f>
        <v>27.945205479452056</v>
      </c>
      <c r="H15" s="14">
        <f t="shared" si="10"/>
        <v>55.890410958904113</v>
      </c>
      <c r="I15" s="14">
        <f t="shared" si="10"/>
        <v>34.93150684931507</v>
      </c>
      <c r="J15" s="14">
        <f t="shared" si="10"/>
        <v>279.45205479452056</v>
      </c>
      <c r="K15" s="14">
        <f t="shared" si="10"/>
        <v>279.45205479452056</v>
      </c>
      <c r="L15" s="14">
        <f t="shared" si="10"/>
        <v>279.45205479452056</v>
      </c>
      <c r="M15" s="14">
        <f t="shared" si="10"/>
        <v>279.45205479452056</v>
      </c>
      <c r="N15" s="14">
        <f t="shared" si="10"/>
        <v>279.45205479452056</v>
      </c>
      <c r="O15" s="15">
        <f t="shared" si="10"/>
        <v>279.45205479452056</v>
      </c>
      <c r="P15" s="16">
        <f t="shared" si="10"/>
        <v>279.45205479452056</v>
      </c>
      <c r="Q15" s="16">
        <f t="shared" si="10"/>
        <v>279.45205479452056</v>
      </c>
      <c r="R15" s="16">
        <f t="shared" si="10"/>
        <v>279.45205479452056</v>
      </c>
      <c r="S15" s="16">
        <f t="shared" si="10"/>
        <v>279.45205479452056</v>
      </c>
      <c r="T15" s="16">
        <f t="shared" si="10"/>
        <v>279.45205479452056</v>
      </c>
      <c r="U15" s="16">
        <f t="shared" si="10"/>
        <v>279.45205479452056</v>
      </c>
      <c r="V15" s="16">
        <f t="shared" si="10"/>
        <v>279.45205479452056</v>
      </c>
      <c r="W15" s="16">
        <f t="shared" si="10"/>
        <v>279.45205479452056</v>
      </c>
      <c r="X15" s="16">
        <f t="shared" si="10"/>
        <v>279.45205479452056</v>
      </c>
      <c r="Y15" s="16">
        <f t="shared" si="10"/>
        <v>279.45205479452056</v>
      </c>
      <c r="Z15" s="16">
        <f t="shared" si="10"/>
        <v>279.45205479452056</v>
      </c>
      <c r="AA15" s="16">
        <f t="shared" si="10"/>
        <v>279.45205479452056</v>
      </c>
      <c r="AB15" s="16">
        <f t="shared" si="10"/>
        <v>279.45205479452056</v>
      </c>
    </row>
    <row r="16" spans="1:28" ht="15.75" customHeight="1" x14ac:dyDescent="0.3">
      <c r="A16" s="12">
        <f>RAW!$A$14</f>
        <v>204400</v>
      </c>
      <c r="B16" s="2"/>
      <c r="C16" s="17" t="s">
        <v>27</v>
      </c>
      <c r="D16" s="14">
        <f t="shared" si="2"/>
        <v>560</v>
      </c>
      <c r="E16" s="2"/>
      <c r="F16" s="17" t="s">
        <v>27</v>
      </c>
      <c r="G16" s="14">
        <f t="shared" ref="G16:AB16" si="11">($A16/G$5)/365</f>
        <v>56</v>
      </c>
      <c r="H16" s="14">
        <f t="shared" si="11"/>
        <v>112</v>
      </c>
      <c r="I16" s="14">
        <f t="shared" si="11"/>
        <v>70</v>
      </c>
      <c r="J16" s="14">
        <f t="shared" si="11"/>
        <v>560</v>
      </c>
      <c r="K16" s="14">
        <f t="shared" si="11"/>
        <v>560</v>
      </c>
      <c r="L16" s="14">
        <f t="shared" si="11"/>
        <v>560</v>
      </c>
      <c r="M16" s="14">
        <f t="shared" si="11"/>
        <v>560</v>
      </c>
      <c r="N16" s="14">
        <f t="shared" si="11"/>
        <v>560</v>
      </c>
      <c r="O16" s="15">
        <f t="shared" si="11"/>
        <v>560</v>
      </c>
      <c r="P16" s="16">
        <f t="shared" si="11"/>
        <v>560</v>
      </c>
      <c r="Q16" s="16">
        <f t="shared" si="11"/>
        <v>560</v>
      </c>
      <c r="R16" s="16">
        <f t="shared" si="11"/>
        <v>560</v>
      </c>
      <c r="S16" s="16">
        <f t="shared" si="11"/>
        <v>560</v>
      </c>
      <c r="T16" s="16">
        <f t="shared" si="11"/>
        <v>560</v>
      </c>
      <c r="U16" s="16">
        <f t="shared" si="11"/>
        <v>560</v>
      </c>
      <c r="V16" s="16">
        <f t="shared" si="11"/>
        <v>560</v>
      </c>
      <c r="W16" s="16">
        <f t="shared" si="11"/>
        <v>560</v>
      </c>
      <c r="X16" s="16">
        <f t="shared" si="11"/>
        <v>560</v>
      </c>
      <c r="Y16" s="16">
        <f t="shared" si="11"/>
        <v>560</v>
      </c>
      <c r="Z16" s="16">
        <f t="shared" si="11"/>
        <v>560</v>
      </c>
      <c r="AA16" s="16">
        <f t="shared" si="11"/>
        <v>560</v>
      </c>
      <c r="AB16" s="16">
        <f t="shared" si="11"/>
        <v>560</v>
      </c>
    </row>
    <row r="17" spans="1:28" ht="15.75" customHeight="1" x14ac:dyDescent="0.3">
      <c r="A17" s="12">
        <f>RAW!$A$15</f>
        <v>409200</v>
      </c>
      <c r="B17" s="2"/>
      <c r="C17" s="17" t="s">
        <v>28</v>
      </c>
      <c r="D17" s="14">
        <f t="shared" si="2"/>
        <v>1121.0958904109589</v>
      </c>
      <c r="E17" s="2"/>
      <c r="F17" s="17" t="s">
        <v>28</v>
      </c>
      <c r="G17" s="14">
        <f t="shared" ref="G17:AB17" si="12">($A17/G$5)/365</f>
        <v>112.10958904109589</v>
      </c>
      <c r="H17" s="14">
        <f t="shared" si="12"/>
        <v>224.21917808219177</v>
      </c>
      <c r="I17" s="14">
        <f t="shared" si="12"/>
        <v>140.13698630136986</v>
      </c>
      <c r="J17" s="14">
        <f t="shared" si="12"/>
        <v>1121.0958904109589</v>
      </c>
      <c r="K17" s="14">
        <f t="shared" si="12"/>
        <v>1121.0958904109589</v>
      </c>
      <c r="L17" s="14">
        <f t="shared" si="12"/>
        <v>1121.0958904109589</v>
      </c>
      <c r="M17" s="14">
        <f t="shared" si="12"/>
        <v>1121.0958904109589</v>
      </c>
      <c r="N17" s="14">
        <f t="shared" si="12"/>
        <v>1121.0958904109589</v>
      </c>
      <c r="O17" s="15">
        <f t="shared" si="12"/>
        <v>1121.0958904109589</v>
      </c>
      <c r="P17" s="16">
        <f t="shared" si="12"/>
        <v>1121.0958904109589</v>
      </c>
      <c r="Q17" s="16">
        <f t="shared" si="12"/>
        <v>1121.0958904109589</v>
      </c>
      <c r="R17" s="16">
        <f t="shared" si="12"/>
        <v>1121.0958904109589</v>
      </c>
      <c r="S17" s="16">
        <f t="shared" si="12"/>
        <v>1121.0958904109589</v>
      </c>
      <c r="T17" s="16">
        <f t="shared" si="12"/>
        <v>1121.0958904109589</v>
      </c>
      <c r="U17" s="16">
        <f t="shared" si="12"/>
        <v>1121.0958904109589</v>
      </c>
      <c r="V17" s="16">
        <f t="shared" si="12"/>
        <v>1121.0958904109589</v>
      </c>
      <c r="W17" s="16">
        <f t="shared" si="12"/>
        <v>1121.0958904109589</v>
      </c>
      <c r="X17" s="16">
        <f t="shared" si="12"/>
        <v>1121.0958904109589</v>
      </c>
      <c r="Y17" s="16">
        <f t="shared" si="12"/>
        <v>1121.0958904109589</v>
      </c>
      <c r="Z17" s="16">
        <f t="shared" si="12"/>
        <v>1121.0958904109589</v>
      </c>
      <c r="AA17" s="16">
        <f t="shared" si="12"/>
        <v>1121.0958904109589</v>
      </c>
      <c r="AB17" s="16">
        <f t="shared" si="12"/>
        <v>1121.0958904109589</v>
      </c>
    </row>
    <row r="18" spans="1:28" ht="15.75" customHeight="1" x14ac:dyDescent="0.3">
      <c r="A18" s="12">
        <f>RAW!$A$16</f>
        <v>818800</v>
      </c>
      <c r="B18" s="2"/>
      <c r="C18" s="17" t="s">
        <v>29</v>
      </c>
      <c r="D18" s="14">
        <f t="shared" si="2"/>
        <v>2243.2876712328766</v>
      </c>
      <c r="E18" s="2"/>
      <c r="F18" s="17" t="s">
        <v>29</v>
      </c>
      <c r="G18" s="14">
        <f t="shared" ref="G18:AB18" si="13">($A18/G$5)/365</f>
        <v>224.32876712328766</v>
      </c>
      <c r="H18" s="14">
        <f t="shared" si="13"/>
        <v>448.65753424657532</v>
      </c>
      <c r="I18" s="14">
        <f t="shared" si="13"/>
        <v>280.41095890410958</v>
      </c>
      <c r="J18" s="14">
        <f t="shared" si="13"/>
        <v>2243.2876712328766</v>
      </c>
      <c r="K18" s="14">
        <f t="shared" si="13"/>
        <v>2243.2876712328766</v>
      </c>
      <c r="L18" s="14">
        <f t="shared" si="13"/>
        <v>2243.2876712328766</v>
      </c>
      <c r="M18" s="14">
        <f t="shared" si="13"/>
        <v>2243.2876712328766</v>
      </c>
      <c r="N18" s="14">
        <f t="shared" si="13"/>
        <v>2243.2876712328766</v>
      </c>
      <c r="O18" s="15">
        <f t="shared" si="13"/>
        <v>2243.2876712328766</v>
      </c>
      <c r="P18" s="16">
        <f t="shared" si="13"/>
        <v>2243.2876712328766</v>
      </c>
      <c r="Q18" s="16">
        <f t="shared" si="13"/>
        <v>2243.2876712328766</v>
      </c>
      <c r="R18" s="16">
        <f t="shared" si="13"/>
        <v>2243.2876712328766</v>
      </c>
      <c r="S18" s="16">
        <f t="shared" si="13"/>
        <v>2243.2876712328766</v>
      </c>
      <c r="T18" s="16">
        <f t="shared" si="13"/>
        <v>2243.2876712328766</v>
      </c>
      <c r="U18" s="16">
        <f t="shared" si="13"/>
        <v>2243.2876712328766</v>
      </c>
      <c r="V18" s="16">
        <f t="shared" si="13"/>
        <v>2243.2876712328766</v>
      </c>
      <c r="W18" s="16">
        <f t="shared" si="13"/>
        <v>2243.2876712328766</v>
      </c>
      <c r="X18" s="16">
        <f t="shared" si="13"/>
        <v>2243.2876712328766</v>
      </c>
      <c r="Y18" s="16">
        <f t="shared" si="13"/>
        <v>2243.2876712328766</v>
      </c>
      <c r="Z18" s="16">
        <f t="shared" si="13"/>
        <v>2243.2876712328766</v>
      </c>
      <c r="AA18" s="16">
        <f t="shared" si="13"/>
        <v>2243.2876712328766</v>
      </c>
      <c r="AB18" s="16">
        <f t="shared" si="13"/>
        <v>2243.2876712328766</v>
      </c>
    </row>
    <row r="19" spans="1:28" ht="15.75" customHeight="1" x14ac:dyDescent="0.3">
      <c r="A19" s="12">
        <f>RAW!$A$17</f>
        <v>1638000</v>
      </c>
      <c r="B19" s="2"/>
      <c r="C19" s="17" t="s">
        <v>30</v>
      </c>
      <c r="D19" s="14">
        <f t="shared" si="2"/>
        <v>4487.6712328767126</v>
      </c>
      <c r="E19" s="2"/>
      <c r="F19" s="17" t="s">
        <v>30</v>
      </c>
      <c r="G19" s="14">
        <f t="shared" ref="G19:AB19" si="14">($A19/G$5)/365</f>
        <v>448.76712328767121</v>
      </c>
      <c r="H19" s="14">
        <f t="shared" si="14"/>
        <v>897.53424657534242</v>
      </c>
      <c r="I19" s="14">
        <f t="shared" si="14"/>
        <v>560.95890410958907</v>
      </c>
      <c r="J19" s="14">
        <f t="shared" si="14"/>
        <v>4487.6712328767126</v>
      </c>
      <c r="K19" s="14">
        <f t="shared" si="14"/>
        <v>4487.6712328767126</v>
      </c>
      <c r="L19" s="14">
        <f t="shared" si="14"/>
        <v>4487.6712328767126</v>
      </c>
      <c r="M19" s="14">
        <f t="shared" si="14"/>
        <v>4487.6712328767126</v>
      </c>
      <c r="N19" s="14">
        <f t="shared" si="14"/>
        <v>4487.6712328767126</v>
      </c>
      <c r="O19" s="15">
        <f t="shared" si="14"/>
        <v>4487.6712328767126</v>
      </c>
      <c r="P19" s="16">
        <f t="shared" si="14"/>
        <v>4487.6712328767126</v>
      </c>
      <c r="Q19" s="16">
        <f t="shared" si="14"/>
        <v>4487.6712328767126</v>
      </c>
      <c r="R19" s="16">
        <f t="shared" si="14"/>
        <v>4487.6712328767126</v>
      </c>
      <c r="S19" s="16">
        <f t="shared" si="14"/>
        <v>4487.6712328767126</v>
      </c>
      <c r="T19" s="16">
        <f t="shared" si="14"/>
        <v>4487.6712328767126</v>
      </c>
      <c r="U19" s="16">
        <f t="shared" si="14"/>
        <v>4487.6712328767126</v>
      </c>
      <c r="V19" s="16">
        <f t="shared" si="14"/>
        <v>4487.6712328767126</v>
      </c>
      <c r="W19" s="16">
        <f t="shared" si="14"/>
        <v>4487.6712328767126</v>
      </c>
      <c r="X19" s="16">
        <f t="shared" si="14"/>
        <v>4487.6712328767126</v>
      </c>
      <c r="Y19" s="16">
        <f t="shared" si="14"/>
        <v>4487.6712328767126</v>
      </c>
      <c r="Z19" s="16">
        <f t="shared" si="14"/>
        <v>4487.6712328767126</v>
      </c>
      <c r="AA19" s="16">
        <f t="shared" si="14"/>
        <v>4487.6712328767126</v>
      </c>
      <c r="AB19" s="16">
        <f t="shared" si="14"/>
        <v>4487.6712328767126</v>
      </c>
    </row>
    <row r="20" spans="1:28" ht="15.75" customHeight="1" x14ac:dyDescent="0.3">
      <c r="A20" s="12">
        <f>RAW!$A$18</f>
        <v>3276400</v>
      </c>
      <c r="B20" s="2"/>
      <c r="C20" s="17" t="s">
        <v>31</v>
      </c>
      <c r="D20" s="14">
        <f t="shared" si="2"/>
        <v>8976.4383561643845</v>
      </c>
      <c r="E20" s="2"/>
      <c r="F20" s="17" t="s">
        <v>31</v>
      </c>
      <c r="G20" s="14">
        <f t="shared" ref="G20:AB20" si="15">($A20/G$5)/365</f>
        <v>897.64383561643831</v>
      </c>
      <c r="H20" s="14">
        <f t="shared" si="15"/>
        <v>1795.2876712328766</v>
      </c>
      <c r="I20" s="14">
        <f t="shared" si="15"/>
        <v>1122.0547945205481</v>
      </c>
      <c r="J20" s="14">
        <f t="shared" si="15"/>
        <v>8976.4383561643845</v>
      </c>
      <c r="K20" s="14">
        <f t="shared" si="15"/>
        <v>8976.4383561643845</v>
      </c>
      <c r="L20" s="14">
        <f t="shared" si="15"/>
        <v>8976.4383561643845</v>
      </c>
      <c r="M20" s="14">
        <f t="shared" si="15"/>
        <v>8976.4383561643845</v>
      </c>
      <c r="N20" s="14">
        <f t="shared" si="15"/>
        <v>8976.4383561643845</v>
      </c>
      <c r="O20" s="15">
        <f t="shared" si="15"/>
        <v>8976.4383561643845</v>
      </c>
      <c r="P20" s="16">
        <f t="shared" si="15"/>
        <v>8976.4383561643845</v>
      </c>
      <c r="Q20" s="16">
        <f t="shared" si="15"/>
        <v>8976.4383561643845</v>
      </c>
      <c r="R20" s="16">
        <f t="shared" si="15"/>
        <v>8976.4383561643845</v>
      </c>
      <c r="S20" s="16">
        <f t="shared" si="15"/>
        <v>8976.4383561643845</v>
      </c>
      <c r="T20" s="16">
        <f t="shared" si="15"/>
        <v>8976.4383561643845</v>
      </c>
      <c r="U20" s="16">
        <f t="shared" si="15"/>
        <v>8976.4383561643845</v>
      </c>
      <c r="V20" s="16">
        <f t="shared" si="15"/>
        <v>8976.4383561643845</v>
      </c>
      <c r="W20" s="16">
        <f t="shared" si="15"/>
        <v>8976.4383561643845</v>
      </c>
      <c r="X20" s="16">
        <f t="shared" si="15"/>
        <v>8976.4383561643845</v>
      </c>
      <c r="Y20" s="16">
        <f t="shared" si="15"/>
        <v>8976.4383561643845</v>
      </c>
      <c r="Z20" s="16">
        <f t="shared" si="15"/>
        <v>8976.4383561643845</v>
      </c>
      <c r="AA20" s="16">
        <f t="shared" si="15"/>
        <v>8976.4383561643845</v>
      </c>
      <c r="AB20" s="16">
        <f t="shared" si="15"/>
        <v>8976.4383561643845</v>
      </c>
    </row>
    <row r="21" spans="1:28" ht="15.75" customHeight="1" x14ac:dyDescent="0.3">
      <c r="A21" s="12">
        <f>RAW!$A$19</f>
        <v>6553200</v>
      </c>
      <c r="B21" s="2"/>
      <c r="C21" s="17" t="s">
        <v>32</v>
      </c>
      <c r="D21" s="14">
        <f t="shared" si="2"/>
        <v>17953.972602739726</v>
      </c>
      <c r="E21" s="2"/>
      <c r="F21" s="17" t="s">
        <v>32</v>
      </c>
      <c r="G21" s="14">
        <f t="shared" ref="G21:AB21" si="16">($A21/G$5)/365</f>
        <v>1795.3972602739725</v>
      </c>
      <c r="H21" s="14">
        <f t="shared" si="16"/>
        <v>3590.794520547945</v>
      </c>
      <c r="I21" s="14">
        <f t="shared" si="16"/>
        <v>2244.2465753424658</v>
      </c>
      <c r="J21" s="14">
        <f t="shared" si="16"/>
        <v>17953.972602739726</v>
      </c>
      <c r="K21" s="14">
        <f t="shared" si="16"/>
        <v>17953.972602739726</v>
      </c>
      <c r="L21" s="14">
        <f t="shared" si="16"/>
        <v>17953.972602739726</v>
      </c>
      <c r="M21" s="14">
        <f t="shared" si="16"/>
        <v>17953.972602739726</v>
      </c>
      <c r="N21" s="14">
        <f t="shared" si="16"/>
        <v>17953.972602739726</v>
      </c>
      <c r="O21" s="15">
        <f t="shared" si="16"/>
        <v>17953.972602739726</v>
      </c>
      <c r="P21" s="16">
        <f t="shared" si="16"/>
        <v>17953.972602739726</v>
      </c>
      <c r="Q21" s="16">
        <f t="shared" si="16"/>
        <v>17953.972602739726</v>
      </c>
      <c r="R21" s="16">
        <f t="shared" si="16"/>
        <v>17953.972602739726</v>
      </c>
      <c r="S21" s="16">
        <f t="shared" si="16"/>
        <v>17953.972602739726</v>
      </c>
      <c r="T21" s="16">
        <f t="shared" si="16"/>
        <v>17953.972602739726</v>
      </c>
      <c r="U21" s="16">
        <f t="shared" si="16"/>
        <v>17953.972602739726</v>
      </c>
      <c r="V21" s="16">
        <f t="shared" si="16"/>
        <v>17953.972602739726</v>
      </c>
      <c r="W21" s="16">
        <f t="shared" si="16"/>
        <v>17953.972602739726</v>
      </c>
      <c r="X21" s="16">
        <f t="shared" si="16"/>
        <v>17953.972602739726</v>
      </c>
      <c r="Y21" s="16">
        <f t="shared" si="16"/>
        <v>17953.972602739726</v>
      </c>
      <c r="Z21" s="16">
        <f t="shared" si="16"/>
        <v>17953.972602739726</v>
      </c>
      <c r="AA21" s="16">
        <f t="shared" si="16"/>
        <v>17953.972602739726</v>
      </c>
      <c r="AB21" s="16">
        <f t="shared" si="16"/>
        <v>17953.972602739726</v>
      </c>
    </row>
    <row r="22" spans="1:28" ht="15.75" customHeight="1" x14ac:dyDescent="0.3">
      <c r="A22" s="12">
        <f>RAW!$A$20</f>
        <v>13106800</v>
      </c>
      <c r="B22" s="2"/>
      <c r="C22" s="17" t="s">
        <v>33</v>
      </c>
      <c r="D22" s="14">
        <f t="shared" si="2"/>
        <v>35909.04109589041</v>
      </c>
      <c r="E22" s="2"/>
      <c r="F22" s="17" t="s">
        <v>33</v>
      </c>
      <c r="G22" s="14">
        <f t="shared" ref="G22:AB22" si="17">($A22/G$5)/365</f>
        <v>3590.9041095890411</v>
      </c>
      <c r="H22" s="14">
        <f t="shared" si="17"/>
        <v>7181.8082191780823</v>
      </c>
      <c r="I22" s="14">
        <f t="shared" si="17"/>
        <v>4488.6301369863013</v>
      </c>
      <c r="J22" s="14">
        <f t="shared" si="17"/>
        <v>35909.04109589041</v>
      </c>
      <c r="K22" s="14">
        <f t="shared" si="17"/>
        <v>35909.04109589041</v>
      </c>
      <c r="L22" s="14">
        <f t="shared" si="17"/>
        <v>35909.04109589041</v>
      </c>
      <c r="M22" s="14">
        <f t="shared" si="17"/>
        <v>35909.04109589041</v>
      </c>
      <c r="N22" s="14">
        <f t="shared" si="17"/>
        <v>35909.04109589041</v>
      </c>
      <c r="O22" s="15">
        <f t="shared" si="17"/>
        <v>35909.04109589041</v>
      </c>
      <c r="P22" s="16">
        <f t="shared" si="17"/>
        <v>35909.04109589041</v>
      </c>
      <c r="Q22" s="16">
        <f t="shared" si="17"/>
        <v>35909.04109589041</v>
      </c>
      <c r="R22" s="16">
        <f t="shared" si="17"/>
        <v>35909.04109589041</v>
      </c>
      <c r="S22" s="16">
        <f t="shared" si="17"/>
        <v>35909.04109589041</v>
      </c>
      <c r="T22" s="16">
        <f t="shared" si="17"/>
        <v>35909.04109589041</v>
      </c>
      <c r="U22" s="16">
        <f t="shared" si="17"/>
        <v>35909.04109589041</v>
      </c>
      <c r="V22" s="16">
        <f t="shared" si="17"/>
        <v>35909.04109589041</v>
      </c>
      <c r="W22" s="16">
        <f t="shared" si="17"/>
        <v>35909.04109589041</v>
      </c>
      <c r="X22" s="16">
        <f t="shared" si="17"/>
        <v>35909.04109589041</v>
      </c>
      <c r="Y22" s="16">
        <f t="shared" si="17"/>
        <v>35909.04109589041</v>
      </c>
      <c r="Z22" s="16">
        <f t="shared" si="17"/>
        <v>35909.04109589041</v>
      </c>
      <c r="AA22" s="16">
        <f t="shared" si="17"/>
        <v>35909.04109589041</v>
      </c>
      <c r="AB22" s="16">
        <f t="shared" si="17"/>
        <v>35909.04109589041</v>
      </c>
    </row>
    <row r="23" spans="1:28" ht="15.75" customHeight="1" x14ac:dyDescent="0.3">
      <c r="A23" s="12">
        <f>RAW!$A$21</f>
        <v>26214000</v>
      </c>
      <c r="B23" s="2"/>
      <c r="C23" s="17" t="s">
        <v>34</v>
      </c>
      <c r="D23" s="14">
        <f t="shared" si="2"/>
        <v>71819.178082191778</v>
      </c>
      <c r="E23" s="2"/>
      <c r="F23" s="17" t="s">
        <v>34</v>
      </c>
      <c r="G23" s="14">
        <f t="shared" ref="G23:AB23" si="18">($A23/G$5)/365</f>
        <v>7181.9178082191784</v>
      </c>
      <c r="H23" s="14">
        <f t="shared" si="18"/>
        <v>14363.835616438357</v>
      </c>
      <c r="I23" s="14">
        <f t="shared" si="18"/>
        <v>8977.3972602739723</v>
      </c>
      <c r="J23" s="14">
        <f t="shared" si="18"/>
        <v>71819.178082191778</v>
      </c>
      <c r="K23" s="14">
        <f t="shared" si="18"/>
        <v>71819.178082191778</v>
      </c>
      <c r="L23" s="14">
        <f t="shared" si="18"/>
        <v>71819.178082191778</v>
      </c>
      <c r="M23" s="14">
        <f t="shared" si="18"/>
        <v>71819.178082191778</v>
      </c>
      <c r="N23" s="14">
        <f t="shared" si="18"/>
        <v>71819.178082191778</v>
      </c>
      <c r="O23" s="15">
        <f t="shared" si="18"/>
        <v>71819.178082191778</v>
      </c>
      <c r="P23" s="16">
        <f t="shared" si="18"/>
        <v>71819.178082191778</v>
      </c>
      <c r="Q23" s="16">
        <f t="shared" si="18"/>
        <v>71819.178082191778</v>
      </c>
      <c r="R23" s="16">
        <f t="shared" si="18"/>
        <v>71819.178082191778</v>
      </c>
      <c r="S23" s="16">
        <f t="shared" si="18"/>
        <v>71819.178082191778</v>
      </c>
      <c r="T23" s="16">
        <f t="shared" si="18"/>
        <v>71819.178082191778</v>
      </c>
      <c r="U23" s="16">
        <f t="shared" si="18"/>
        <v>71819.178082191778</v>
      </c>
      <c r="V23" s="16">
        <f t="shared" si="18"/>
        <v>71819.178082191778</v>
      </c>
      <c r="W23" s="16">
        <f t="shared" si="18"/>
        <v>71819.178082191778</v>
      </c>
      <c r="X23" s="16">
        <f t="shared" si="18"/>
        <v>71819.178082191778</v>
      </c>
      <c r="Y23" s="16">
        <f t="shared" si="18"/>
        <v>71819.178082191778</v>
      </c>
      <c r="Z23" s="16">
        <f t="shared" si="18"/>
        <v>71819.178082191778</v>
      </c>
      <c r="AA23" s="16">
        <f t="shared" si="18"/>
        <v>71819.178082191778</v>
      </c>
      <c r="AB23" s="16">
        <f t="shared" si="18"/>
        <v>71819.178082191778</v>
      </c>
    </row>
    <row r="24" spans="1:28" ht="15.75" customHeight="1" x14ac:dyDescent="0.3">
      <c r="A24" s="12">
        <f>RAW!$A$22</f>
        <v>52428400</v>
      </c>
      <c r="B24" s="2"/>
      <c r="C24" s="17" t="s">
        <v>35</v>
      </c>
      <c r="D24" s="14">
        <f t="shared" si="2"/>
        <v>143639.45205479453</v>
      </c>
      <c r="E24" s="2"/>
      <c r="F24" s="17" t="s">
        <v>35</v>
      </c>
      <c r="G24" s="14">
        <f t="shared" ref="G24:AB24" si="19">($A24/G$5)/365</f>
        <v>14363.945205479453</v>
      </c>
      <c r="H24" s="14">
        <f t="shared" si="19"/>
        <v>28727.890410958906</v>
      </c>
      <c r="I24" s="14">
        <f t="shared" si="19"/>
        <v>17954.931506849316</v>
      </c>
      <c r="J24" s="14">
        <f t="shared" si="19"/>
        <v>143639.45205479453</v>
      </c>
      <c r="K24" s="14">
        <f t="shared" si="19"/>
        <v>143639.45205479453</v>
      </c>
      <c r="L24" s="14">
        <f t="shared" si="19"/>
        <v>143639.45205479453</v>
      </c>
      <c r="M24" s="14">
        <f t="shared" si="19"/>
        <v>143639.45205479453</v>
      </c>
      <c r="N24" s="14">
        <f t="shared" si="19"/>
        <v>143639.45205479453</v>
      </c>
      <c r="O24" s="15">
        <f t="shared" si="19"/>
        <v>143639.45205479453</v>
      </c>
      <c r="P24" s="16">
        <f t="shared" si="19"/>
        <v>143639.45205479453</v>
      </c>
      <c r="Q24" s="16">
        <f t="shared" si="19"/>
        <v>143639.45205479453</v>
      </c>
      <c r="R24" s="16">
        <f t="shared" si="19"/>
        <v>143639.45205479453</v>
      </c>
      <c r="S24" s="16">
        <f t="shared" si="19"/>
        <v>143639.45205479453</v>
      </c>
      <c r="T24" s="16">
        <f t="shared" si="19"/>
        <v>143639.45205479453</v>
      </c>
      <c r="U24" s="16">
        <f t="shared" si="19"/>
        <v>143639.45205479453</v>
      </c>
      <c r="V24" s="16">
        <f t="shared" si="19"/>
        <v>143639.45205479453</v>
      </c>
      <c r="W24" s="16">
        <f t="shared" si="19"/>
        <v>143639.45205479453</v>
      </c>
      <c r="X24" s="16">
        <f t="shared" si="19"/>
        <v>143639.45205479453</v>
      </c>
      <c r="Y24" s="16">
        <f t="shared" si="19"/>
        <v>143639.45205479453</v>
      </c>
      <c r="Z24" s="16">
        <f t="shared" si="19"/>
        <v>143639.45205479453</v>
      </c>
      <c r="AA24" s="16">
        <f t="shared" si="19"/>
        <v>143639.45205479453</v>
      </c>
      <c r="AB24" s="16">
        <f t="shared" si="19"/>
        <v>143639.45205479453</v>
      </c>
    </row>
    <row r="25" spans="1:28" ht="15.75" customHeight="1" x14ac:dyDescent="0.3">
      <c r="A25" s="3"/>
      <c r="B25" s="2"/>
      <c r="C25" s="29"/>
      <c r="D25" s="30"/>
      <c r="E25" s="2"/>
      <c r="F25" s="3"/>
      <c r="G25" s="31" t="s">
        <v>36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28" ht="15.75" customHeight="1" x14ac:dyDescent="0.3">
      <c r="A26" s="19" t="s">
        <v>37</v>
      </c>
      <c r="B26" s="2"/>
      <c r="C26" s="10" t="s">
        <v>9</v>
      </c>
      <c r="D26" s="10" t="s">
        <v>10</v>
      </c>
      <c r="E26" s="2"/>
      <c r="F26" s="20" t="s">
        <v>9</v>
      </c>
      <c r="G26" s="11" t="str">
        <f t="shared" ref="G26:AB26" si="20">G7</f>
        <v>Nooru</v>
      </c>
      <c r="H26" s="11" t="str">
        <f t="shared" si="20"/>
        <v>Satomi</v>
      </c>
      <c r="I26" s="11" t="str">
        <f t="shared" si="20"/>
        <v>Tarou</v>
      </c>
      <c r="J26" s="11">
        <f t="shared" si="20"/>
        <v>0</v>
      </c>
      <c r="K26" s="11">
        <f t="shared" si="20"/>
        <v>0</v>
      </c>
      <c r="L26" s="11">
        <f t="shared" si="20"/>
        <v>0</v>
      </c>
      <c r="M26" s="11">
        <f t="shared" si="20"/>
        <v>0</v>
      </c>
      <c r="N26" s="11">
        <f t="shared" si="20"/>
        <v>0</v>
      </c>
      <c r="O26" s="11">
        <f t="shared" si="20"/>
        <v>0</v>
      </c>
      <c r="P26" s="11">
        <f t="shared" si="20"/>
        <v>0</v>
      </c>
      <c r="Q26" s="11">
        <f t="shared" si="20"/>
        <v>0</v>
      </c>
      <c r="R26" s="11">
        <f t="shared" si="20"/>
        <v>0</v>
      </c>
      <c r="S26" s="11">
        <f t="shared" si="20"/>
        <v>0</v>
      </c>
      <c r="T26" s="11">
        <f t="shared" si="20"/>
        <v>0</v>
      </c>
      <c r="U26" s="11">
        <f t="shared" si="20"/>
        <v>0</v>
      </c>
      <c r="V26" s="11">
        <f t="shared" si="20"/>
        <v>0</v>
      </c>
      <c r="W26" s="11">
        <f t="shared" si="20"/>
        <v>0</v>
      </c>
      <c r="X26" s="11">
        <f t="shared" si="20"/>
        <v>0</v>
      </c>
      <c r="Y26" s="11">
        <f t="shared" si="20"/>
        <v>0</v>
      </c>
      <c r="Z26" s="11">
        <f t="shared" si="20"/>
        <v>0</v>
      </c>
      <c r="AA26" s="11">
        <f t="shared" si="20"/>
        <v>0</v>
      </c>
      <c r="AB26" s="11">
        <f t="shared" si="20"/>
        <v>0</v>
      </c>
    </row>
    <row r="27" spans="1:28" ht="15.75" customHeight="1" x14ac:dyDescent="0.3">
      <c r="A27" s="12">
        <f>RAW!$A$6</f>
        <v>400</v>
      </c>
      <c r="B27" s="2"/>
      <c r="C27" s="21" t="s">
        <v>19</v>
      </c>
      <c r="D27" s="22">
        <f t="shared" ref="D27:D43" si="21">$A27/D$5</f>
        <v>400</v>
      </c>
      <c r="E27" s="2"/>
      <c r="F27" s="21" t="s">
        <v>19</v>
      </c>
      <c r="G27" s="23">
        <f t="shared" ref="G27:AB27" si="22">$A27/G$5</f>
        <v>40</v>
      </c>
      <c r="H27" s="23">
        <f t="shared" si="22"/>
        <v>80</v>
      </c>
      <c r="I27" s="23">
        <f t="shared" si="22"/>
        <v>50</v>
      </c>
      <c r="J27" s="23">
        <f t="shared" si="22"/>
        <v>400</v>
      </c>
      <c r="K27" s="23">
        <f t="shared" si="22"/>
        <v>400</v>
      </c>
      <c r="L27" s="23">
        <f t="shared" si="22"/>
        <v>400</v>
      </c>
      <c r="M27" s="23">
        <f t="shared" si="22"/>
        <v>400</v>
      </c>
      <c r="N27" s="23">
        <f t="shared" si="22"/>
        <v>400</v>
      </c>
      <c r="O27" s="23">
        <f t="shared" si="22"/>
        <v>400</v>
      </c>
      <c r="P27" s="23">
        <f t="shared" si="22"/>
        <v>400</v>
      </c>
      <c r="Q27" s="23">
        <f t="shared" si="22"/>
        <v>400</v>
      </c>
      <c r="R27" s="23">
        <f t="shared" si="22"/>
        <v>400</v>
      </c>
      <c r="S27" s="23">
        <f t="shared" si="22"/>
        <v>400</v>
      </c>
      <c r="T27" s="23">
        <f t="shared" si="22"/>
        <v>400</v>
      </c>
      <c r="U27" s="23">
        <f t="shared" si="22"/>
        <v>400</v>
      </c>
      <c r="V27" s="23">
        <f t="shared" si="22"/>
        <v>400</v>
      </c>
      <c r="W27" s="23">
        <f t="shared" si="22"/>
        <v>400</v>
      </c>
      <c r="X27" s="23">
        <f t="shared" si="22"/>
        <v>400</v>
      </c>
      <c r="Y27" s="23">
        <f t="shared" si="22"/>
        <v>400</v>
      </c>
      <c r="Z27" s="23">
        <f t="shared" si="22"/>
        <v>400</v>
      </c>
      <c r="AA27" s="23">
        <f t="shared" si="22"/>
        <v>400</v>
      </c>
      <c r="AB27" s="23">
        <f t="shared" si="22"/>
        <v>400</v>
      </c>
    </row>
    <row r="28" spans="1:28" ht="15.75" customHeight="1" x14ac:dyDescent="0.3">
      <c r="A28" s="12">
        <f>RAW!$A$7</f>
        <v>1200</v>
      </c>
      <c r="B28" s="2"/>
      <c r="C28" s="24" t="s">
        <v>20</v>
      </c>
      <c r="D28" s="23">
        <f t="shared" si="21"/>
        <v>1200</v>
      </c>
      <c r="E28" s="2"/>
      <c r="F28" s="24" t="s">
        <v>20</v>
      </c>
      <c r="G28" s="23">
        <f t="shared" ref="G28:AB28" si="23">$A28/G$5</f>
        <v>120</v>
      </c>
      <c r="H28" s="23">
        <f t="shared" si="23"/>
        <v>240</v>
      </c>
      <c r="I28" s="23">
        <f t="shared" si="23"/>
        <v>150</v>
      </c>
      <c r="J28" s="23">
        <f t="shared" si="23"/>
        <v>1200</v>
      </c>
      <c r="K28" s="23">
        <f t="shared" si="23"/>
        <v>1200</v>
      </c>
      <c r="L28" s="23">
        <f t="shared" si="23"/>
        <v>1200</v>
      </c>
      <c r="M28" s="23">
        <f t="shared" si="23"/>
        <v>1200</v>
      </c>
      <c r="N28" s="23">
        <f t="shared" si="23"/>
        <v>1200</v>
      </c>
      <c r="O28" s="23">
        <f t="shared" si="23"/>
        <v>1200</v>
      </c>
      <c r="P28" s="23">
        <f t="shared" si="23"/>
        <v>1200</v>
      </c>
      <c r="Q28" s="23">
        <f t="shared" si="23"/>
        <v>1200</v>
      </c>
      <c r="R28" s="23">
        <f t="shared" si="23"/>
        <v>1200</v>
      </c>
      <c r="S28" s="23">
        <f t="shared" si="23"/>
        <v>1200</v>
      </c>
      <c r="T28" s="23">
        <f t="shared" si="23"/>
        <v>1200</v>
      </c>
      <c r="U28" s="23">
        <f t="shared" si="23"/>
        <v>1200</v>
      </c>
      <c r="V28" s="23">
        <f t="shared" si="23"/>
        <v>1200</v>
      </c>
      <c r="W28" s="23">
        <f t="shared" si="23"/>
        <v>1200</v>
      </c>
      <c r="X28" s="23">
        <f t="shared" si="23"/>
        <v>1200</v>
      </c>
      <c r="Y28" s="23">
        <f t="shared" si="23"/>
        <v>1200</v>
      </c>
      <c r="Z28" s="23">
        <f t="shared" si="23"/>
        <v>1200</v>
      </c>
      <c r="AA28" s="23">
        <f t="shared" si="23"/>
        <v>1200</v>
      </c>
      <c r="AB28" s="23">
        <f t="shared" si="23"/>
        <v>1200</v>
      </c>
    </row>
    <row r="29" spans="1:28" ht="15.75" customHeight="1" x14ac:dyDescent="0.3">
      <c r="A29" s="12">
        <f>RAW!$A$8</f>
        <v>2800</v>
      </c>
      <c r="B29" s="2"/>
      <c r="C29" s="24" t="s">
        <v>21</v>
      </c>
      <c r="D29" s="23">
        <f t="shared" si="21"/>
        <v>2800</v>
      </c>
      <c r="E29" s="2"/>
      <c r="F29" s="24" t="s">
        <v>21</v>
      </c>
      <c r="G29" s="23">
        <f t="shared" ref="G29:AB29" si="24">$A29/G$5</f>
        <v>280</v>
      </c>
      <c r="H29" s="23">
        <f t="shared" si="24"/>
        <v>560</v>
      </c>
      <c r="I29" s="23">
        <f t="shared" si="24"/>
        <v>350</v>
      </c>
      <c r="J29" s="23">
        <f t="shared" si="24"/>
        <v>2800</v>
      </c>
      <c r="K29" s="23">
        <f t="shared" si="24"/>
        <v>2800</v>
      </c>
      <c r="L29" s="23">
        <f t="shared" si="24"/>
        <v>2800</v>
      </c>
      <c r="M29" s="23">
        <f t="shared" si="24"/>
        <v>2800</v>
      </c>
      <c r="N29" s="23">
        <f t="shared" si="24"/>
        <v>2800</v>
      </c>
      <c r="O29" s="23">
        <f t="shared" si="24"/>
        <v>2800</v>
      </c>
      <c r="P29" s="23">
        <f t="shared" si="24"/>
        <v>2800</v>
      </c>
      <c r="Q29" s="23">
        <f t="shared" si="24"/>
        <v>2800</v>
      </c>
      <c r="R29" s="23">
        <f t="shared" si="24"/>
        <v>2800</v>
      </c>
      <c r="S29" s="23">
        <f t="shared" si="24"/>
        <v>2800</v>
      </c>
      <c r="T29" s="23">
        <f t="shared" si="24"/>
        <v>2800</v>
      </c>
      <c r="U29" s="23">
        <f t="shared" si="24"/>
        <v>2800</v>
      </c>
      <c r="V29" s="23">
        <f t="shared" si="24"/>
        <v>2800</v>
      </c>
      <c r="W29" s="23">
        <f t="shared" si="24"/>
        <v>2800</v>
      </c>
      <c r="X29" s="23">
        <f t="shared" si="24"/>
        <v>2800</v>
      </c>
      <c r="Y29" s="23">
        <f t="shared" si="24"/>
        <v>2800</v>
      </c>
      <c r="Z29" s="23">
        <f t="shared" si="24"/>
        <v>2800</v>
      </c>
      <c r="AA29" s="23">
        <f t="shared" si="24"/>
        <v>2800</v>
      </c>
      <c r="AB29" s="23">
        <f t="shared" si="24"/>
        <v>2800</v>
      </c>
    </row>
    <row r="30" spans="1:28" ht="15.75" customHeight="1" x14ac:dyDescent="0.3">
      <c r="A30" s="12">
        <f>RAW!$A$9</f>
        <v>6000</v>
      </c>
      <c r="B30" s="2"/>
      <c r="C30" s="24" t="s">
        <v>22</v>
      </c>
      <c r="D30" s="23">
        <f t="shared" si="21"/>
        <v>6000</v>
      </c>
      <c r="E30" s="2"/>
      <c r="F30" s="24" t="s">
        <v>22</v>
      </c>
      <c r="G30" s="23">
        <f t="shared" ref="G30:AB30" si="25">$A30/G$5</f>
        <v>600</v>
      </c>
      <c r="H30" s="23">
        <f t="shared" si="25"/>
        <v>1200</v>
      </c>
      <c r="I30" s="23">
        <f t="shared" si="25"/>
        <v>750</v>
      </c>
      <c r="J30" s="23">
        <f t="shared" si="25"/>
        <v>6000</v>
      </c>
      <c r="K30" s="23">
        <f t="shared" si="25"/>
        <v>6000</v>
      </c>
      <c r="L30" s="23">
        <f t="shared" si="25"/>
        <v>6000</v>
      </c>
      <c r="M30" s="23">
        <f t="shared" si="25"/>
        <v>6000</v>
      </c>
      <c r="N30" s="23">
        <f t="shared" si="25"/>
        <v>6000</v>
      </c>
      <c r="O30" s="23">
        <f t="shared" si="25"/>
        <v>6000</v>
      </c>
      <c r="P30" s="23">
        <f t="shared" si="25"/>
        <v>6000</v>
      </c>
      <c r="Q30" s="23">
        <f t="shared" si="25"/>
        <v>6000</v>
      </c>
      <c r="R30" s="23">
        <f t="shared" si="25"/>
        <v>6000</v>
      </c>
      <c r="S30" s="23">
        <f t="shared" si="25"/>
        <v>6000</v>
      </c>
      <c r="T30" s="23">
        <f t="shared" si="25"/>
        <v>6000</v>
      </c>
      <c r="U30" s="23">
        <f t="shared" si="25"/>
        <v>6000</v>
      </c>
      <c r="V30" s="23">
        <f t="shared" si="25"/>
        <v>6000</v>
      </c>
      <c r="W30" s="23">
        <f t="shared" si="25"/>
        <v>6000</v>
      </c>
      <c r="X30" s="23">
        <f t="shared" si="25"/>
        <v>6000</v>
      </c>
      <c r="Y30" s="23">
        <f t="shared" si="25"/>
        <v>6000</v>
      </c>
      <c r="Z30" s="23">
        <f t="shared" si="25"/>
        <v>6000</v>
      </c>
      <c r="AA30" s="23">
        <f t="shared" si="25"/>
        <v>6000</v>
      </c>
      <c r="AB30" s="23">
        <f t="shared" si="25"/>
        <v>6000</v>
      </c>
    </row>
    <row r="31" spans="1:28" ht="15.75" customHeight="1" x14ac:dyDescent="0.3">
      <c r="A31" s="12">
        <f>RAW!$A$10</f>
        <v>12400</v>
      </c>
      <c r="B31" s="2"/>
      <c r="C31" s="24" t="s">
        <v>23</v>
      </c>
      <c r="D31" s="23">
        <f t="shared" si="21"/>
        <v>12400</v>
      </c>
      <c r="E31" s="2"/>
      <c r="F31" s="24" t="s">
        <v>23</v>
      </c>
      <c r="G31" s="23">
        <f t="shared" ref="G31:AB31" si="26">$A31/G$5</f>
        <v>1240</v>
      </c>
      <c r="H31" s="23">
        <f t="shared" si="26"/>
        <v>2480</v>
      </c>
      <c r="I31" s="23">
        <f t="shared" si="26"/>
        <v>1550</v>
      </c>
      <c r="J31" s="23">
        <f t="shared" si="26"/>
        <v>12400</v>
      </c>
      <c r="K31" s="23">
        <f t="shared" si="26"/>
        <v>12400</v>
      </c>
      <c r="L31" s="23">
        <f t="shared" si="26"/>
        <v>12400</v>
      </c>
      <c r="M31" s="23">
        <f t="shared" si="26"/>
        <v>12400</v>
      </c>
      <c r="N31" s="23">
        <f t="shared" si="26"/>
        <v>12400</v>
      </c>
      <c r="O31" s="23">
        <f t="shared" si="26"/>
        <v>12400</v>
      </c>
      <c r="P31" s="23">
        <f t="shared" si="26"/>
        <v>12400</v>
      </c>
      <c r="Q31" s="23">
        <f t="shared" si="26"/>
        <v>12400</v>
      </c>
      <c r="R31" s="23">
        <f t="shared" si="26"/>
        <v>12400</v>
      </c>
      <c r="S31" s="23">
        <f t="shared" si="26"/>
        <v>12400</v>
      </c>
      <c r="T31" s="23">
        <f t="shared" si="26"/>
        <v>12400</v>
      </c>
      <c r="U31" s="23">
        <f t="shared" si="26"/>
        <v>12400</v>
      </c>
      <c r="V31" s="23">
        <f t="shared" si="26"/>
        <v>12400</v>
      </c>
      <c r="W31" s="23">
        <f t="shared" si="26"/>
        <v>12400</v>
      </c>
      <c r="X31" s="23">
        <f t="shared" si="26"/>
        <v>12400</v>
      </c>
      <c r="Y31" s="23">
        <f t="shared" si="26"/>
        <v>12400</v>
      </c>
      <c r="Z31" s="23">
        <f t="shared" si="26"/>
        <v>12400</v>
      </c>
      <c r="AA31" s="23">
        <f t="shared" si="26"/>
        <v>12400</v>
      </c>
      <c r="AB31" s="23">
        <f t="shared" si="26"/>
        <v>12400</v>
      </c>
    </row>
    <row r="32" spans="1:28" ht="15.75" customHeight="1" x14ac:dyDescent="0.3">
      <c r="A32" s="12">
        <f>RAW!$A$11</f>
        <v>25200</v>
      </c>
      <c r="B32" s="2"/>
      <c r="C32" s="24" t="s">
        <v>24</v>
      </c>
      <c r="D32" s="23">
        <f t="shared" si="21"/>
        <v>25200</v>
      </c>
      <c r="E32" s="2"/>
      <c r="F32" s="24" t="s">
        <v>24</v>
      </c>
      <c r="G32" s="23">
        <f t="shared" ref="G32:AB32" si="27">$A32/G$5</f>
        <v>2520</v>
      </c>
      <c r="H32" s="23">
        <f t="shared" si="27"/>
        <v>5040</v>
      </c>
      <c r="I32" s="23">
        <f t="shared" si="27"/>
        <v>3150</v>
      </c>
      <c r="J32" s="23">
        <f t="shared" si="27"/>
        <v>25200</v>
      </c>
      <c r="K32" s="23">
        <f t="shared" si="27"/>
        <v>25200</v>
      </c>
      <c r="L32" s="23">
        <f t="shared" si="27"/>
        <v>25200</v>
      </c>
      <c r="M32" s="23">
        <f t="shared" si="27"/>
        <v>25200</v>
      </c>
      <c r="N32" s="23">
        <f t="shared" si="27"/>
        <v>25200</v>
      </c>
      <c r="O32" s="23">
        <f t="shared" si="27"/>
        <v>25200</v>
      </c>
      <c r="P32" s="23">
        <f t="shared" si="27"/>
        <v>25200</v>
      </c>
      <c r="Q32" s="23">
        <f t="shared" si="27"/>
        <v>25200</v>
      </c>
      <c r="R32" s="23">
        <f t="shared" si="27"/>
        <v>25200</v>
      </c>
      <c r="S32" s="23">
        <f t="shared" si="27"/>
        <v>25200</v>
      </c>
      <c r="T32" s="23">
        <f t="shared" si="27"/>
        <v>25200</v>
      </c>
      <c r="U32" s="23">
        <f t="shared" si="27"/>
        <v>25200</v>
      </c>
      <c r="V32" s="23">
        <f t="shared" si="27"/>
        <v>25200</v>
      </c>
      <c r="W32" s="23">
        <f t="shared" si="27"/>
        <v>25200</v>
      </c>
      <c r="X32" s="23">
        <f t="shared" si="27"/>
        <v>25200</v>
      </c>
      <c r="Y32" s="23">
        <f t="shared" si="27"/>
        <v>25200</v>
      </c>
      <c r="Z32" s="23">
        <f t="shared" si="27"/>
        <v>25200</v>
      </c>
      <c r="AA32" s="23">
        <f t="shared" si="27"/>
        <v>25200</v>
      </c>
      <c r="AB32" s="23">
        <f t="shared" si="27"/>
        <v>25200</v>
      </c>
    </row>
    <row r="33" spans="1:28" ht="15.75" customHeight="1" x14ac:dyDescent="0.3">
      <c r="A33" s="12">
        <f>RAW!$A$12</f>
        <v>50800</v>
      </c>
      <c r="B33" s="2"/>
      <c r="C33" s="24" t="s">
        <v>25</v>
      </c>
      <c r="D33" s="23">
        <f t="shared" si="21"/>
        <v>50800</v>
      </c>
      <c r="E33" s="2"/>
      <c r="F33" s="24" t="s">
        <v>25</v>
      </c>
      <c r="G33" s="23">
        <f t="shared" ref="G33:AB33" si="28">$A33/G$5</f>
        <v>5080</v>
      </c>
      <c r="H33" s="23">
        <f t="shared" si="28"/>
        <v>10160</v>
      </c>
      <c r="I33" s="23">
        <f t="shared" si="28"/>
        <v>6350</v>
      </c>
      <c r="J33" s="23">
        <f t="shared" si="28"/>
        <v>50800</v>
      </c>
      <c r="K33" s="23">
        <f t="shared" si="28"/>
        <v>50800</v>
      </c>
      <c r="L33" s="23">
        <f t="shared" si="28"/>
        <v>50800</v>
      </c>
      <c r="M33" s="23">
        <f t="shared" si="28"/>
        <v>50800</v>
      </c>
      <c r="N33" s="23">
        <f t="shared" si="28"/>
        <v>50800</v>
      </c>
      <c r="O33" s="23">
        <f t="shared" si="28"/>
        <v>50800</v>
      </c>
      <c r="P33" s="23">
        <f t="shared" si="28"/>
        <v>50800</v>
      </c>
      <c r="Q33" s="23">
        <f t="shared" si="28"/>
        <v>50800</v>
      </c>
      <c r="R33" s="23">
        <f t="shared" si="28"/>
        <v>50800</v>
      </c>
      <c r="S33" s="23">
        <f t="shared" si="28"/>
        <v>50800</v>
      </c>
      <c r="T33" s="23">
        <f t="shared" si="28"/>
        <v>50800</v>
      </c>
      <c r="U33" s="23">
        <f t="shared" si="28"/>
        <v>50800</v>
      </c>
      <c r="V33" s="23">
        <f t="shared" si="28"/>
        <v>50800</v>
      </c>
      <c r="W33" s="23">
        <f t="shared" si="28"/>
        <v>50800</v>
      </c>
      <c r="X33" s="23">
        <f t="shared" si="28"/>
        <v>50800</v>
      </c>
      <c r="Y33" s="23">
        <f t="shared" si="28"/>
        <v>50800</v>
      </c>
      <c r="Z33" s="23">
        <f t="shared" si="28"/>
        <v>50800</v>
      </c>
      <c r="AA33" s="23">
        <f t="shared" si="28"/>
        <v>50800</v>
      </c>
      <c r="AB33" s="23">
        <f t="shared" si="28"/>
        <v>50800</v>
      </c>
    </row>
    <row r="34" spans="1:28" ht="15.75" customHeight="1" x14ac:dyDescent="0.3">
      <c r="A34" s="12">
        <f>RAW!$A$13</f>
        <v>102000</v>
      </c>
      <c r="B34" s="2"/>
      <c r="C34" s="24" t="s">
        <v>26</v>
      </c>
      <c r="D34" s="23">
        <f t="shared" si="21"/>
        <v>102000</v>
      </c>
      <c r="E34" s="2"/>
      <c r="F34" s="24" t="s">
        <v>26</v>
      </c>
      <c r="G34" s="23">
        <f t="shared" ref="G34:AB34" si="29">$A34/G$5</f>
        <v>10200</v>
      </c>
      <c r="H34" s="23">
        <f t="shared" si="29"/>
        <v>20400</v>
      </c>
      <c r="I34" s="23">
        <f t="shared" si="29"/>
        <v>12750</v>
      </c>
      <c r="J34" s="23">
        <f t="shared" si="29"/>
        <v>102000</v>
      </c>
      <c r="K34" s="23">
        <f t="shared" si="29"/>
        <v>102000</v>
      </c>
      <c r="L34" s="23">
        <f t="shared" si="29"/>
        <v>102000</v>
      </c>
      <c r="M34" s="23">
        <f t="shared" si="29"/>
        <v>102000</v>
      </c>
      <c r="N34" s="23">
        <f t="shared" si="29"/>
        <v>102000</v>
      </c>
      <c r="O34" s="23">
        <f t="shared" si="29"/>
        <v>102000</v>
      </c>
      <c r="P34" s="23">
        <f t="shared" si="29"/>
        <v>102000</v>
      </c>
      <c r="Q34" s="23">
        <f t="shared" si="29"/>
        <v>102000</v>
      </c>
      <c r="R34" s="23">
        <f t="shared" si="29"/>
        <v>102000</v>
      </c>
      <c r="S34" s="23">
        <f t="shared" si="29"/>
        <v>102000</v>
      </c>
      <c r="T34" s="23">
        <f t="shared" si="29"/>
        <v>102000</v>
      </c>
      <c r="U34" s="23">
        <f t="shared" si="29"/>
        <v>102000</v>
      </c>
      <c r="V34" s="23">
        <f t="shared" si="29"/>
        <v>102000</v>
      </c>
      <c r="W34" s="23">
        <f t="shared" si="29"/>
        <v>102000</v>
      </c>
      <c r="X34" s="23">
        <f t="shared" si="29"/>
        <v>102000</v>
      </c>
      <c r="Y34" s="23">
        <f t="shared" si="29"/>
        <v>102000</v>
      </c>
      <c r="Z34" s="23">
        <f t="shared" si="29"/>
        <v>102000</v>
      </c>
      <c r="AA34" s="23">
        <f t="shared" si="29"/>
        <v>102000</v>
      </c>
      <c r="AB34" s="23">
        <f t="shared" si="29"/>
        <v>102000</v>
      </c>
    </row>
    <row r="35" spans="1:28" ht="15.75" customHeight="1" x14ac:dyDescent="0.3">
      <c r="A35" s="12">
        <f>RAW!$A$14</f>
        <v>204400</v>
      </c>
      <c r="B35" s="2"/>
      <c r="C35" s="24" t="s">
        <v>27</v>
      </c>
      <c r="D35" s="23">
        <f t="shared" si="21"/>
        <v>204400</v>
      </c>
      <c r="E35" s="2"/>
      <c r="F35" s="24" t="s">
        <v>27</v>
      </c>
      <c r="G35" s="23">
        <f t="shared" ref="G35:AB35" si="30">$A35/G$5</f>
        <v>20440</v>
      </c>
      <c r="H35" s="23">
        <f t="shared" si="30"/>
        <v>40880</v>
      </c>
      <c r="I35" s="23">
        <f t="shared" si="30"/>
        <v>25550</v>
      </c>
      <c r="J35" s="23">
        <f t="shared" si="30"/>
        <v>204400</v>
      </c>
      <c r="K35" s="23">
        <f t="shared" si="30"/>
        <v>204400</v>
      </c>
      <c r="L35" s="23">
        <f t="shared" si="30"/>
        <v>204400</v>
      </c>
      <c r="M35" s="23">
        <f t="shared" si="30"/>
        <v>204400</v>
      </c>
      <c r="N35" s="23">
        <f t="shared" si="30"/>
        <v>204400</v>
      </c>
      <c r="O35" s="23">
        <f t="shared" si="30"/>
        <v>204400</v>
      </c>
      <c r="P35" s="23">
        <f t="shared" si="30"/>
        <v>204400</v>
      </c>
      <c r="Q35" s="23">
        <f t="shared" si="30"/>
        <v>204400</v>
      </c>
      <c r="R35" s="23">
        <f t="shared" si="30"/>
        <v>204400</v>
      </c>
      <c r="S35" s="23">
        <f t="shared" si="30"/>
        <v>204400</v>
      </c>
      <c r="T35" s="23">
        <f t="shared" si="30"/>
        <v>204400</v>
      </c>
      <c r="U35" s="23">
        <f t="shared" si="30"/>
        <v>204400</v>
      </c>
      <c r="V35" s="23">
        <f t="shared" si="30"/>
        <v>204400</v>
      </c>
      <c r="W35" s="23">
        <f t="shared" si="30"/>
        <v>204400</v>
      </c>
      <c r="X35" s="23">
        <f t="shared" si="30"/>
        <v>204400</v>
      </c>
      <c r="Y35" s="23">
        <f t="shared" si="30"/>
        <v>204400</v>
      </c>
      <c r="Z35" s="23">
        <f t="shared" si="30"/>
        <v>204400</v>
      </c>
      <c r="AA35" s="23">
        <f t="shared" si="30"/>
        <v>204400</v>
      </c>
      <c r="AB35" s="23">
        <f t="shared" si="30"/>
        <v>204400</v>
      </c>
    </row>
    <row r="36" spans="1:28" ht="15.75" customHeight="1" x14ac:dyDescent="0.3">
      <c r="A36" s="12">
        <f>RAW!$A$15</f>
        <v>409200</v>
      </c>
      <c r="B36" s="2"/>
      <c r="C36" s="24" t="s">
        <v>28</v>
      </c>
      <c r="D36" s="23">
        <f t="shared" si="21"/>
        <v>409200</v>
      </c>
      <c r="E36" s="2"/>
      <c r="F36" s="24" t="s">
        <v>28</v>
      </c>
      <c r="G36" s="23">
        <f t="shared" ref="G36:AB36" si="31">$A36/G$5</f>
        <v>40920</v>
      </c>
      <c r="H36" s="23">
        <f t="shared" si="31"/>
        <v>81840</v>
      </c>
      <c r="I36" s="23">
        <f t="shared" si="31"/>
        <v>51150</v>
      </c>
      <c r="J36" s="23">
        <f t="shared" si="31"/>
        <v>409200</v>
      </c>
      <c r="K36" s="23">
        <f t="shared" si="31"/>
        <v>409200</v>
      </c>
      <c r="L36" s="23">
        <f t="shared" si="31"/>
        <v>409200</v>
      </c>
      <c r="M36" s="23">
        <f t="shared" si="31"/>
        <v>409200</v>
      </c>
      <c r="N36" s="23">
        <f t="shared" si="31"/>
        <v>409200</v>
      </c>
      <c r="O36" s="23">
        <f t="shared" si="31"/>
        <v>409200</v>
      </c>
      <c r="P36" s="23">
        <f t="shared" si="31"/>
        <v>409200</v>
      </c>
      <c r="Q36" s="23">
        <f t="shared" si="31"/>
        <v>409200</v>
      </c>
      <c r="R36" s="23">
        <f t="shared" si="31"/>
        <v>409200</v>
      </c>
      <c r="S36" s="23">
        <f t="shared" si="31"/>
        <v>409200</v>
      </c>
      <c r="T36" s="23">
        <f t="shared" si="31"/>
        <v>409200</v>
      </c>
      <c r="U36" s="23">
        <f t="shared" si="31"/>
        <v>409200</v>
      </c>
      <c r="V36" s="23">
        <f t="shared" si="31"/>
        <v>409200</v>
      </c>
      <c r="W36" s="23">
        <f t="shared" si="31"/>
        <v>409200</v>
      </c>
      <c r="X36" s="23">
        <f t="shared" si="31"/>
        <v>409200</v>
      </c>
      <c r="Y36" s="23">
        <f t="shared" si="31"/>
        <v>409200</v>
      </c>
      <c r="Z36" s="23">
        <f t="shared" si="31"/>
        <v>409200</v>
      </c>
      <c r="AA36" s="23">
        <f t="shared" si="31"/>
        <v>409200</v>
      </c>
      <c r="AB36" s="23">
        <f t="shared" si="31"/>
        <v>409200</v>
      </c>
    </row>
    <row r="37" spans="1:28" ht="15.75" customHeight="1" x14ac:dyDescent="0.3">
      <c r="A37" s="12">
        <f>RAW!$A$16</f>
        <v>818800</v>
      </c>
      <c r="B37" s="2"/>
      <c r="C37" s="24" t="s">
        <v>29</v>
      </c>
      <c r="D37" s="23">
        <f t="shared" si="21"/>
        <v>818800</v>
      </c>
      <c r="E37" s="2"/>
      <c r="F37" s="24" t="s">
        <v>29</v>
      </c>
      <c r="G37" s="23">
        <f t="shared" ref="G37:AB37" si="32">$A37/G$5</f>
        <v>81880</v>
      </c>
      <c r="H37" s="23">
        <f t="shared" si="32"/>
        <v>163760</v>
      </c>
      <c r="I37" s="23">
        <f t="shared" si="32"/>
        <v>102350</v>
      </c>
      <c r="J37" s="23">
        <f t="shared" si="32"/>
        <v>818800</v>
      </c>
      <c r="K37" s="23">
        <f t="shared" si="32"/>
        <v>818800</v>
      </c>
      <c r="L37" s="23">
        <f t="shared" si="32"/>
        <v>818800</v>
      </c>
      <c r="M37" s="23">
        <f t="shared" si="32"/>
        <v>818800</v>
      </c>
      <c r="N37" s="23">
        <f t="shared" si="32"/>
        <v>818800</v>
      </c>
      <c r="O37" s="23">
        <f t="shared" si="32"/>
        <v>818800</v>
      </c>
      <c r="P37" s="23">
        <f t="shared" si="32"/>
        <v>818800</v>
      </c>
      <c r="Q37" s="23">
        <f t="shared" si="32"/>
        <v>818800</v>
      </c>
      <c r="R37" s="23">
        <f t="shared" si="32"/>
        <v>818800</v>
      </c>
      <c r="S37" s="23">
        <f t="shared" si="32"/>
        <v>818800</v>
      </c>
      <c r="T37" s="23">
        <f t="shared" si="32"/>
        <v>818800</v>
      </c>
      <c r="U37" s="23">
        <f t="shared" si="32"/>
        <v>818800</v>
      </c>
      <c r="V37" s="23">
        <f t="shared" si="32"/>
        <v>818800</v>
      </c>
      <c r="W37" s="23">
        <f t="shared" si="32"/>
        <v>818800</v>
      </c>
      <c r="X37" s="23">
        <f t="shared" si="32"/>
        <v>818800</v>
      </c>
      <c r="Y37" s="23">
        <f t="shared" si="32"/>
        <v>818800</v>
      </c>
      <c r="Z37" s="23">
        <f t="shared" si="32"/>
        <v>818800</v>
      </c>
      <c r="AA37" s="23">
        <f t="shared" si="32"/>
        <v>818800</v>
      </c>
      <c r="AB37" s="23">
        <f t="shared" si="32"/>
        <v>818800</v>
      </c>
    </row>
    <row r="38" spans="1:28" ht="15.75" customHeight="1" x14ac:dyDescent="0.3">
      <c r="A38" s="12">
        <f>RAW!$A$17</f>
        <v>1638000</v>
      </c>
      <c r="B38" s="2"/>
      <c r="C38" s="24" t="s">
        <v>30</v>
      </c>
      <c r="D38" s="23">
        <f t="shared" si="21"/>
        <v>1638000</v>
      </c>
      <c r="E38" s="2"/>
      <c r="F38" s="24" t="s">
        <v>30</v>
      </c>
      <c r="G38" s="23">
        <f t="shared" ref="G38:AB38" si="33">$A38/G$5</f>
        <v>163800</v>
      </c>
      <c r="H38" s="23">
        <f t="shared" si="33"/>
        <v>327600</v>
      </c>
      <c r="I38" s="23">
        <f t="shared" si="33"/>
        <v>204750</v>
      </c>
      <c r="J38" s="23">
        <f t="shared" si="33"/>
        <v>1638000</v>
      </c>
      <c r="K38" s="23">
        <f t="shared" si="33"/>
        <v>1638000</v>
      </c>
      <c r="L38" s="23">
        <f t="shared" si="33"/>
        <v>1638000</v>
      </c>
      <c r="M38" s="23">
        <f t="shared" si="33"/>
        <v>1638000</v>
      </c>
      <c r="N38" s="23">
        <f t="shared" si="33"/>
        <v>1638000</v>
      </c>
      <c r="O38" s="23">
        <f t="shared" si="33"/>
        <v>1638000</v>
      </c>
      <c r="P38" s="23">
        <f t="shared" si="33"/>
        <v>1638000</v>
      </c>
      <c r="Q38" s="23">
        <f t="shared" si="33"/>
        <v>1638000</v>
      </c>
      <c r="R38" s="23">
        <f t="shared" si="33"/>
        <v>1638000</v>
      </c>
      <c r="S38" s="23">
        <f t="shared" si="33"/>
        <v>1638000</v>
      </c>
      <c r="T38" s="23">
        <f t="shared" si="33"/>
        <v>1638000</v>
      </c>
      <c r="U38" s="23">
        <f t="shared" si="33"/>
        <v>1638000</v>
      </c>
      <c r="V38" s="23">
        <f t="shared" si="33"/>
        <v>1638000</v>
      </c>
      <c r="W38" s="23">
        <f t="shared" si="33"/>
        <v>1638000</v>
      </c>
      <c r="X38" s="23">
        <f t="shared" si="33"/>
        <v>1638000</v>
      </c>
      <c r="Y38" s="23">
        <f t="shared" si="33"/>
        <v>1638000</v>
      </c>
      <c r="Z38" s="23">
        <f t="shared" si="33"/>
        <v>1638000</v>
      </c>
      <c r="AA38" s="23">
        <f t="shared" si="33"/>
        <v>1638000</v>
      </c>
      <c r="AB38" s="23">
        <f t="shared" si="33"/>
        <v>1638000</v>
      </c>
    </row>
    <row r="39" spans="1:28" ht="15.75" customHeight="1" x14ac:dyDescent="0.3">
      <c r="A39" s="12">
        <f>RAW!$A$18</f>
        <v>3276400</v>
      </c>
      <c r="B39" s="2"/>
      <c r="C39" s="24" t="s">
        <v>31</v>
      </c>
      <c r="D39" s="23">
        <f t="shared" si="21"/>
        <v>3276400</v>
      </c>
      <c r="E39" s="2"/>
      <c r="F39" s="24" t="s">
        <v>31</v>
      </c>
      <c r="G39" s="23">
        <f t="shared" ref="G39:AB39" si="34">$A39/G$5</f>
        <v>327640</v>
      </c>
      <c r="H39" s="23">
        <f t="shared" si="34"/>
        <v>655280</v>
      </c>
      <c r="I39" s="23">
        <f t="shared" si="34"/>
        <v>409550</v>
      </c>
      <c r="J39" s="23">
        <f t="shared" si="34"/>
        <v>3276400</v>
      </c>
      <c r="K39" s="23">
        <f t="shared" si="34"/>
        <v>3276400</v>
      </c>
      <c r="L39" s="23">
        <f t="shared" si="34"/>
        <v>3276400</v>
      </c>
      <c r="M39" s="23">
        <f t="shared" si="34"/>
        <v>3276400</v>
      </c>
      <c r="N39" s="23">
        <f t="shared" si="34"/>
        <v>3276400</v>
      </c>
      <c r="O39" s="23">
        <f t="shared" si="34"/>
        <v>3276400</v>
      </c>
      <c r="P39" s="23">
        <f t="shared" si="34"/>
        <v>3276400</v>
      </c>
      <c r="Q39" s="23">
        <f t="shared" si="34"/>
        <v>3276400</v>
      </c>
      <c r="R39" s="23">
        <f t="shared" si="34"/>
        <v>3276400</v>
      </c>
      <c r="S39" s="23">
        <f t="shared" si="34"/>
        <v>3276400</v>
      </c>
      <c r="T39" s="23">
        <f t="shared" si="34"/>
        <v>3276400</v>
      </c>
      <c r="U39" s="23">
        <f t="shared" si="34"/>
        <v>3276400</v>
      </c>
      <c r="V39" s="23">
        <f t="shared" si="34"/>
        <v>3276400</v>
      </c>
      <c r="W39" s="23">
        <f t="shared" si="34"/>
        <v>3276400</v>
      </c>
      <c r="X39" s="23">
        <f t="shared" si="34"/>
        <v>3276400</v>
      </c>
      <c r="Y39" s="23">
        <f t="shared" si="34"/>
        <v>3276400</v>
      </c>
      <c r="Z39" s="23">
        <f t="shared" si="34"/>
        <v>3276400</v>
      </c>
      <c r="AA39" s="23">
        <f t="shared" si="34"/>
        <v>3276400</v>
      </c>
      <c r="AB39" s="23">
        <f t="shared" si="34"/>
        <v>3276400</v>
      </c>
    </row>
    <row r="40" spans="1:28" ht="15.75" customHeight="1" x14ac:dyDescent="0.3">
      <c r="A40" s="12">
        <f>RAW!$A$19</f>
        <v>6553200</v>
      </c>
      <c r="B40" s="2"/>
      <c r="C40" s="24" t="s">
        <v>32</v>
      </c>
      <c r="D40" s="23">
        <f t="shared" si="21"/>
        <v>6553200</v>
      </c>
      <c r="E40" s="2"/>
      <c r="F40" s="24" t="s">
        <v>32</v>
      </c>
      <c r="G40" s="23">
        <f t="shared" ref="G40:AB40" si="35">$A40/G$5</f>
        <v>655320</v>
      </c>
      <c r="H40" s="23">
        <f t="shared" si="35"/>
        <v>1310640</v>
      </c>
      <c r="I40" s="23">
        <f t="shared" si="35"/>
        <v>819150</v>
      </c>
      <c r="J40" s="23">
        <f t="shared" si="35"/>
        <v>6553200</v>
      </c>
      <c r="K40" s="23">
        <f t="shared" si="35"/>
        <v>6553200</v>
      </c>
      <c r="L40" s="23">
        <f t="shared" si="35"/>
        <v>6553200</v>
      </c>
      <c r="M40" s="23">
        <f t="shared" si="35"/>
        <v>6553200</v>
      </c>
      <c r="N40" s="23">
        <f t="shared" si="35"/>
        <v>6553200</v>
      </c>
      <c r="O40" s="23">
        <f t="shared" si="35"/>
        <v>6553200</v>
      </c>
      <c r="P40" s="23">
        <f t="shared" si="35"/>
        <v>6553200</v>
      </c>
      <c r="Q40" s="23">
        <f t="shared" si="35"/>
        <v>6553200</v>
      </c>
      <c r="R40" s="23">
        <f t="shared" si="35"/>
        <v>6553200</v>
      </c>
      <c r="S40" s="23">
        <f t="shared" si="35"/>
        <v>6553200</v>
      </c>
      <c r="T40" s="23">
        <f t="shared" si="35"/>
        <v>6553200</v>
      </c>
      <c r="U40" s="23">
        <f t="shared" si="35"/>
        <v>6553200</v>
      </c>
      <c r="V40" s="23">
        <f t="shared" si="35"/>
        <v>6553200</v>
      </c>
      <c r="W40" s="23">
        <f t="shared" si="35"/>
        <v>6553200</v>
      </c>
      <c r="X40" s="23">
        <f t="shared" si="35"/>
        <v>6553200</v>
      </c>
      <c r="Y40" s="23">
        <f t="shared" si="35"/>
        <v>6553200</v>
      </c>
      <c r="Z40" s="23">
        <f t="shared" si="35"/>
        <v>6553200</v>
      </c>
      <c r="AA40" s="23">
        <f t="shared" si="35"/>
        <v>6553200</v>
      </c>
      <c r="AB40" s="23">
        <f t="shared" si="35"/>
        <v>6553200</v>
      </c>
    </row>
    <row r="41" spans="1:28" ht="15.75" customHeight="1" x14ac:dyDescent="0.3">
      <c r="A41" s="12">
        <f>RAW!$A$20</f>
        <v>13106800</v>
      </c>
      <c r="B41" s="2"/>
      <c r="C41" s="24" t="s">
        <v>33</v>
      </c>
      <c r="D41" s="23">
        <f t="shared" si="21"/>
        <v>13106800</v>
      </c>
      <c r="E41" s="2"/>
      <c r="F41" s="24" t="s">
        <v>33</v>
      </c>
      <c r="G41" s="23">
        <f t="shared" ref="G41:AB41" si="36">$A41/G$5</f>
        <v>1310680</v>
      </c>
      <c r="H41" s="23">
        <f t="shared" si="36"/>
        <v>2621360</v>
      </c>
      <c r="I41" s="23">
        <f t="shared" si="36"/>
        <v>1638350</v>
      </c>
      <c r="J41" s="23">
        <f t="shared" si="36"/>
        <v>13106800</v>
      </c>
      <c r="K41" s="23">
        <f t="shared" si="36"/>
        <v>13106800</v>
      </c>
      <c r="L41" s="23">
        <f t="shared" si="36"/>
        <v>13106800</v>
      </c>
      <c r="M41" s="23">
        <f t="shared" si="36"/>
        <v>13106800</v>
      </c>
      <c r="N41" s="23">
        <f t="shared" si="36"/>
        <v>13106800</v>
      </c>
      <c r="O41" s="23">
        <f t="shared" si="36"/>
        <v>13106800</v>
      </c>
      <c r="P41" s="23">
        <f t="shared" si="36"/>
        <v>13106800</v>
      </c>
      <c r="Q41" s="23">
        <f t="shared" si="36"/>
        <v>13106800</v>
      </c>
      <c r="R41" s="23">
        <f t="shared" si="36"/>
        <v>13106800</v>
      </c>
      <c r="S41" s="23">
        <f t="shared" si="36"/>
        <v>13106800</v>
      </c>
      <c r="T41" s="23">
        <f t="shared" si="36"/>
        <v>13106800</v>
      </c>
      <c r="U41" s="23">
        <f t="shared" si="36"/>
        <v>13106800</v>
      </c>
      <c r="V41" s="23">
        <f t="shared" si="36"/>
        <v>13106800</v>
      </c>
      <c r="W41" s="23">
        <f t="shared" si="36"/>
        <v>13106800</v>
      </c>
      <c r="X41" s="23">
        <f t="shared" si="36"/>
        <v>13106800</v>
      </c>
      <c r="Y41" s="23">
        <f t="shared" si="36"/>
        <v>13106800</v>
      </c>
      <c r="Z41" s="23">
        <f t="shared" si="36"/>
        <v>13106800</v>
      </c>
      <c r="AA41" s="23">
        <f t="shared" si="36"/>
        <v>13106800</v>
      </c>
      <c r="AB41" s="23">
        <f t="shared" si="36"/>
        <v>13106800</v>
      </c>
    </row>
    <row r="42" spans="1:28" ht="15.75" customHeight="1" x14ac:dyDescent="0.3">
      <c r="A42" s="12">
        <f>RAW!$A$21</f>
        <v>26214000</v>
      </c>
      <c r="B42" s="2"/>
      <c r="C42" s="24" t="s">
        <v>34</v>
      </c>
      <c r="D42" s="23">
        <f t="shared" si="21"/>
        <v>26214000</v>
      </c>
      <c r="E42" s="2"/>
      <c r="F42" s="24" t="s">
        <v>34</v>
      </c>
      <c r="G42" s="23">
        <f t="shared" ref="G42:AB42" si="37">$A42/G$5</f>
        <v>2621400</v>
      </c>
      <c r="H42" s="23">
        <f t="shared" si="37"/>
        <v>5242800</v>
      </c>
      <c r="I42" s="23">
        <f t="shared" si="37"/>
        <v>3276750</v>
      </c>
      <c r="J42" s="23">
        <f t="shared" si="37"/>
        <v>26214000</v>
      </c>
      <c r="K42" s="23">
        <f t="shared" si="37"/>
        <v>26214000</v>
      </c>
      <c r="L42" s="23">
        <f t="shared" si="37"/>
        <v>26214000</v>
      </c>
      <c r="M42" s="23">
        <f t="shared" si="37"/>
        <v>26214000</v>
      </c>
      <c r="N42" s="23">
        <f t="shared" si="37"/>
        <v>26214000</v>
      </c>
      <c r="O42" s="23">
        <f t="shared" si="37"/>
        <v>26214000</v>
      </c>
      <c r="P42" s="23">
        <f t="shared" si="37"/>
        <v>26214000</v>
      </c>
      <c r="Q42" s="23">
        <f t="shared" si="37"/>
        <v>26214000</v>
      </c>
      <c r="R42" s="23">
        <f t="shared" si="37"/>
        <v>26214000</v>
      </c>
      <c r="S42" s="23">
        <f t="shared" si="37"/>
        <v>26214000</v>
      </c>
      <c r="T42" s="23">
        <f t="shared" si="37"/>
        <v>26214000</v>
      </c>
      <c r="U42" s="23">
        <f t="shared" si="37"/>
        <v>26214000</v>
      </c>
      <c r="V42" s="23">
        <f t="shared" si="37"/>
        <v>26214000</v>
      </c>
      <c r="W42" s="23">
        <f t="shared" si="37"/>
        <v>26214000</v>
      </c>
      <c r="X42" s="23">
        <f t="shared" si="37"/>
        <v>26214000</v>
      </c>
      <c r="Y42" s="23">
        <f t="shared" si="37"/>
        <v>26214000</v>
      </c>
      <c r="Z42" s="23">
        <f t="shared" si="37"/>
        <v>26214000</v>
      </c>
      <c r="AA42" s="23">
        <f t="shared" si="37"/>
        <v>26214000</v>
      </c>
      <c r="AB42" s="23">
        <f t="shared" si="37"/>
        <v>26214000</v>
      </c>
    </row>
    <row r="43" spans="1:28" ht="15.75" customHeight="1" x14ac:dyDescent="0.3">
      <c r="A43" s="12">
        <f>RAW!$A$22</f>
        <v>52428400</v>
      </c>
      <c r="B43" s="2"/>
      <c r="C43" s="24" t="s">
        <v>35</v>
      </c>
      <c r="D43" s="23">
        <f t="shared" si="21"/>
        <v>52428400</v>
      </c>
      <c r="E43" s="2"/>
      <c r="F43" s="24" t="s">
        <v>35</v>
      </c>
      <c r="G43" s="23">
        <f t="shared" ref="G43:AB43" si="38">$A43/G$5</f>
        <v>5242840</v>
      </c>
      <c r="H43" s="23">
        <f t="shared" si="38"/>
        <v>10485680</v>
      </c>
      <c r="I43" s="23">
        <f t="shared" si="38"/>
        <v>6553550</v>
      </c>
      <c r="J43" s="23">
        <f t="shared" si="38"/>
        <v>52428400</v>
      </c>
      <c r="K43" s="23">
        <f t="shared" si="38"/>
        <v>52428400</v>
      </c>
      <c r="L43" s="23">
        <f t="shared" si="38"/>
        <v>52428400</v>
      </c>
      <c r="M43" s="23">
        <f t="shared" si="38"/>
        <v>52428400</v>
      </c>
      <c r="N43" s="23">
        <f t="shared" si="38"/>
        <v>52428400</v>
      </c>
      <c r="O43" s="23">
        <f t="shared" si="38"/>
        <v>52428400</v>
      </c>
      <c r="P43" s="23">
        <f t="shared" si="38"/>
        <v>52428400</v>
      </c>
      <c r="Q43" s="23">
        <f t="shared" si="38"/>
        <v>52428400</v>
      </c>
      <c r="R43" s="23">
        <f t="shared" si="38"/>
        <v>52428400</v>
      </c>
      <c r="S43" s="23">
        <f t="shared" si="38"/>
        <v>52428400</v>
      </c>
      <c r="T43" s="23">
        <f t="shared" si="38"/>
        <v>52428400</v>
      </c>
      <c r="U43" s="23">
        <f t="shared" si="38"/>
        <v>52428400</v>
      </c>
      <c r="V43" s="23">
        <f t="shared" si="38"/>
        <v>52428400</v>
      </c>
      <c r="W43" s="23">
        <f t="shared" si="38"/>
        <v>52428400</v>
      </c>
      <c r="X43" s="23">
        <f t="shared" si="38"/>
        <v>52428400</v>
      </c>
      <c r="Y43" s="23">
        <f t="shared" si="38"/>
        <v>52428400</v>
      </c>
      <c r="Z43" s="23">
        <f t="shared" si="38"/>
        <v>52428400</v>
      </c>
      <c r="AA43" s="23">
        <f t="shared" si="38"/>
        <v>52428400</v>
      </c>
      <c r="AB43" s="23">
        <f t="shared" si="38"/>
        <v>52428400</v>
      </c>
    </row>
    <row r="44" spans="1:28" ht="15.75" customHeight="1" x14ac:dyDescent="0.3">
      <c r="A44" s="3"/>
      <c r="B44" s="2"/>
      <c r="C44" s="29"/>
      <c r="D44" s="30"/>
      <c r="E44" s="2"/>
      <c r="F44" s="3"/>
      <c r="G44" s="31" t="s">
        <v>38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15.75" customHeight="1" x14ac:dyDescent="0.3">
      <c r="A45" s="19" t="s">
        <v>37</v>
      </c>
      <c r="B45" s="2"/>
      <c r="C45" s="10" t="s">
        <v>9</v>
      </c>
      <c r="D45" s="10" t="s">
        <v>10</v>
      </c>
      <c r="E45" s="2"/>
      <c r="F45" s="20" t="s">
        <v>9</v>
      </c>
      <c r="G45" s="11" t="str">
        <f t="shared" ref="G45:AB45" si="39">G26</f>
        <v>Nooru</v>
      </c>
      <c r="H45" s="11" t="str">
        <f t="shared" si="39"/>
        <v>Satomi</v>
      </c>
      <c r="I45" s="11" t="str">
        <f t="shared" si="39"/>
        <v>Tarou</v>
      </c>
      <c r="J45" s="11">
        <f t="shared" si="39"/>
        <v>0</v>
      </c>
      <c r="K45" s="11">
        <f t="shared" si="39"/>
        <v>0</v>
      </c>
      <c r="L45" s="11">
        <f t="shared" si="39"/>
        <v>0</v>
      </c>
      <c r="M45" s="11">
        <f t="shared" si="39"/>
        <v>0</v>
      </c>
      <c r="N45" s="11">
        <f t="shared" si="39"/>
        <v>0</v>
      </c>
      <c r="O45" s="11">
        <f t="shared" si="39"/>
        <v>0</v>
      </c>
      <c r="P45" s="11">
        <f t="shared" si="39"/>
        <v>0</v>
      </c>
      <c r="Q45" s="11">
        <f t="shared" si="39"/>
        <v>0</v>
      </c>
      <c r="R45" s="11">
        <f t="shared" si="39"/>
        <v>0</v>
      </c>
      <c r="S45" s="11">
        <f t="shared" si="39"/>
        <v>0</v>
      </c>
      <c r="T45" s="11">
        <f t="shared" si="39"/>
        <v>0</v>
      </c>
      <c r="U45" s="11">
        <f t="shared" si="39"/>
        <v>0</v>
      </c>
      <c r="V45" s="11">
        <f t="shared" si="39"/>
        <v>0</v>
      </c>
      <c r="W45" s="11">
        <f t="shared" si="39"/>
        <v>0</v>
      </c>
      <c r="X45" s="11">
        <f t="shared" si="39"/>
        <v>0</v>
      </c>
      <c r="Y45" s="11">
        <f t="shared" si="39"/>
        <v>0</v>
      </c>
      <c r="Z45" s="11">
        <f t="shared" si="39"/>
        <v>0</v>
      </c>
      <c r="AA45" s="11">
        <f t="shared" si="39"/>
        <v>0</v>
      </c>
      <c r="AB45" s="11">
        <f t="shared" si="39"/>
        <v>0</v>
      </c>
    </row>
    <row r="46" spans="1:28" ht="15.75" customHeight="1" x14ac:dyDescent="0.3">
      <c r="A46" s="12">
        <f>RAW!$A$6</f>
        <v>400</v>
      </c>
      <c r="B46" s="2"/>
      <c r="C46" s="21" t="s">
        <v>19</v>
      </c>
      <c r="D46" s="22">
        <f t="shared" ref="D46:D62" si="40">($A46/D$5)/365</f>
        <v>1.095890410958904</v>
      </c>
      <c r="E46" s="2"/>
      <c r="F46" s="21" t="s">
        <v>19</v>
      </c>
      <c r="G46" s="23">
        <f t="shared" ref="G46:AB46" si="41">($A46/G$5)/365</f>
        <v>0.1095890410958904</v>
      </c>
      <c r="H46" s="23">
        <f t="shared" si="41"/>
        <v>0.21917808219178081</v>
      </c>
      <c r="I46" s="23">
        <f t="shared" si="41"/>
        <v>0.13698630136986301</v>
      </c>
      <c r="J46" s="23">
        <f t="shared" si="41"/>
        <v>1.095890410958904</v>
      </c>
      <c r="K46" s="23">
        <f t="shared" si="41"/>
        <v>1.095890410958904</v>
      </c>
      <c r="L46" s="23">
        <f t="shared" si="41"/>
        <v>1.095890410958904</v>
      </c>
      <c r="M46" s="23">
        <f t="shared" si="41"/>
        <v>1.095890410958904</v>
      </c>
      <c r="N46" s="23">
        <f t="shared" si="41"/>
        <v>1.095890410958904</v>
      </c>
      <c r="O46" s="23">
        <f t="shared" si="41"/>
        <v>1.095890410958904</v>
      </c>
      <c r="P46" s="23">
        <f t="shared" si="41"/>
        <v>1.095890410958904</v>
      </c>
      <c r="Q46" s="23">
        <f t="shared" si="41"/>
        <v>1.095890410958904</v>
      </c>
      <c r="R46" s="23">
        <f t="shared" si="41"/>
        <v>1.095890410958904</v>
      </c>
      <c r="S46" s="23">
        <f t="shared" si="41"/>
        <v>1.095890410958904</v>
      </c>
      <c r="T46" s="23">
        <f t="shared" si="41"/>
        <v>1.095890410958904</v>
      </c>
      <c r="U46" s="23">
        <f t="shared" si="41"/>
        <v>1.095890410958904</v>
      </c>
      <c r="V46" s="23">
        <f t="shared" si="41"/>
        <v>1.095890410958904</v>
      </c>
      <c r="W46" s="23">
        <f t="shared" si="41"/>
        <v>1.095890410958904</v>
      </c>
      <c r="X46" s="23">
        <f t="shared" si="41"/>
        <v>1.095890410958904</v>
      </c>
      <c r="Y46" s="23">
        <f t="shared" si="41"/>
        <v>1.095890410958904</v>
      </c>
      <c r="Z46" s="23">
        <f t="shared" si="41"/>
        <v>1.095890410958904</v>
      </c>
      <c r="AA46" s="23">
        <f t="shared" si="41"/>
        <v>1.095890410958904</v>
      </c>
      <c r="AB46" s="23">
        <f t="shared" si="41"/>
        <v>1.095890410958904</v>
      </c>
    </row>
    <row r="47" spans="1:28" ht="15.75" customHeight="1" x14ac:dyDescent="0.3">
      <c r="A47" s="12">
        <f>RAW!$A$7</f>
        <v>1200</v>
      </c>
      <c r="B47" s="2"/>
      <c r="C47" s="24" t="s">
        <v>20</v>
      </c>
      <c r="D47" s="23">
        <f t="shared" si="40"/>
        <v>3.2876712328767121</v>
      </c>
      <c r="E47" s="2"/>
      <c r="F47" s="24" t="s">
        <v>20</v>
      </c>
      <c r="G47" s="23">
        <f t="shared" ref="G47:AB47" si="42">($A47/G$5)/365</f>
        <v>0.32876712328767121</v>
      </c>
      <c r="H47" s="23">
        <f t="shared" si="42"/>
        <v>0.65753424657534243</v>
      </c>
      <c r="I47" s="23">
        <f t="shared" si="42"/>
        <v>0.41095890410958902</v>
      </c>
      <c r="J47" s="23">
        <f t="shared" si="42"/>
        <v>3.2876712328767121</v>
      </c>
      <c r="K47" s="23">
        <f t="shared" si="42"/>
        <v>3.2876712328767121</v>
      </c>
      <c r="L47" s="23">
        <f t="shared" si="42"/>
        <v>3.2876712328767121</v>
      </c>
      <c r="M47" s="23">
        <f t="shared" si="42"/>
        <v>3.2876712328767121</v>
      </c>
      <c r="N47" s="23">
        <f t="shared" si="42"/>
        <v>3.2876712328767121</v>
      </c>
      <c r="O47" s="23">
        <f t="shared" si="42"/>
        <v>3.2876712328767121</v>
      </c>
      <c r="P47" s="23">
        <f t="shared" si="42"/>
        <v>3.2876712328767121</v>
      </c>
      <c r="Q47" s="23">
        <f t="shared" si="42"/>
        <v>3.2876712328767121</v>
      </c>
      <c r="R47" s="23">
        <f t="shared" si="42"/>
        <v>3.2876712328767121</v>
      </c>
      <c r="S47" s="23">
        <f t="shared" si="42"/>
        <v>3.2876712328767121</v>
      </c>
      <c r="T47" s="23">
        <f t="shared" si="42"/>
        <v>3.2876712328767121</v>
      </c>
      <c r="U47" s="23">
        <f t="shared" si="42"/>
        <v>3.2876712328767121</v>
      </c>
      <c r="V47" s="23">
        <f t="shared" si="42"/>
        <v>3.2876712328767121</v>
      </c>
      <c r="W47" s="23">
        <f t="shared" si="42"/>
        <v>3.2876712328767121</v>
      </c>
      <c r="X47" s="23">
        <f t="shared" si="42"/>
        <v>3.2876712328767121</v>
      </c>
      <c r="Y47" s="23">
        <f t="shared" si="42"/>
        <v>3.2876712328767121</v>
      </c>
      <c r="Z47" s="23">
        <f t="shared" si="42"/>
        <v>3.2876712328767121</v>
      </c>
      <c r="AA47" s="23">
        <f t="shared" si="42"/>
        <v>3.2876712328767121</v>
      </c>
      <c r="AB47" s="23">
        <f t="shared" si="42"/>
        <v>3.2876712328767121</v>
      </c>
    </row>
    <row r="48" spans="1:28" ht="15.75" customHeight="1" x14ac:dyDescent="0.3">
      <c r="A48" s="12">
        <f>RAW!$A$8</f>
        <v>2800</v>
      </c>
      <c r="B48" s="2"/>
      <c r="C48" s="24" t="s">
        <v>21</v>
      </c>
      <c r="D48" s="23">
        <f t="shared" si="40"/>
        <v>7.6712328767123283</v>
      </c>
      <c r="E48" s="2"/>
      <c r="F48" s="24" t="s">
        <v>21</v>
      </c>
      <c r="G48" s="23">
        <f t="shared" ref="G48:AB48" si="43">($A48/G$5)/365</f>
        <v>0.76712328767123283</v>
      </c>
      <c r="H48" s="23">
        <f t="shared" si="43"/>
        <v>1.5342465753424657</v>
      </c>
      <c r="I48" s="23">
        <f t="shared" si="43"/>
        <v>0.95890410958904104</v>
      </c>
      <c r="J48" s="23">
        <f t="shared" si="43"/>
        <v>7.6712328767123283</v>
      </c>
      <c r="K48" s="23">
        <f t="shared" si="43"/>
        <v>7.6712328767123283</v>
      </c>
      <c r="L48" s="23">
        <f t="shared" si="43"/>
        <v>7.6712328767123283</v>
      </c>
      <c r="M48" s="23">
        <f t="shared" si="43"/>
        <v>7.6712328767123283</v>
      </c>
      <c r="N48" s="23">
        <f t="shared" si="43"/>
        <v>7.6712328767123283</v>
      </c>
      <c r="O48" s="23">
        <f t="shared" si="43"/>
        <v>7.6712328767123283</v>
      </c>
      <c r="P48" s="23">
        <f t="shared" si="43"/>
        <v>7.6712328767123283</v>
      </c>
      <c r="Q48" s="23">
        <f t="shared" si="43"/>
        <v>7.6712328767123283</v>
      </c>
      <c r="R48" s="23">
        <f t="shared" si="43"/>
        <v>7.6712328767123283</v>
      </c>
      <c r="S48" s="23">
        <f t="shared" si="43"/>
        <v>7.6712328767123283</v>
      </c>
      <c r="T48" s="23">
        <f t="shared" si="43"/>
        <v>7.6712328767123283</v>
      </c>
      <c r="U48" s="23">
        <f t="shared" si="43"/>
        <v>7.6712328767123283</v>
      </c>
      <c r="V48" s="23">
        <f t="shared" si="43"/>
        <v>7.6712328767123283</v>
      </c>
      <c r="W48" s="23">
        <f t="shared" si="43"/>
        <v>7.6712328767123283</v>
      </c>
      <c r="X48" s="23">
        <f t="shared" si="43"/>
        <v>7.6712328767123283</v>
      </c>
      <c r="Y48" s="23">
        <f t="shared" si="43"/>
        <v>7.6712328767123283</v>
      </c>
      <c r="Z48" s="23">
        <f t="shared" si="43"/>
        <v>7.6712328767123283</v>
      </c>
      <c r="AA48" s="23">
        <f t="shared" si="43"/>
        <v>7.6712328767123283</v>
      </c>
      <c r="AB48" s="23">
        <f t="shared" si="43"/>
        <v>7.6712328767123283</v>
      </c>
    </row>
    <row r="49" spans="1:28" ht="15.75" customHeight="1" x14ac:dyDescent="0.3">
      <c r="A49" s="12">
        <f>RAW!$A$9</f>
        <v>6000</v>
      </c>
      <c r="B49" s="2"/>
      <c r="C49" s="24" t="s">
        <v>22</v>
      </c>
      <c r="D49" s="23">
        <f t="shared" si="40"/>
        <v>16.438356164383563</v>
      </c>
      <c r="E49" s="2"/>
      <c r="F49" s="24" t="s">
        <v>22</v>
      </c>
      <c r="G49" s="23">
        <f t="shared" ref="G49:AB49" si="44">($A49/G$5)/365</f>
        <v>1.6438356164383561</v>
      </c>
      <c r="H49" s="23">
        <f t="shared" si="44"/>
        <v>3.2876712328767121</v>
      </c>
      <c r="I49" s="23">
        <f t="shared" si="44"/>
        <v>2.0547945205479454</v>
      </c>
      <c r="J49" s="23">
        <f t="shared" si="44"/>
        <v>16.438356164383563</v>
      </c>
      <c r="K49" s="23">
        <f t="shared" si="44"/>
        <v>16.438356164383563</v>
      </c>
      <c r="L49" s="23">
        <f t="shared" si="44"/>
        <v>16.438356164383563</v>
      </c>
      <c r="M49" s="23">
        <f t="shared" si="44"/>
        <v>16.438356164383563</v>
      </c>
      <c r="N49" s="23">
        <f t="shared" si="44"/>
        <v>16.438356164383563</v>
      </c>
      <c r="O49" s="23">
        <f t="shared" si="44"/>
        <v>16.438356164383563</v>
      </c>
      <c r="P49" s="23">
        <f t="shared" si="44"/>
        <v>16.438356164383563</v>
      </c>
      <c r="Q49" s="23">
        <f t="shared" si="44"/>
        <v>16.438356164383563</v>
      </c>
      <c r="R49" s="23">
        <f t="shared" si="44"/>
        <v>16.438356164383563</v>
      </c>
      <c r="S49" s="23">
        <f t="shared" si="44"/>
        <v>16.438356164383563</v>
      </c>
      <c r="T49" s="23">
        <f t="shared" si="44"/>
        <v>16.438356164383563</v>
      </c>
      <c r="U49" s="23">
        <f t="shared" si="44"/>
        <v>16.438356164383563</v>
      </c>
      <c r="V49" s="23">
        <f t="shared" si="44"/>
        <v>16.438356164383563</v>
      </c>
      <c r="W49" s="23">
        <f t="shared" si="44"/>
        <v>16.438356164383563</v>
      </c>
      <c r="X49" s="23">
        <f t="shared" si="44"/>
        <v>16.438356164383563</v>
      </c>
      <c r="Y49" s="23">
        <f t="shared" si="44"/>
        <v>16.438356164383563</v>
      </c>
      <c r="Z49" s="23">
        <f t="shared" si="44"/>
        <v>16.438356164383563</v>
      </c>
      <c r="AA49" s="23">
        <f t="shared" si="44"/>
        <v>16.438356164383563</v>
      </c>
      <c r="AB49" s="23">
        <f t="shared" si="44"/>
        <v>16.438356164383563</v>
      </c>
    </row>
    <row r="50" spans="1:28" ht="15.75" customHeight="1" x14ac:dyDescent="0.3">
      <c r="A50" s="12">
        <f>RAW!$A$10</f>
        <v>12400</v>
      </c>
      <c r="B50" s="2"/>
      <c r="C50" s="24" t="s">
        <v>23</v>
      </c>
      <c r="D50" s="23">
        <f t="shared" si="40"/>
        <v>33.972602739726028</v>
      </c>
      <c r="E50" s="2"/>
      <c r="F50" s="24" t="s">
        <v>23</v>
      </c>
      <c r="G50" s="23">
        <f t="shared" ref="G50:AB50" si="45">($A50/G$5)/365</f>
        <v>3.3972602739726026</v>
      </c>
      <c r="H50" s="23">
        <f t="shared" si="45"/>
        <v>6.7945205479452051</v>
      </c>
      <c r="I50" s="23">
        <f t="shared" si="45"/>
        <v>4.2465753424657535</v>
      </c>
      <c r="J50" s="23">
        <f t="shared" si="45"/>
        <v>33.972602739726028</v>
      </c>
      <c r="K50" s="23">
        <f t="shared" si="45"/>
        <v>33.972602739726028</v>
      </c>
      <c r="L50" s="23">
        <f t="shared" si="45"/>
        <v>33.972602739726028</v>
      </c>
      <c r="M50" s="23">
        <f t="shared" si="45"/>
        <v>33.972602739726028</v>
      </c>
      <c r="N50" s="23">
        <f t="shared" si="45"/>
        <v>33.972602739726028</v>
      </c>
      <c r="O50" s="23">
        <f t="shared" si="45"/>
        <v>33.972602739726028</v>
      </c>
      <c r="P50" s="23">
        <f t="shared" si="45"/>
        <v>33.972602739726028</v>
      </c>
      <c r="Q50" s="23">
        <f t="shared" si="45"/>
        <v>33.972602739726028</v>
      </c>
      <c r="R50" s="23">
        <f t="shared" si="45"/>
        <v>33.972602739726028</v>
      </c>
      <c r="S50" s="23">
        <f t="shared" si="45"/>
        <v>33.972602739726028</v>
      </c>
      <c r="T50" s="23">
        <f t="shared" si="45"/>
        <v>33.972602739726028</v>
      </c>
      <c r="U50" s="23">
        <f t="shared" si="45"/>
        <v>33.972602739726028</v>
      </c>
      <c r="V50" s="23">
        <f t="shared" si="45"/>
        <v>33.972602739726028</v>
      </c>
      <c r="W50" s="23">
        <f t="shared" si="45"/>
        <v>33.972602739726028</v>
      </c>
      <c r="X50" s="23">
        <f t="shared" si="45"/>
        <v>33.972602739726028</v>
      </c>
      <c r="Y50" s="23">
        <f t="shared" si="45"/>
        <v>33.972602739726028</v>
      </c>
      <c r="Z50" s="23">
        <f t="shared" si="45"/>
        <v>33.972602739726028</v>
      </c>
      <c r="AA50" s="23">
        <f t="shared" si="45"/>
        <v>33.972602739726028</v>
      </c>
      <c r="AB50" s="23">
        <f t="shared" si="45"/>
        <v>33.972602739726028</v>
      </c>
    </row>
    <row r="51" spans="1:28" ht="15.75" customHeight="1" x14ac:dyDescent="0.3">
      <c r="A51" s="12">
        <f>RAW!$A$11</f>
        <v>25200</v>
      </c>
      <c r="B51" s="2"/>
      <c r="C51" s="24" t="s">
        <v>24</v>
      </c>
      <c r="D51" s="23">
        <f t="shared" si="40"/>
        <v>69.041095890410958</v>
      </c>
      <c r="E51" s="2"/>
      <c r="F51" s="24" t="s">
        <v>24</v>
      </c>
      <c r="G51" s="23">
        <f t="shared" ref="G51:AB51" si="46">($A51/G$5)/365</f>
        <v>6.904109589041096</v>
      </c>
      <c r="H51" s="23">
        <f t="shared" si="46"/>
        <v>13.808219178082192</v>
      </c>
      <c r="I51" s="23">
        <f t="shared" si="46"/>
        <v>8.6301369863013697</v>
      </c>
      <c r="J51" s="23">
        <f t="shared" si="46"/>
        <v>69.041095890410958</v>
      </c>
      <c r="K51" s="23">
        <f t="shared" si="46"/>
        <v>69.041095890410958</v>
      </c>
      <c r="L51" s="23">
        <f t="shared" si="46"/>
        <v>69.041095890410958</v>
      </c>
      <c r="M51" s="23">
        <f t="shared" si="46"/>
        <v>69.041095890410958</v>
      </c>
      <c r="N51" s="23">
        <f t="shared" si="46"/>
        <v>69.041095890410958</v>
      </c>
      <c r="O51" s="23">
        <f t="shared" si="46"/>
        <v>69.041095890410958</v>
      </c>
      <c r="P51" s="23">
        <f t="shared" si="46"/>
        <v>69.041095890410958</v>
      </c>
      <c r="Q51" s="23">
        <f t="shared" si="46"/>
        <v>69.041095890410958</v>
      </c>
      <c r="R51" s="23">
        <f t="shared" si="46"/>
        <v>69.041095890410958</v>
      </c>
      <c r="S51" s="23">
        <f t="shared" si="46"/>
        <v>69.041095890410958</v>
      </c>
      <c r="T51" s="23">
        <f t="shared" si="46"/>
        <v>69.041095890410958</v>
      </c>
      <c r="U51" s="23">
        <f t="shared" si="46"/>
        <v>69.041095890410958</v>
      </c>
      <c r="V51" s="23">
        <f t="shared" si="46"/>
        <v>69.041095890410958</v>
      </c>
      <c r="W51" s="23">
        <f t="shared" si="46"/>
        <v>69.041095890410958</v>
      </c>
      <c r="X51" s="23">
        <f t="shared" si="46"/>
        <v>69.041095890410958</v>
      </c>
      <c r="Y51" s="23">
        <f t="shared" si="46"/>
        <v>69.041095890410958</v>
      </c>
      <c r="Z51" s="23">
        <f t="shared" si="46"/>
        <v>69.041095890410958</v>
      </c>
      <c r="AA51" s="23">
        <f t="shared" si="46"/>
        <v>69.041095890410958</v>
      </c>
      <c r="AB51" s="23">
        <f t="shared" si="46"/>
        <v>69.041095890410958</v>
      </c>
    </row>
    <row r="52" spans="1:28" ht="15.75" customHeight="1" x14ac:dyDescent="0.3">
      <c r="A52" s="12">
        <f>RAW!$A$12</f>
        <v>50800</v>
      </c>
      <c r="B52" s="2"/>
      <c r="C52" s="24" t="s">
        <v>25</v>
      </c>
      <c r="D52" s="23">
        <f t="shared" si="40"/>
        <v>139.17808219178082</v>
      </c>
      <c r="E52" s="2"/>
      <c r="F52" s="24" t="s">
        <v>25</v>
      </c>
      <c r="G52" s="23">
        <f t="shared" ref="G52:AB52" si="47">($A52/G$5)/365</f>
        <v>13.917808219178083</v>
      </c>
      <c r="H52" s="23">
        <f t="shared" si="47"/>
        <v>27.835616438356166</v>
      </c>
      <c r="I52" s="23">
        <f t="shared" si="47"/>
        <v>17.397260273972602</v>
      </c>
      <c r="J52" s="23">
        <f t="shared" si="47"/>
        <v>139.17808219178082</v>
      </c>
      <c r="K52" s="23">
        <f t="shared" si="47"/>
        <v>139.17808219178082</v>
      </c>
      <c r="L52" s="23">
        <f t="shared" si="47"/>
        <v>139.17808219178082</v>
      </c>
      <c r="M52" s="23">
        <f t="shared" si="47"/>
        <v>139.17808219178082</v>
      </c>
      <c r="N52" s="23">
        <f t="shared" si="47"/>
        <v>139.17808219178082</v>
      </c>
      <c r="O52" s="23">
        <f t="shared" si="47"/>
        <v>139.17808219178082</v>
      </c>
      <c r="P52" s="23">
        <f t="shared" si="47"/>
        <v>139.17808219178082</v>
      </c>
      <c r="Q52" s="23">
        <f t="shared" si="47"/>
        <v>139.17808219178082</v>
      </c>
      <c r="R52" s="23">
        <f t="shared" si="47"/>
        <v>139.17808219178082</v>
      </c>
      <c r="S52" s="23">
        <f t="shared" si="47"/>
        <v>139.17808219178082</v>
      </c>
      <c r="T52" s="23">
        <f t="shared" si="47"/>
        <v>139.17808219178082</v>
      </c>
      <c r="U52" s="23">
        <f t="shared" si="47"/>
        <v>139.17808219178082</v>
      </c>
      <c r="V52" s="23">
        <f t="shared" si="47"/>
        <v>139.17808219178082</v>
      </c>
      <c r="W52" s="23">
        <f t="shared" si="47"/>
        <v>139.17808219178082</v>
      </c>
      <c r="X52" s="23">
        <f t="shared" si="47"/>
        <v>139.17808219178082</v>
      </c>
      <c r="Y52" s="23">
        <f t="shared" si="47"/>
        <v>139.17808219178082</v>
      </c>
      <c r="Z52" s="23">
        <f t="shared" si="47"/>
        <v>139.17808219178082</v>
      </c>
      <c r="AA52" s="23">
        <f t="shared" si="47"/>
        <v>139.17808219178082</v>
      </c>
      <c r="AB52" s="23">
        <f t="shared" si="47"/>
        <v>139.17808219178082</v>
      </c>
    </row>
    <row r="53" spans="1:28" ht="15.75" customHeight="1" x14ac:dyDescent="0.3">
      <c r="A53" s="12">
        <f>RAW!$A$13</f>
        <v>102000</v>
      </c>
      <c r="B53" s="2"/>
      <c r="C53" s="24" t="s">
        <v>26</v>
      </c>
      <c r="D53" s="23">
        <f t="shared" si="40"/>
        <v>279.45205479452056</v>
      </c>
      <c r="E53" s="2"/>
      <c r="F53" s="24" t="s">
        <v>26</v>
      </c>
      <c r="G53" s="23">
        <f t="shared" ref="G53:AB53" si="48">($A53/G$5)/365</f>
        <v>27.945205479452056</v>
      </c>
      <c r="H53" s="23">
        <f t="shared" si="48"/>
        <v>55.890410958904113</v>
      </c>
      <c r="I53" s="23">
        <f t="shared" si="48"/>
        <v>34.93150684931507</v>
      </c>
      <c r="J53" s="23">
        <f t="shared" si="48"/>
        <v>279.45205479452056</v>
      </c>
      <c r="K53" s="23">
        <f t="shared" si="48"/>
        <v>279.45205479452056</v>
      </c>
      <c r="L53" s="23">
        <f t="shared" si="48"/>
        <v>279.45205479452056</v>
      </c>
      <c r="M53" s="23">
        <f t="shared" si="48"/>
        <v>279.45205479452056</v>
      </c>
      <c r="N53" s="23">
        <f t="shared" si="48"/>
        <v>279.45205479452056</v>
      </c>
      <c r="O53" s="23">
        <f t="shared" si="48"/>
        <v>279.45205479452056</v>
      </c>
      <c r="P53" s="23">
        <f t="shared" si="48"/>
        <v>279.45205479452056</v>
      </c>
      <c r="Q53" s="23">
        <f t="shared" si="48"/>
        <v>279.45205479452056</v>
      </c>
      <c r="R53" s="23">
        <f t="shared" si="48"/>
        <v>279.45205479452056</v>
      </c>
      <c r="S53" s="23">
        <f t="shared" si="48"/>
        <v>279.45205479452056</v>
      </c>
      <c r="T53" s="23">
        <f t="shared" si="48"/>
        <v>279.45205479452056</v>
      </c>
      <c r="U53" s="23">
        <f t="shared" si="48"/>
        <v>279.45205479452056</v>
      </c>
      <c r="V53" s="23">
        <f t="shared" si="48"/>
        <v>279.45205479452056</v>
      </c>
      <c r="W53" s="23">
        <f t="shared" si="48"/>
        <v>279.45205479452056</v>
      </c>
      <c r="X53" s="23">
        <f t="shared" si="48"/>
        <v>279.45205479452056</v>
      </c>
      <c r="Y53" s="23">
        <f t="shared" si="48"/>
        <v>279.45205479452056</v>
      </c>
      <c r="Z53" s="23">
        <f t="shared" si="48"/>
        <v>279.45205479452056</v>
      </c>
      <c r="AA53" s="23">
        <f t="shared" si="48"/>
        <v>279.45205479452056</v>
      </c>
      <c r="AB53" s="23">
        <f t="shared" si="48"/>
        <v>279.45205479452056</v>
      </c>
    </row>
    <row r="54" spans="1:28" ht="15.75" customHeight="1" x14ac:dyDescent="0.3">
      <c r="A54" s="12">
        <f>RAW!$A$14</f>
        <v>204400</v>
      </c>
      <c r="B54" s="2"/>
      <c r="C54" s="24" t="s">
        <v>27</v>
      </c>
      <c r="D54" s="23">
        <f t="shared" si="40"/>
        <v>560</v>
      </c>
      <c r="E54" s="2"/>
      <c r="F54" s="24" t="s">
        <v>27</v>
      </c>
      <c r="G54" s="23">
        <f t="shared" ref="G54:AB54" si="49">($A54/G$5)/365</f>
        <v>56</v>
      </c>
      <c r="H54" s="23">
        <f t="shared" si="49"/>
        <v>112</v>
      </c>
      <c r="I54" s="23">
        <f t="shared" si="49"/>
        <v>70</v>
      </c>
      <c r="J54" s="23">
        <f t="shared" si="49"/>
        <v>560</v>
      </c>
      <c r="K54" s="23">
        <f t="shared" si="49"/>
        <v>560</v>
      </c>
      <c r="L54" s="23">
        <f t="shared" si="49"/>
        <v>560</v>
      </c>
      <c r="M54" s="23">
        <f t="shared" si="49"/>
        <v>560</v>
      </c>
      <c r="N54" s="23">
        <f t="shared" si="49"/>
        <v>560</v>
      </c>
      <c r="O54" s="23">
        <f t="shared" si="49"/>
        <v>560</v>
      </c>
      <c r="P54" s="23">
        <f t="shared" si="49"/>
        <v>560</v>
      </c>
      <c r="Q54" s="23">
        <f t="shared" si="49"/>
        <v>560</v>
      </c>
      <c r="R54" s="23">
        <f t="shared" si="49"/>
        <v>560</v>
      </c>
      <c r="S54" s="23">
        <f t="shared" si="49"/>
        <v>560</v>
      </c>
      <c r="T54" s="23">
        <f t="shared" si="49"/>
        <v>560</v>
      </c>
      <c r="U54" s="23">
        <f t="shared" si="49"/>
        <v>560</v>
      </c>
      <c r="V54" s="23">
        <f t="shared" si="49"/>
        <v>560</v>
      </c>
      <c r="W54" s="23">
        <f t="shared" si="49"/>
        <v>560</v>
      </c>
      <c r="X54" s="23">
        <f t="shared" si="49"/>
        <v>560</v>
      </c>
      <c r="Y54" s="23">
        <f t="shared" si="49"/>
        <v>560</v>
      </c>
      <c r="Z54" s="23">
        <f t="shared" si="49"/>
        <v>560</v>
      </c>
      <c r="AA54" s="23">
        <f t="shared" si="49"/>
        <v>560</v>
      </c>
      <c r="AB54" s="23">
        <f t="shared" si="49"/>
        <v>560</v>
      </c>
    </row>
    <row r="55" spans="1:28" ht="15.75" customHeight="1" x14ac:dyDescent="0.3">
      <c r="A55" s="12">
        <f>RAW!$A$15</f>
        <v>409200</v>
      </c>
      <c r="B55" s="2"/>
      <c r="C55" s="24" t="s">
        <v>28</v>
      </c>
      <c r="D55" s="23">
        <f t="shared" si="40"/>
        <v>1121.0958904109589</v>
      </c>
      <c r="E55" s="2"/>
      <c r="F55" s="24" t="s">
        <v>28</v>
      </c>
      <c r="G55" s="23">
        <f t="shared" ref="G55:AB55" si="50">($A55/G$5)/365</f>
        <v>112.10958904109589</v>
      </c>
      <c r="H55" s="23">
        <f t="shared" si="50"/>
        <v>224.21917808219177</v>
      </c>
      <c r="I55" s="23">
        <f t="shared" si="50"/>
        <v>140.13698630136986</v>
      </c>
      <c r="J55" s="23">
        <f t="shared" si="50"/>
        <v>1121.0958904109589</v>
      </c>
      <c r="K55" s="23">
        <f t="shared" si="50"/>
        <v>1121.0958904109589</v>
      </c>
      <c r="L55" s="23">
        <f t="shared" si="50"/>
        <v>1121.0958904109589</v>
      </c>
      <c r="M55" s="23">
        <f t="shared" si="50"/>
        <v>1121.0958904109589</v>
      </c>
      <c r="N55" s="23">
        <f t="shared" si="50"/>
        <v>1121.0958904109589</v>
      </c>
      <c r="O55" s="23">
        <f t="shared" si="50"/>
        <v>1121.0958904109589</v>
      </c>
      <c r="P55" s="23">
        <f t="shared" si="50"/>
        <v>1121.0958904109589</v>
      </c>
      <c r="Q55" s="23">
        <f t="shared" si="50"/>
        <v>1121.0958904109589</v>
      </c>
      <c r="R55" s="23">
        <f t="shared" si="50"/>
        <v>1121.0958904109589</v>
      </c>
      <c r="S55" s="23">
        <f t="shared" si="50"/>
        <v>1121.0958904109589</v>
      </c>
      <c r="T55" s="23">
        <f t="shared" si="50"/>
        <v>1121.0958904109589</v>
      </c>
      <c r="U55" s="23">
        <f t="shared" si="50"/>
        <v>1121.0958904109589</v>
      </c>
      <c r="V55" s="23">
        <f t="shared" si="50"/>
        <v>1121.0958904109589</v>
      </c>
      <c r="W55" s="23">
        <f t="shared" si="50"/>
        <v>1121.0958904109589</v>
      </c>
      <c r="X55" s="23">
        <f t="shared" si="50"/>
        <v>1121.0958904109589</v>
      </c>
      <c r="Y55" s="23">
        <f t="shared" si="50"/>
        <v>1121.0958904109589</v>
      </c>
      <c r="Z55" s="23">
        <f t="shared" si="50"/>
        <v>1121.0958904109589</v>
      </c>
      <c r="AA55" s="23">
        <f t="shared" si="50"/>
        <v>1121.0958904109589</v>
      </c>
      <c r="AB55" s="23">
        <f t="shared" si="50"/>
        <v>1121.0958904109589</v>
      </c>
    </row>
    <row r="56" spans="1:28" ht="15.75" customHeight="1" x14ac:dyDescent="0.3">
      <c r="A56" s="12">
        <f>RAW!$A$16</f>
        <v>818800</v>
      </c>
      <c r="B56" s="2"/>
      <c r="C56" s="24" t="s">
        <v>29</v>
      </c>
      <c r="D56" s="23">
        <f t="shared" si="40"/>
        <v>2243.2876712328766</v>
      </c>
      <c r="E56" s="2"/>
      <c r="F56" s="24" t="s">
        <v>29</v>
      </c>
      <c r="G56" s="23">
        <f t="shared" ref="G56:AB56" si="51">($A56/G$5)/365</f>
        <v>224.32876712328766</v>
      </c>
      <c r="H56" s="23">
        <f t="shared" si="51"/>
        <v>448.65753424657532</v>
      </c>
      <c r="I56" s="23">
        <f t="shared" si="51"/>
        <v>280.41095890410958</v>
      </c>
      <c r="J56" s="23">
        <f t="shared" si="51"/>
        <v>2243.2876712328766</v>
      </c>
      <c r="K56" s="23">
        <f t="shared" si="51"/>
        <v>2243.2876712328766</v>
      </c>
      <c r="L56" s="23">
        <f t="shared" si="51"/>
        <v>2243.2876712328766</v>
      </c>
      <c r="M56" s="23">
        <f t="shared" si="51"/>
        <v>2243.2876712328766</v>
      </c>
      <c r="N56" s="23">
        <f t="shared" si="51"/>
        <v>2243.2876712328766</v>
      </c>
      <c r="O56" s="23">
        <f t="shared" si="51"/>
        <v>2243.2876712328766</v>
      </c>
      <c r="P56" s="23">
        <f t="shared" si="51"/>
        <v>2243.2876712328766</v>
      </c>
      <c r="Q56" s="23">
        <f t="shared" si="51"/>
        <v>2243.2876712328766</v>
      </c>
      <c r="R56" s="23">
        <f t="shared" si="51"/>
        <v>2243.2876712328766</v>
      </c>
      <c r="S56" s="23">
        <f t="shared" si="51"/>
        <v>2243.2876712328766</v>
      </c>
      <c r="T56" s="23">
        <f t="shared" si="51"/>
        <v>2243.2876712328766</v>
      </c>
      <c r="U56" s="23">
        <f t="shared" si="51"/>
        <v>2243.2876712328766</v>
      </c>
      <c r="V56" s="23">
        <f t="shared" si="51"/>
        <v>2243.2876712328766</v>
      </c>
      <c r="W56" s="23">
        <f t="shared" si="51"/>
        <v>2243.2876712328766</v>
      </c>
      <c r="X56" s="23">
        <f t="shared" si="51"/>
        <v>2243.2876712328766</v>
      </c>
      <c r="Y56" s="23">
        <f t="shared" si="51"/>
        <v>2243.2876712328766</v>
      </c>
      <c r="Z56" s="23">
        <f t="shared" si="51"/>
        <v>2243.2876712328766</v>
      </c>
      <c r="AA56" s="23">
        <f t="shared" si="51"/>
        <v>2243.2876712328766</v>
      </c>
      <c r="AB56" s="23">
        <f t="shared" si="51"/>
        <v>2243.2876712328766</v>
      </c>
    </row>
    <row r="57" spans="1:28" ht="15.75" customHeight="1" x14ac:dyDescent="0.3">
      <c r="A57" s="12">
        <f>RAW!$A$17</f>
        <v>1638000</v>
      </c>
      <c r="B57" s="2"/>
      <c r="C57" s="24" t="s">
        <v>30</v>
      </c>
      <c r="D57" s="23">
        <f t="shared" si="40"/>
        <v>4487.6712328767126</v>
      </c>
      <c r="E57" s="2"/>
      <c r="F57" s="24" t="s">
        <v>30</v>
      </c>
      <c r="G57" s="23">
        <f t="shared" ref="G57:AB57" si="52">($A57/G$5)/365</f>
        <v>448.76712328767121</v>
      </c>
      <c r="H57" s="23">
        <f t="shared" si="52"/>
        <v>897.53424657534242</v>
      </c>
      <c r="I57" s="23">
        <f t="shared" si="52"/>
        <v>560.95890410958907</v>
      </c>
      <c r="J57" s="23">
        <f t="shared" si="52"/>
        <v>4487.6712328767126</v>
      </c>
      <c r="K57" s="23">
        <f t="shared" si="52"/>
        <v>4487.6712328767126</v>
      </c>
      <c r="L57" s="23">
        <f t="shared" si="52"/>
        <v>4487.6712328767126</v>
      </c>
      <c r="M57" s="23">
        <f t="shared" si="52"/>
        <v>4487.6712328767126</v>
      </c>
      <c r="N57" s="23">
        <f t="shared" si="52"/>
        <v>4487.6712328767126</v>
      </c>
      <c r="O57" s="23">
        <f t="shared" si="52"/>
        <v>4487.6712328767126</v>
      </c>
      <c r="P57" s="23">
        <f t="shared" si="52"/>
        <v>4487.6712328767126</v>
      </c>
      <c r="Q57" s="23">
        <f t="shared" si="52"/>
        <v>4487.6712328767126</v>
      </c>
      <c r="R57" s="23">
        <f t="shared" si="52"/>
        <v>4487.6712328767126</v>
      </c>
      <c r="S57" s="23">
        <f t="shared" si="52"/>
        <v>4487.6712328767126</v>
      </c>
      <c r="T57" s="23">
        <f t="shared" si="52"/>
        <v>4487.6712328767126</v>
      </c>
      <c r="U57" s="23">
        <f t="shared" si="52"/>
        <v>4487.6712328767126</v>
      </c>
      <c r="V57" s="23">
        <f t="shared" si="52"/>
        <v>4487.6712328767126</v>
      </c>
      <c r="W57" s="23">
        <f t="shared" si="52"/>
        <v>4487.6712328767126</v>
      </c>
      <c r="X57" s="23">
        <f t="shared" si="52"/>
        <v>4487.6712328767126</v>
      </c>
      <c r="Y57" s="23">
        <f t="shared" si="52"/>
        <v>4487.6712328767126</v>
      </c>
      <c r="Z57" s="23">
        <f t="shared" si="52"/>
        <v>4487.6712328767126</v>
      </c>
      <c r="AA57" s="23">
        <f t="shared" si="52"/>
        <v>4487.6712328767126</v>
      </c>
      <c r="AB57" s="23">
        <f t="shared" si="52"/>
        <v>4487.6712328767126</v>
      </c>
    </row>
    <row r="58" spans="1:28" ht="15.75" customHeight="1" x14ac:dyDescent="0.3">
      <c r="A58" s="12">
        <f>RAW!$A$18</f>
        <v>3276400</v>
      </c>
      <c r="B58" s="2"/>
      <c r="C58" s="24" t="s">
        <v>31</v>
      </c>
      <c r="D58" s="23">
        <f t="shared" si="40"/>
        <v>8976.4383561643845</v>
      </c>
      <c r="E58" s="2"/>
      <c r="F58" s="24" t="s">
        <v>31</v>
      </c>
      <c r="G58" s="23">
        <f t="shared" ref="G58:AB58" si="53">($A58/G$5)/365</f>
        <v>897.64383561643831</v>
      </c>
      <c r="H58" s="23">
        <f t="shared" si="53"/>
        <v>1795.2876712328766</v>
      </c>
      <c r="I58" s="23">
        <f t="shared" si="53"/>
        <v>1122.0547945205481</v>
      </c>
      <c r="J58" s="23">
        <f t="shared" si="53"/>
        <v>8976.4383561643845</v>
      </c>
      <c r="K58" s="23">
        <f t="shared" si="53"/>
        <v>8976.4383561643845</v>
      </c>
      <c r="L58" s="23">
        <f t="shared" si="53"/>
        <v>8976.4383561643845</v>
      </c>
      <c r="M58" s="23">
        <f t="shared" si="53"/>
        <v>8976.4383561643845</v>
      </c>
      <c r="N58" s="23">
        <f t="shared" si="53"/>
        <v>8976.4383561643845</v>
      </c>
      <c r="O58" s="23">
        <f t="shared" si="53"/>
        <v>8976.4383561643845</v>
      </c>
      <c r="P58" s="23">
        <f t="shared" si="53"/>
        <v>8976.4383561643845</v>
      </c>
      <c r="Q58" s="23">
        <f t="shared" si="53"/>
        <v>8976.4383561643845</v>
      </c>
      <c r="R58" s="23">
        <f t="shared" si="53"/>
        <v>8976.4383561643845</v>
      </c>
      <c r="S58" s="23">
        <f t="shared" si="53"/>
        <v>8976.4383561643845</v>
      </c>
      <c r="T58" s="23">
        <f t="shared" si="53"/>
        <v>8976.4383561643845</v>
      </c>
      <c r="U58" s="23">
        <f t="shared" si="53"/>
        <v>8976.4383561643845</v>
      </c>
      <c r="V58" s="23">
        <f t="shared" si="53"/>
        <v>8976.4383561643845</v>
      </c>
      <c r="W58" s="23">
        <f t="shared" si="53"/>
        <v>8976.4383561643845</v>
      </c>
      <c r="X58" s="23">
        <f t="shared" si="53"/>
        <v>8976.4383561643845</v>
      </c>
      <c r="Y58" s="23">
        <f t="shared" si="53"/>
        <v>8976.4383561643845</v>
      </c>
      <c r="Z58" s="23">
        <f t="shared" si="53"/>
        <v>8976.4383561643845</v>
      </c>
      <c r="AA58" s="23">
        <f t="shared" si="53"/>
        <v>8976.4383561643845</v>
      </c>
      <c r="AB58" s="23">
        <f t="shared" si="53"/>
        <v>8976.4383561643845</v>
      </c>
    </row>
    <row r="59" spans="1:28" ht="15.75" customHeight="1" x14ac:dyDescent="0.3">
      <c r="A59" s="12">
        <f>RAW!$A$19</f>
        <v>6553200</v>
      </c>
      <c r="B59" s="2"/>
      <c r="C59" s="24" t="s">
        <v>32</v>
      </c>
      <c r="D59" s="23">
        <f t="shared" si="40"/>
        <v>17953.972602739726</v>
      </c>
      <c r="E59" s="2"/>
      <c r="F59" s="24" t="s">
        <v>32</v>
      </c>
      <c r="G59" s="23">
        <f t="shared" ref="G59:AB59" si="54">($A59/G$5)/365</f>
        <v>1795.3972602739725</v>
      </c>
      <c r="H59" s="23">
        <f t="shared" si="54"/>
        <v>3590.794520547945</v>
      </c>
      <c r="I59" s="23">
        <f t="shared" si="54"/>
        <v>2244.2465753424658</v>
      </c>
      <c r="J59" s="23">
        <f t="shared" si="54"/>
        <v>17953.972602739726</v>
      </c>
      <c r="K59" s="23">
        <f t="shared" si="54"/>
        <v>17953.972602739726</v>
      </c>
      <c r="L59" s="23">
        <f t="shared" si="54"/>
        <v>17953.972602739726</v>
      </c>
      <c r="M59" s="23">
        <f t="shared" si="54"/>
        <v>17953.972602739726</v>
      </c>
      <c r="N59" s="23">
        <f t="shared" si="54"/>
        <v>17953.972602739726</v>
      </c>
      <c r="O59" s="23">
        <f t="shared" si="54"/>
        <v>17953.972602739726</v>
      </c>
      <c r="P59" s="23">
        <f t="shared" si="54"/>
        <v>17953.972602739726</v>
      </c>
      <c r="Q59" s="23">
        <f t="shared" si="54"/>
        <v>17953.972602739726</v>
      </c>
      <c r="R59" s="23">
        <f t="shared" si="54"/>
        <v>17953.972602739726</v>
      </c>
      <c r="S59" s="23">
        <f t="shared" si="54"/>
        <v>17953.972602739726</v>
      </c>
      <c r="T59" s="23">
        <f t="shared" si="54"/>
        <v>17953.972602739726</v>
      </c>
      <c r="U59" s="23">
        <f t="shared" si="54"/>
        <v>17953.972602739726</v>
      </c>
      <c r="V59" s="23">
        <f t="shared" si="54"/>
        <v>17953.972602739726</v>
      </c>
      <c r="W59" s="23">
        <f t="shared" si="54"/>
        <v>17953.972602739726</v>
      </c>
      <c r="X59" s="23">
        <f t="shared" si="54"/>
        <v>17953.972602739726</v>
      </c>
      <c r="Y59" s="23">
        <f t="shared" si="54"/>
        <v>17953.972602739726</v>
      </c>
      <c r="Z59" s="23">
        <f t="shared" si="54"/>
        <v>17953.972602739726</v>
      </c>
      <c r="AA59" s="23">
        <f t="shared" si="54"/>
        <v>17953.972602739726</v>
      </c>
      <c r="AB59" s="23">
        <f t="shared" si="54"/>
        <v>17953.972602739726</v>
      </c>
    </row>
    <row r="60" spans="1:28" ht="15.75" customHeight="1" x14ac:dyDescent="0.3">
      <c r="A60" s="12">
        <f>RAW!$A$20</f>
        <v>13106800</v>
      </c>
      <c r="B60" s="2"/>
      <c r="C60" s="24" t="s">
        <v>33</v>
      </c>
      <c r="D60" s="23">
        <f t="shared" si="40"/>
        <v>35909.04109589041</v>
      </c>
      <c r="E60" s="2"/>
      <c r="F60" s="24" t="s">
        <v>33</v>
      </c>
      <c r="G60" s="23">
        <f t="shared" ref="G60:AB60" si="55">($A60/G$5)/365</f>
        <v>3590.9041095890411</v>
      </c>
      <c r="H60" s="23">
        <f t="shared" si="55"/>
        <v>7181.8082191780823</v>
      </c>
      <c r="I60" s="23">
        <f t="shared" si="55"/>
        <v>4488.6301369863013</v>
      </c>
      <c r="J60" s="23">
        <f t="shared" si="55"/>
        <v>35909.04109589041</v>
      </c>
      <c r="K60" s="23">
        <f t="shared" si="55"/>
        <v>35909.04109589041</v>
      </c>
      <c r="L60" s="23">
        <f t="shared" si="55"/>
        <v>35909.04109589041</v>
      </c>
      <c r="M60" s="23">
        <f t="shared" si="55"/>
        <v>35909.04109589041</v>
      </c>
      <c r="N60" s="23">
        <f t="shared" si="55"/>
        <v>35909.04109589041</v>
      </c>
      <c r="O60" s="23">
        <f t="shared" si="55"/>
        <v>35909.04109589041</v>
      </c>
      <c r="P60" s="23">
        <f t="shared" si="55"/>
        <v>35909.04109589041</v>
      </c>
      <c r="Q60" s="23">
        <f t="shared" si="55"/>
        <v>35909.04109589041</v>
      </c>
      <c r="R60" s="23">
        <f t="shared" si="55"/>
        <v>35909.04109589041</v>
      </c>
      <c r="S60" s="23">
        <f t="shared" si="55"/>
        <v>35909.04109589041</v>
      </c>
      <c r="T60" s="23">
        <f t="shared" si="55"/>
        <v>35909.04109589041</v>
      </c>
      <c r="U60" s="23">
        <f t="shared" si="55"/>
        <v>35909.04109589041</v>
      </c>
      <c r="V60" s="23">
        <f t="shared" si="55"/>
        <v>35909.04109589041</v>
      </c>
      <c r="W60" s="23">
        <f t="shared" si="55"/>
        <v>35909.04109589041</v>
      </c>
      <c r="X60" s="23">
        <f t="shared" si="55"/>
        <v>35909.04109589041</v>
      </c>
      <c r="Y60" s="23">
        <f t="shared" si="55"/>
        <v>35909.04109589041</v>
      </c>
      <c r="Z60" s="23">
        <f t="shared" si="55"/>
        <v>35909.04109589041</v>
      </c>
      <c r="AA60" s="23">
        <f t="shared" si="55"/>
        <v>35909.04109589041</v>
      </c>
      <c r="AB60" s="23">
        <f t="shared" si="55"/>
        <v>35909.04109589041</v>
      </c>
    </row>
    <row r="61" spans="1:28" ht="15.75" customHeight="1" x14ac:dyDescent="0.3">
      <c r="A61" s="12">
        <f>RAW!$A$21</f>
        <v>26214000</v>
      </c>
      <c r="B61" s="2"/>
      <c r="C61" s="24" t="s">
        <v>34</v>
      </c>
      <c r="D61" s="23">
        <f t="shared" si="40"/>
        <v>71819.178082191778</v>
      </c>
      <c r="E61" s="2"/>
      <c r="F61" s="24" t="s">
        <v>34</v>
      </c>
      <c r="G61" s="23">
        <f t="shared" ref="G61:AB61" si="56">($A61/G$5)/365</f>
        <v>7181.9178082191784</v>
      </c>
      <c r="H61" s="23">
        <f t="shared" si="56"/>
        <v>14363.835616438357</v>
      </c>
      <c r="I61" s="23">
        <f t="shared" si="56"/>
        <v>8977.3972602739723</v>
      </c>
      <c r="J61" s="23">
        <f t="shared" si="56"/>
        <v>71819.178082191778</v>
      </c>
      <c r="K61" s="23">
        <f t="shared" si="56"/>
        <v>71819.178082191778</v>
      </c>
      <c r="L61" s="23">
        <f t="shared" si="56"/>
        <v>71819.178082191778</v>
      </c>
      <c r="M61" s="23">
        <f t="shared" si="56"/>
        <v>71819.178082191778</v>
      </c>
      <c r="N61" s="23">
        <f t="shared" si="56"/>
        <v>71819.178082191778</v>
      </c>
      <c r="O61" s="23">
        <f t="shared" si="56"/>
        <v>71819.178082191778</v>
      </c>
      <c r="P61" s="23">
        <f t="shared" si="56"/>
        <v>71819.178082191778</v>
      </c>
      <c r="Q61" s="23">
        <f t="shared" si="56"/>
        <v>71819.178082191778</v>
      </c>
      <c r="R61" s="23">
        <f t="shared" si="56"/>
        <v>71819.178082191778</v>
      </c>
      <c r="S61" s="23">
        <f t="shared" si="56"/>
        <v>71819.178082191778</v>
      </c>
      <c r="T61" s="23">
        <f t="shared" si="56"/>
        <v>71819.178082191778</v>
      </c>
      <c r="U61" s="23">
        <f t="shared" si="56"/>
        <v>71819.178082191778</v>
      </c>
      <c r="V61" s="23">
        <f t="shared" si="56"/>
        <v>71819.178082191778</v>
      </c>
      <c r="W61" s="23">
        <f t="shared" si="56"/>
        <v>71819.178082191778</v>
      </c>
      <c r="X61" s="23">
        <f t="shared" si="56"/>
        <v>71819.178082191778</v>
      </c>
      <c r="Y61" s="23">
        <f t="shared" si="56"/>
        <v>71819.178082191778</v>
      </c>
      <c r="Z61" s="23">
        <f t="shared" si="56"/>
        <v>71819.178082191778</v>
      </c>
      <c r="AA61" s="23">
        <f t="shared" si="56"/>
        <v>71819.178082191778</v>
      </c>
      <c r="AB61" s="23">
        <f t="shared" si="56"/>
        <v>71819.178082191778</v>
      </c>
    </row>
    <row r="62" spans="1:28" ht="15.75" customHeight="1" x14ac:dyDescent="0.3">
      <c r="A62" s="12">
        <f>RAW!$A$22</f>
        <v>52428400</v>
      </c>
      <c r="B62" s="2"/>
      <c r="C62" s="24" t="s">
        <v>35</v>
      </c>
      <c r="D62" s="23">
        <f t="shared" si="40"/>
        <v>143639.45205479453</v>
      </c>
      <c r="E62" s="2"/>
      <c r="F62" s="24" t="s">
        <v>35</v>
      </c>
      <c r="G62" s="23">
        <f t="shared" ref="G62:AB62" si="57">($A62/G$5)/365</f>
        <v>14363.945205479453</v>
      </c>
      <c r="H62" s="23">
        <f t="shared" si="57"/>
        <v>28727.890410958906</v>
      </c>
      <c r="I62" s="23">
        <f t="shared" si="57"/>
        <v>17954.931506849316</v>
      </c>
      <c r="J62" s="23">
        <f t="shared" si="57"/>
        <v>143639.45205479453</v>
      </c>
      <c r="K62" s="23">
        <f t="shared" si="57"/>
        <v>143639.45205479453</v>
      </c>
      <c r="L62" s="23">
        <f t="shared" si="57"/>
        <v>143639.45205479453</v>
      </c>
      <c r="M62" s="23">
        <f t="shared" si="57"/>
        <v>143639.45205479453</v>
      </c>
      <c r="N62" s="23">
        <f t="shared" si="57"/>
        <v>143639.45205479453</v>
      </c>
      <c r="O62" s="23">
        <f t="shared" si="57"/>
        <v>143639.45205479453</v>
      </c>
      <c r="P62" s="23">
        <f t="shared" si="57"/>
        <v>143639.45205479453</v>
      </c>
      <c r="Q62" s="23">
        <f t="shared" si="57"/>
        <v>143639.45205479453</v>
      </c>
      <c r="R62" s="23">
        <f t="shared" si="57"/>
        <v>143639.45205479453</v>
      </c>
      <c r="S62" s="23">
        <f t="shared" si="57"/>
        <v>143639.45205479453</v>
      </c>
      <c r="T62" s="23">
        <f t="shared" si="57"/>
        <v>143639.45205479453</v>
      </c>
      <c r="U62" s="23">
        <f t="shared" si="57"/>
        <v>143639.45205479453</v>
      </c>
      <c r="V62" s="23">
        <f t="shared" si="57"/>
        <v>143639.45205479453</v>
      </c>
      <c r="W62" s="23">
        <f t="shared" si="57"/>
        <v>143639.45205479453</v>
      </c>
      <c r="X62" s="23">
        <f t="shared" si="57"/>
        <v>143639.45205479453</v>
      </c>
      <c r="Y62" s="23">
        <f t="shared" si="57"/>
        <v>143639.45205479453</v>
      </c>
      <c r="Z62" s="23">
        <f t="shared" si="57"/>
        <v>143639.45205479453</v>
      </c>
      <c r="AA62" s="23">
        <f t="shared" si="57"/>
        <v>143639.45205479453</v>
      </c>
      <c r="AB62" s="23">
        <f t="shared" si="57"/>
        <v>143639.45205479453</v>
      </c>
    </row>
    <row r="63" spans="1:28" ht="15.75" customHeight="1" x14ac:dyDescent="0.3">
      <c r="B63" s="2"/>
      <c r="E63" s="2"/>
    </row>
    <row r="64" spans="1:28" ht="15.75" customHeight="1" x14ac:dyDescent="0.3">
      <c r="B64" s="2"/>
      <c r="E64" s="2"/>
    </row>
    <row r="65" spans="2:5" ht="15.75" customHeight="1" x14ac:dyDescent="0.3">
      <c r="B65" s="2"/>
      <c r="E65" s="2"/>
    </row>
    <row r="66" spans="2:5" ht="15.75" customHeight="1" x14ac:dyDescent="0.3">
      <c r="B66" s="2"/>
      <c r="E66" s="2"/>
    </row>
    <row r="67" spans="2:5" ht="15.75" customHeight="1" x14ac:dyDescent="0.3">
      <c r="B67" s="2"/>
      <c r="E67" s="2"/>
    </row>
    <row r="68" spans="2:5" ht="15.75" customHeight="1" x14ac:dyDescent="0.3">
      <c r="B68" s="2"/>
      <c r="E68" s="2"/>
    </row>
    <row r="69" spans="2:5" ht="15.75" customHeight="1" x14ac:dyDescent="0.3">
      <c r="B69" s="2"/>
      <c r="E69" s="2"/>
    </row>
    <row r="70" spans="2:5" ht="15.75" customHeight="1" x14ac:dyDescent="0.3">
      <c r="B70" s="2"/>
      <c r="E70" s="2"/>
    </row>
    <row r="71" spans="2:5" ht="15.75" customHeight="1" x14ac:dyDescent="0.3">
      <c r="B71" s="2"/>
      <c r="E71" s="2"/>
    </row>
    <row r="72" spans="2:5" ht="15.75" customHeight="1" x14ac:dyDescent="0.3">
      <c r="B72" s="2"/>
      <c r="E72" s="2"/>
    </row>
    <row r="73" spans="2:5" ht="15.75" customHeight="1" x14ac:dyDescent="0.3">
      <c r="B73" s="2"/>
      <c r="E73" s="2"/>
    </row>
    <row r="74" spans="2:5" ht="15.75" customHeight="1" x14ac:dyDescent="0.3">
      <c r="B74" s="2"/>
      <c r="E74" s="2"/>
    </row>
    <row r="75" spans="2:5" ht="15.75" customHeight="1" x14ac:dyDescent="0.3">
      <c r="B75" s="2"/>
      <c r="E75" s="2"/>
    </row>
    <row r="76" spans="2:5" ht="15.75" customHeight="1" x14ac:dyDescent="0.3">
      <c r="B76" s="2"/>
      <c r="E76" s="2"/>
    </row>
    <row r="77" spans="2:5" ht="15.75" customHeight="1" x14ac:dyDescent="0.3">
      <c r="B77" s="2"/>
      <c r="E77" s="2"/>
    </row>
    <row r="78" spans="2:5" ht="15.75" customHeight="1" x14ac:dyDescent="0.3">
      <c r="B78" s="2"/>
      <c r="E78" s="2"/>
    </row>
    <row r="79" spans="2:5" ht="15.75" customHeight="1" x14ac:dyDescent="0.3">
      <c r="B79" s="2"/>
      <c r="E79" s="2"/>
    </row>
    <row r="80" spans="2:5" ht="15.75" customHeight="1" x14ac:dyDescent="0.3">
      <c r="B80" s="2"/>
      <c r="E80" s="2"/>
    </row>
    <row r="81" spans="2:5" ht="15.75" customHeight="1" x14ac:dyDescent="0.3">
      <c r="B81" s="2"/>
      <c r="E81" s="2"/>
    </row>
    <row r="82" spans="2:5" ht="15.75" customHeight="1" x14ac:dyDescent="0.3">
      <c r="B82" s="2"/>
      <c r="E82" s="2"/>
    </row>
    <row r="83" spans="2:5" ht="15.75" customHeight="1" x14ac:dyDescent="0.3">
      <c r="B83" s="2"/>
      <c r="E83" s="2"/>
    </row>
    <row r="84" spans="2:5" ht="15.75" customHeight="1" x14ac:dyDescent="0.3">
      <c r="B84" s="2"/>
      <c r="E84" s="2"/>
    </row>
    <row r="85" spans="2:5" ht="15.75" customHeight="1" x14ac:dyDescent="0.3">
      <c r="B85" s="2"/>
      <c r="E85" s="2"/>
    </row>
    <row r="86" spans="2:5" ht="15.75" customHeight="1" x14ac:dyDescent="0.3">
      <c r="B86" s="2"/>
      <c r="E86" s="2"/>
    </row>
    <row r="87" spans="2:5" ht="15.75" customHeight="1" x14ac:dyDescent="0.3">
      <c r="B87" s="2"/>
      <c r="E87" s="2"/>
    </row>
    <row r="88" spans="2:5" ht="15.75" customHeight="1" x14ac:dyDescent="0.3">
      <c r="B88" s="2"/>
      <c r="E88" s="2"/>
    </row>
    <row r="89" spans="2:5" ht="15.75" customHeight="1" x14ac:dyDescent="0.3">
      <c r="B89" s="2"/>
      <c r="E89" s="2"/>
    </row>
    <row r="90" spans="2:5" ht="15.75" customHeight="1" x14ac:dyDescent="0.3">
      <c r="B90" s="2"/>
      <c r="E90" s="2"/>
    </row>
    <row r="91" spans="2:5" ht="15.75" customHeight="1" x14ac:dyDescent="0.3">
      <c r="B91" s="2"/>
      <c r="E91" s="2"/>
    </row>
    <row r="92" spans="2:5" ht="15.75" customHeight="1" x14ac:dyDescent="0.3">
      <c r="B92" s="2"/>
      <c r="E92" s="2"/>
    </row>
    <row r="93" spans="2:5" ht="15.75" customHeight="1" x14ac:dyDescent="0.3">
      <c r="B93" s="2"/>
      <c r="E93" s="2"/>
    </row>
    <row r="94" spans="2:5" ht="15.75" customHeight="1" x14ac:dyDescent="0.3">
      <c r="B94" s="2"/>
      <c r="E94" s="2"/>
    </row>
    <row r="95" spans="2:5" ht="15.75" customHeight="1" x14ac:dyDescent="0.3">
      <c r="B95" s="2"/>
      <c r="E95" s="2"/>
    </row>
    <row r="96" spans="2:5" ht="15.75" customHeight="1" x14ac:dyDescent="0.3">
      <c r="B96" s="2"/>
      <c r="E96" s="2"/>
    </row>
    <row r="97" spans="2:5" ht="15.75" customHeight="1" x14ac:dyDescent="0.3">
      <c r="B97" s="2"/>
      <c r="E97" s="2"/>
    </row>
    <row r="98" spans="2:5" ht="15.75" customHeight="1" x14ac:dyDescent="0.3">
      <c r="B98" s="2"/>
      <c r="E98" s="2"/>
    </row>
    <row r="99" spans="2:5" ht="15.75" customHeight="1" x14ac:dyDescent="0.3">
      <c r="B99" s="2"/>
      <c r="E99" s="2"/>
    </row>
    <row r="100" spans="2:5" ht="15.75" customHeight="1" x14ac:dyDescent="0.3">
      <c r="B100" s="2"/>
      <c r="E100" s="2"/>
    </row>
    <row r="101" spans="2:5" ht="15.75" customHeight="1" x14ac:dyDescent="0.3">
      <c r="B101" s="2"/>
      <c r="E101" s="2"/>
    </row>
    <row r="102" spans="2:5" ht="15.75" customHeight="1" x14ac:dyDescent="0.3">
      <c r="B102" s="2"/>
      <c r="E102" s="2"/>
    </row>
    <row r="103" spans="2:5" ht="15.75" customHeight="1" x14ac:dyDescent="0.3">
      <c r="B103" s="2"/>
      <c r="E103" s="2"/>
    </row>
    <row r="104" spans="2:5" ht="15.75" customHeight="1" x14ac:dyDescent="0.3">
      <c r="B104" s="2"/>
      <c r="E104" s="2"/>
    </row>
    <row r="105" spans="2:5" ht="15.75" customHeight="1" x14ac:dyDescent="0.3">
      <c r="B105" s="2"/>
      <c r="E105" s="2"/>
    </row>
    <row r="106" spans="2:5" ht="15.75" customHeight="1" x14ac:dyDescent="0.3">
      <c r="B106" s="2"/>
      <c r="E106" s="2"/>
    </row>
    <row r="107" spans="2:5" ht="15.75" customHeight="1" x14ac:dyDescent="0.3">
      <c r="B107" s="2"/>
      <c r="E107" s="2"/>
    </row>
    <row r="108" spans="2:5" ht="15.75" customHeight="1" x14ac:dyDescent="0.3">
      <c r="B108" s="2"/>
      <c r="E108" s="2"/>
    </row>
    <row r="109" spans="2:5" ht="15.75" customHeight="1" x14ac:dyDescent="0.3">
      <c r="B109" s="2"/>
      <c r="E109" s="2"/>
    </row>
    <row r="110" spans="2:5" ht="15.75" customHeight="1" x14ac:dyDescent="0.3">
      <c r="B110" s="2"/>
      <c r="E110" s="2"/>
    </row>
    <row r="111" spans="2:5" ht="15.75" customHeight="1" x14ac:dyDescent="0.3">
      <c r="B111" s="2"/>
      <c r="E111" s="2"/>
    </row>
    <row r="112" spans="2:5" ht="15.75" customHeight="1" x14ac:dyDescent="0.3">
      <c r="B112" s="2"/>
      <c r="E112" s="2"/>
    </row>
    <row r="113" spans="2:5" ht="15.75" customHeight="1" x14ac:dyDescent="0.3">
      <c r="B113" s="2"/>
      <c r="E113" s="2"/>
    </row>
    <row r="114" spans="2:5" ht="15.75" customHeight="1" x14ac:dyDescent="0.3">
      <c r="B114" s="2"/>
      <c r="E114" s="2"/>
    </row>
    <row r="115" spans="2:5" ht="15.75" customHeight="1" x14ac:dyDescent="0.3">
      <c r="B115" s="2"/>
      <c r="E115" s="2"/>
    </row>
    <row r="116" spans="2:5" ht="15.75" customHeight="1" x14ac:dyDescent="0.3">
      <c r="B116" s="2"/>
      <c r="E116" s="2"/>
    </row>
    <row r="117" spans="2:5" ht="15.75" customHeight="1" x14ac:dyDescent="0.3">
      <c r="B117" s="2"/>
      <c r="E117" s="2"/>
    </row>
    <row r="118" spans="2:5" ht="15.75" customHeight="1" x14ac:dyDescent="0.3">
      <c r="B118" s="2"/>
      <c r="E118" s="2"/>
    </row>
    <row r="119" spans="2:5" ht="15.75" customHeight="1" x14ac:dyDescent="0.3">
      <c r="B119" s="2"/>
      <c r="E119" s="2"/>
    </row>
    <row r="120" spans="2:5" ht="15.75" customHeight="1" x14ac:dyDescent="0.3">
      <c r="B120" s="2"/>
      <c r="E120" s="2"/>
    </row>
    <row r="121" spans="2:5" ht="15.75" customHeight="1" x14ac:dyDescent="0.3">
      <c r="B121" s="2"/>
      <c r="E121" s="2"/>
    </row>
    <row r="122" spans="2:5" ht="15.75" customHeight="1" x14ac:dyDescent="0.3">
      <c r="B122" s="2"/>
      <c r="E122" s="2"/>
    </row>
    <row r="123" spans="2:5" ht="15.75" customHeight="1" x14ac:dyDescent="0.3">
      <c r="B123" s="2"/>
      <c r="E123" s="2"/>
    </row>
    <row r="124" spans="2:5" ht="15.75" customHeight="1" x14ac:dyDescent="0.3">
      <c r="B124" s="2"/>
      <c r="E124" s="2"/>
    </row>
    <row r="125" spans="2:5" ht="15.75" customHeight="1" x14ac:dyDescent="0.3">
      <c r="B125" s="2"/>
      <c r="E125" s="2"/>
    </row>
    <row r="126" spans="2:5" ht="15.75" customHeight="1" x14ac:dyDescent="0.3">
      <c r="B126" s="2"/>
      <c r="E126" s="2"/>
    </row>
    <row r="127" spans="2:5" ht="15.75" customHeight="1" x14ac:dyDescent="0.3">
      <c r="B127" s="2"/>
      <c r="E127" s="2"/>
    </row>
    <row r="128" spans="2:5" ht="15.75" customHeight="1" x14ac:dyDescent="0.3">
      <c r="B128" s="2"/>
      <c r="E128" s="2"/>
    </row>
    <row r="129" spans="2:5" ht="15.75" customHeight="1" x14ac:dyDescent="0.3">
      <c r="B129" s="2"/>
      <c r="E129" s="2"/>
    </row>
    <row r="130" spans="2:5" ht="15.75" customHeight="1" x14ac:dyDescent="0.3">
      <c r="B130" s="2"/>
      <c r="E130" s="2"/>
    </row>
    <row r="131" spans="2:5" ht="15.75" customHeight="1" x14ac:dyDescent="0.3">
      <c r="B131" s="2"/>
      <c r="E131" s="2"/>
    </row>
    <row r="132" spans="2:5" ht="15.75" customHeight="1" x14ac:dyDescent="0.3">
      <c r="B132" s="2"/>
      <c r="E132" s="2"/>
    </row>
    <row r="133" spans="2:5" ht="15.75" customHeight="1" x14ac:dyDescent="0.3">
      <c r="B133" s="2"/>
      <c r="E133" s="2"/>
    </row>
    <row r="134" spans="2:5" ht="15.75" customHeight="1" x14ac:dyDescent="0.3">
      <c r="B134" s="2"/>
      <c r="E134" s="2"/>
    </row>
    <row r="135" spans="2:5" ht="15.75" customHeight="1" x14ac:dyDescent="0.3">
      <c r="B135" s="2"/>
      <c r="E135" s="2"/>
    </row>
    <row r="136" spans="2:5" ht="15.75" customHeight="1" x14ac:dyDescent="0.3">
      <c r="B136" s="2"/>
      <c r="E136" s="2"/>
    </row>
    <row r="137" spans="2:5" ht="15.75" customHeight="1" x14ac:dyDescent="0.3">
      <c r="B137" s="2"/>
      <c r="E137" s="2"/>
    </row>
    <row r="138" spans="2:5" ht="15.75" customHeight="1" x14ac:dyDescent="0.3">
      <c r="B138" s="2"/>
      <c r="E138" s="2"/>
    </row>
    <row r="139" spans="2:5" ht="15.75" customHeight="1" x14ac:dyDescent="0.3">
      <c r="B139" s="2"/>
      <c r="E139" s="2"/>
    </row>
    <row r="140" spans="2:5" ht="15.75" customHeight="1" x14ac:dyDescent="0.3">
      <c r="B140" s="2"/>
      <c r="E140" s="2"/>
    </row>
    <row r="141" spans="2:5" ht="15.75" customHeight="1" x14ac:dyDescent="0.3">
      <c r="B141" s="2"/>
      <c r="E141" s="2"/>
    </row>
    <row r="142" spans="2:5" ht="15.75" customHeight="1" x14ac:dyDescent="0.3">
      <c r="B142" s="2"/>
      <c r="E142" s="2"/>
    </row>
    <row r="143" spans="2:5" ht="15.75" customHeight="1" x14ac:dyDescent="0.3">
      <c r="B143" s="2"/>
      <c r="E143" s="2"/>
    </row>
    <row r="144" spans="2:5" ht="15.75" customHeight="1" x14ac:dyDescent="0.3">
      <c r="B144" s="2"/>
      <c r="E144" s="2"/>
    </row>
    <row r="145" spans="2:5" ht="15.75" customHeight="1" x14ac:dyDescent="0.3">
      <c r="B145" s="2"/>
      <c r="E145" s="2"/>
    </row>
    <row r="146" spans="2:5" ht="15.75" customHeight="1" x14ac:dyDescent="0.3">
      <c r="B146" s="2"/>
      <c r="E146" s="2"/>
    </row>
    <row r="147" spans="2:5" ht="15.75" customHeight="1" x14ac:dyDescent="0.3">
      <c r="B147" s="2"/>
      <c r="E147" s="2"/>
    </row>
    <row r="148" spans="2:5" ht="15.75" customHeight="1" x14ac:dyDescent="0.3">
      <c r="B148" s="2"/>
      <c r="E148" s="2"/>
    </row>
    <row r="149" spans="2:5" ht="15.75" customHeight="1" x14ac:dyDescent="0.3">
      <c r="B149" s="2"/>
      <c r="E149" s="2"/>
    </row>
    <row r="150" spans="2:5" ht="15.75" customHeight="1" x14ac:dyDescent="0.3">
      <c r="B150" s="2"/>
      <c r="E150" s="2"/>
    </row>
    <row r="151" spans="2:5" ht="15.75" customHeight="1" x14ac:dyDescent="0.3">
      <c r="B151" s="2"/>
      <c r="E151" s="2"/>
    </row>
    <row r="152" spans="2:5" ht="15.75" customHeight="1" x14ac:dyDescent="0.3">
      <c r="B152" s="2"/>
      <c r="E152" s="2"/>
    </row>
    <row r="153" spans="2:5" ht="15.75" customHeight="1" x14ac:dyDescent="0.3">
      <c r="B153" s="2"/>
      <c r="E153" s="2"/>
    </row>
    <row r="154" spans="2:5" ht="15.75" customHeight="1" x14ac:dyDescent="0.3">
      <c r="B154" s="2"/>
      <c r="E154" s="2"/>
    </row>
    <row r="155" spans="2:5" ht="15.75" customHeight="1" x14ac:dyDescent="0.3">
      <c r="B155" s="2"/>
      <c r="E155" s="2"/>
    </row>
    <row r="156" spans="2:5" ht="15.75" customHeight="1" x14ac:dyDescent="0.3">
      <c r="B156" s="2"/>
      <c r="E156" s="2"/>
    </row>
    <row r="157" spans="2:5" ht="15.75" customHeight="1" x14ac:dyDescent="0.3">
      <c r="B157" s="2"/>
      <c r="E157" s="2"/>
    </row>
    <row r="158" spans="2:5" ht="15.75" customHeight="1" x14ac:dyDescent="0.3">
      <c r="B158" s="2"/>
      <c r="E158" s="2"/>
    </row>
    <row r="159" spans="2:5" ht="15.75" customHeight="1" x14ac:dyDescent="0.3">
      <c r="B159" s="2"/>
      <c r="E159" s="2"/>
    </row>
    <row r="160" spans="2:5" ht="15.75" customHeight="1" x14ac:dyDescent="0.3">
      <c r="B160" s="2"/>
      <c r="E160" s="2"/>
    </row>
    <row r="161" spans="2:5" ht="15.75" customHeight="1" x14ac:dyDescent="0.3">
      <c r="B161" s="2"/>
      <c r="E161" s="2"/>
    </row>
    <row r="162" spans="2:5" ht="15.75" customHeight="1" x14ac:dyDescent="0.3">
      <c r="B162" s="2"/>
      <c r="E162" s="2"/>
    </row>
    <row r="163" spans="2:5" ht="15.75" customHeight="1" x14ac:dyDescent="0.3">
      <c r="B163" s="2"/>
      <c r="E163" s="2"/>
    </row>
    <row r="164" spans="2:5" ht="15.75" customHeight="1" x14ac:dyDescent="0.3">
      <c r="B164" s="2"/>
      <c r="E164" s="2"/>
    </row>
    <row r="165" spans="2:5" ht="15.75" customHeight="1" x14ac:dyDescent="0.3">
      <c r="B165" s="2"/>
      <c r="E165" s="2"/>
    </row>
    <row r="166" spans="2:5" ht="15.75" customHeight="1" x14ac:dyDescent="0.3">
      <c r="B166" s="2"/>
      <c r="E166" s="2"/>
    </row>
    <row r="167" spans="2:5" ht="15.75" customHeight="1" x14ac:dyDescent="0.3">
      <c r="B167" s="2"/>
      <c r="E167" s="2"/>
    </row>
    <row r="168" spans="2:5" ht="15.75" customHeight="1" x14ac:dyDescent="0.3">
      <c r="B168" s="2"/>
      <c r="E168" s="2"/>
    </row>
    <row r="169" spans="2:5" ht="15.75" customHeight="1" x14ac:dyDescent="0.3">
      <c r="B169" s="2"/>
      <c r="E169" s="2"/>
    </row>
    <row r="170" spans="2:5" ht="15.75" customHeight="1" x14ac:dyDescent="0.3">
      <c r="B170" s="2"/>
      <c r="E170" s="2"/>
    </row>
    <row r="171" spans="2:5" ht="15.75" customHeight="1" x14ac:dyDescent="0.3">
      <c r="B171" s="2"/>
      <c r="E171" s="2"/>
    </row>
    <row r="172" spans="2:5" ht="15.75" customHeight="1" x14ac:dyDescent="0.3">
      <c r="B172" s="2"/>
      <c r="E172" s="2"/>
    </row>
    <row r="173" spans="2:5" ht="15.75" customHeight="1" x14ac:dyDescent="0.3">
      <c r="B173" s="2"/>
      <c r="E173" s="2"/>
    </row>
    <row r="174" spans="2:5" ht="15.75" customHeight="1" x14ac:dyDescent="0.3">
      <c r="B174" s="2"/>
      <c r="E174" s="2"/>
    </row>
    <row r="175" spans="2:5" ht="15.75" customHeight="1" x14ac:dyDescent="0.3">
      <c r="B175" s="2"/>
      <c r="E175" s="2"/>
    </row>
    <row r="176" spans="2:5" ht="15.75" customHeight="1" x14ac:dyDescent="0.3">
      <c r="B176" s="2"/>
      <c r="E176" s="2"/>
    </row>
    <row r="177" spans="2:5" ht="15.75" customHeight="1" x14ac:dyDescent="0.3">
      <c r="B177" s="2"/>
      <c r="E177" s="2"/>
    </row>
    <row r="178" spans="2:5" ht="15.75" customHeight="1" x14ac:dyDescent="0.3">
      <c r="B178" s="2"/>
      <c r="E178" s="2"/>
    </row>
    <row r="179" spans="2:5" ht="15.75" customHeight="1" x14ac:dyDescent="0.3">
      <c r="B179" s="2"/>
      <c r="E179" s="2"/>
    </row>
    <row r="180" spans="2:5" ht="15.75" customHeight="1" x14ac:dyDescent="0.3">
      <c r="B180" s="2"/>
      <c r="E180" s="2"/>
    </row>
    <row r="181" spans="2:5" ht="15.75" customHeight="1" x14ac:dyDescent="0.3">
      <c r="B181" s="2"/>
      <c r="E181" s="2"/>
    </row>
    <row r="182" spans="2:5" ht="15.75" customHeight="1" x14ac:dyDescent="0.3">
      <c r="B182" s="2"/>
      <c r="E182" s="2"/>
    </row>
    <row r="183" spans="2:5" ht="15.75" customHeight="1" x14ac:dyDescent="0.3">
      <c r="B183" s="2"/>
      <c r="E183" s="2"/>
    </row>
    <row r="184" spans="2:5" ht="15.75" customHeight="1" x14ac:dyDescent="0.3">
      <c r="B184" s="2"/>
      <c r="E184" s="2"/>
    </row>
    <row r="185" spans="2:5" ht="15.75" customHeight="1" x14ac:dyDescent="0.3">
      <c r="B185" s="2"/>
      <c r="E185" s="2"/>
    </row>
    <row r="186" spans="2:5" ht="15.75" customHeight="1" x14ac:dyDescent="0.3">
      <c r="B186" s="2"/>
      <c r="E186" s="2"/>
    </row>
    <row r="187" spans="2:5" ht="15.75" customHeight="1" x14ac:dyDescent="0.3">
      <c r="B187" s="2"/>
      <c r="E187" s="2"/>
    </row>
    <row r="188" spans="2:5" ht="15.75" customHeight="1" x14ac:dyDescent="0.3">
      <c r="B188" s="2"/>
      <c r="E188" s="2"/>
    </row>
    <row r="189" spans="2:5" ht="15.75" customHeight="1" x14ac:dyDescent="0.3">
      <c r="B189" s="2"/>
      <c r="E189" s="2"/>
    </row>
    <row r="190" spans="2:5" ht="15.75" customHeight="1" x14ac:dyDescent="0.3">
      <c r="B190" s="2"/>
      <c r="E190" s="2"/>
    </row>
    <row r="191" spans="2:5" ht="15.75" customHeight="1" x14ac:dyDescent="0.3">
      <c r="B191" s="2"/>
      <c r="E191" s="2"/>
    </row>
    <row r="192" spans="2:5" ht="15.75" customHeight="1" x14ac:dyDescent="0.3">
      <c r="B192" s="2"/>
      <c r="E192" s="2"/>
    </row>
    <row r="193" spans="2:5" ht="15.75" customHeight="1" x14ac:dyDescent="0.3">
      <c r="B193" s="2"/>
      <c r="E193" s="2"/>
    </row>
    <row r="194" spans="2:5" ht="15.75" customHeight="1" x14ac:dyDescent="0.3">
      <c r="B194" s="2"/>
      <c r="E194" s="2"/>
    </row>
    <row r="195" spans="2:5" ht="15.75" customHeight="1" x14ac:dyDescent="0.3">
      <c r="B195" s="2"/>
      <c r="E195" s="2"/>
    </row>
    <row r="196" spans="2:5" ht="15.75" customHeight="1" x14ac:dyDescent="0.3">
      <c r="B196" s="2"/>
      <c r="E196" s="2"/>
    </row>
    <row r="197" spans="2:5" ht="15.75" customHeight="1" x14ac:dyDescent="0.3">
      <c r="B197" s="2"/>
      <c r="E197" s="2"/>
    </row>
    <row r="198" spans="2:5" ht="15.75" customHeight="1" x14ac:dyDescent="0.3">
      <c r="B198" s="2"/>
      <c r="E198" s="2"/>
    </row>
    <row r="199" spans="2:5" ht="15.75" customHeight="1" x14ac:dyDescent="0.3">
      <c r="B199" s="2"/>
      <c r="E199" s="2"/>
    </row>
    <row r="200" spans="2:5" ht="15.75" customHeight="1" x14ac:dyDescent="0.3">
      <c r="B200" s="2"/>
      <c r="E200" s="2"/>
    </row>
    <row r="201" spans="2:5" ht="15.75" customHeight="1" x14ac:dyDescent="0.3">
      <c r="B201" s="2"/>
      <c r="E201" s="2"/>
    </row>
    <row r="202" spans="2:5" ht="15.75" customHeight="1" x14ac:dyDescent="0.3">
      <c r="B202" s="2"/>
      <c r="E202" s="2"/>
    </row>
    <row r="203" spans="2:5" ht="15.75" customHeight="1" x14ac:dyDescent="0.3">
      <c r="B203" s="2"/>
      <c r="E203" s="2"/>
    </row>
    <row r="204" spans="2:5" ht="15.75" customHeight="1" x14ac:dyDescent="0.3">
      <c r="B204" s="2"/>
      <c r="E204" s="2"/>
    </row>
    <row r="205" spans="2:5" ht="15.75" customHeight="1" x14ac:dyDescent="0.3">
      <c r="B205" s="2"/>
      <c r="E205" s="2"/>
    </row>
    <row r="206" spans="2:5" ht="15.75" customHeight="1" x14ac:dyDescent="0.3">
      <c r="B206" s="2"/>
      <c r="E206" s="2"/>
    </row>
    <row r="207" spans="2:5" ht="15.75" customHeight="1" x14ac:dyDescent="0.3">
      <c r="B207" s="2"/>
      <c r="E207" s="2"/>
    </row>
    <row r="208" spans="2:5" ht="15.75" customHeight="1" x14ac:dyDescent="0.3">
      <c r="B208" s="2"/>
      <c r="E208" s="2"/>
    </row>
    <row r="209" spans="2:5" ht="15.75" customHeight="1" x14ac:dyDescent="0.3">
      <c r="B209" s="2"/>
      <c r="E209" s="2"/>
    </row>
    <row r="210" spans="2:5" ht="15.75" customHeight="1" x14ac:dyDescent="0.3">
      <c r="B210" s="2"/>
      <c r="E210" s="2"/>
    </row>
    <row r="211" spans="2:5" ht="15.75" customHeight="1" x14ac:dyDescent="0.3">
      <c r="B211" s="2"/>
      <c r="E211" s="2"/>
    </row>
    <row r="212" spans="2:5" ht="15.75" customHeight="1" x14ac:dyDescent="0.3">
      <c r="B212" s="2"/>
      <c r="E212" s="2"/>
    </row>
    <row r="213" spans="2:5" ht="15.75" customHeight="1" x14ac:dyDescent="0.3">
      <c r="B213" s="2"/>
      <c r="E213" s="2"/>
    </row>
    <row r="214" spans="2:5" ht="15.75" customHeight="1" x14ac:dyDescent="0.3">
      <c r="B214" s="2"/>
      <c r="E214" s="2"/>
    </row>
    <row r="215" spans="2:5" ht="15.75" customHeight="1" x14ac:dyDescent="0.3">
      <c r="B215" s="2"/>
      <c r="E215" s="2"/>
    </row>
    <row r="216" spans="2:5" ht="15.75" customHeight="1" x14ac:dyDescent="0.3">
      <c r="B216" s="2"/>
      <c r="E216" s="2"/>
    </row>
    <row r="217" spans="2:5" ht="15.75" customHeight="1" x14ac:dyDescent="0.3">
      <c r="B217" s="2"/>
      <c r="E217" s="2"/>
    </row>
    <row r="218" spans="2:5" ht="15.75" customHeight="1" x14ac:dyDescent="0.3">
      <c r="B218" s="2"/>
      <c r="E218" s="2"/>
    </row>
    <row r="219" spans="2:5" ht="15.75" customHeight="1" x14ac:dyDescent="0.3">
      <c r="B219" s="2"/>
      <c r="E219" s="2"/>
    </row>
    <row r="220" spans="2:5" ht="15.75" customHeight="1" x14ac:dyDescent="0.3">
      <c r="B220" s="2"/>
      <c r="E220" s="2"/>
    </row>
    <row r="221" spans="2:5" ht="15.75" customHeight="1" x14ac:dyDescent="0.3">
      <c r="B221" s="2"/>
      <c r="E221" s="2"/>
    </row>
    <row r="222" spans="2:5" ht="15.75" customHeight="1" x14ac:dyDescent="0.3">
      <c r="B222" s="2"/>
      <c r="E222" s="2"/>
    </row>
    <row r="223" spans="2:5" ht="15.75" customHeight="1" x14ac:dyDescent="0.3">
      <c r="B223" s="2"/>
      <c r="E223" s="2"/>
    </row>
    <row r="224" spans="2:5" ht="15.75" customHeight="1" x14ac:dyDescent="0.3">
      <c r="B224" s="2"/>
      <c r="E224" s="2"/>
    </row>
    <row r="225" spans="2:5" ht="15.75" customHeight="1" x14ac:dyDescent="0.3">
      <c r="B225" s="2"/>
      <c r="E225" s="2"/>
    </row>
    <row r="226" spans="2:5" ht="15.75" customHeight="1" x14ac:dyDescent="0.3">
      <c r="B226" s="2"/>
      <c r="E226" s="2"/>
    </row>
    <row r="227" spans="2:5" ht="15.75" customHeight="1" x14ac:dyDescent="0.3">
      <c r="B227" s="2"/>
      <c r="E227" s="2"/>
    </row>
    <row r="228" spans="2:5" ht="15.75" customHeight="1" x14ac:dyDescent="0.3">
      <c r="B228" s="2"/>
      <c r="E228" s="2"/>
    </row>
    <row r="229" spans="2:5" ht="15.75" customHeight="1" x14ac:dyDescent="0.3">
      <c r="B229" s="2"/>
      <c r="E229" s="2"/>
    </row>
    <row r="230" spans="2:5" ht="15.75" customHeight="1" x14ac:dyDescent="0.3">
      <c r="B230" s="2"/>
      <c r="E230" s="2"/>
    </row>
    <row r="231" spans="2:5" ht="15.75" customHeight="1" x14ac:dyDescent="0.3">
      <c r="B231" s="2"/>
      <c r="E231" s="2"/>
    </row>
    <row r="232" spans="2:5" ht="15.75" customHeight="1" x14ac:dyDescent="0.3">
      <c r="B232" s="2"/>
      <c r="E232" s="2"/>
    </row>
    <row r="233" spans="2:5" ht="15.75" customHeight="1" x14ac:dyDescent="0.3">
      <c r="B233" s="2"/>
      <c r="E233" s="2"/>
    </row>
    <row r="234" spans="2:5" ht="15.75" customHeight="1" x14ac:dyDescent="0.3">
      <c r="B234" s="2"/>
      <c r="E234" s="2"/>
    </row>
    <row r="235" spans="2:5" ht="15.75" customHeight="1" x14ac:dyDescent="0.3">
      <c r="B235" s="2"/>
      <c r="E235" s="2"/>
    </row>
    <row r="236" spans="2:5" ht="15.75" customHeight="1" x14ac:dyDescent="0.3">
      <c r="B236" s="2"/>
      <c r="E236" s="2"/>
    </row>
    <row r="237" spans="2:5" ht="15.75" customHeight="1" x14ac:dyDescent="0.3">
      <c r="B237" s="2"/>
      <c r="E237" s="2"/>
    </row>
    <row r="238" spans="2:5" ht="15.75" customHeight="1" x14ac:dyDescent="0.3">
      <c r="B238" s="2"/>
      <c r="E238" s="2"/>
    </row>
    <row r="239" spans="2:5" ht="15.75" customHeight="1" x14ac:dyDescent="0.3">
      <c r="B239" s="2"/>
      <c r="E239" s="2"/>
    </row>
    <row r="240" spans="2:5" ht="15.75" customHeight="1" x14ac:dyDescent="0.3">
      <c r="B240" s="2"/>
      <c r="E240" s="2"/>
    </row>
    <row r="241" spans="2:5" ht="15.75" customHeight="1" x14ac:dyDescent="0.3">
      <c r="B241" s="2"/>
      <c r="E241" s="2"/>
    </row>
    <row r="242" spans="2:5" ht="15.75" customHeight="1" x14ac:dyDescent="0.3">
      <c r="B242" s="2"/>
      <c r="E242" s="2"/>
    </row>
    <row r="243" spans="2:5" ht="15.75" customHeight="1" x14ac:dyDescent="0.3">
      <c r="B243" s="2"/>
      <c r="E243" s="2"/>
    </row>
    <row r="244" spans="2:5" ht="15.75" customHeight="1" x14ac:dyDescent="0.3">
      <c r="B244" s="2"/>
      <c r="E244" s="2"/>
    </row>
    <row r="245" spans="2:5" ht="15.75" customHeight="1" x14ac:dyDescent="0.3">
      <c r="B245" s="2"/>
      <c r="E245" s="2"/>
    </row>
    <row r="246" spans="2:5" ht="15.75" customHeight="1" x14ac:dyDescent="0.3">
      <c r="B246" s="2"/>
      <c r="E246" s="2"/>
    </row>
    <row r="247" spans="2:5" ht="15.75" customHeight="1" x14ac:dyDescent="0.3">
      <c r="B247" s="2"/>
      <c r="E247" s="2"/>
    </row>
    <row r="248" spans="2:5" ht="15.75" customHeight="1" x14ac:dyDescent="0.3">
      <c r="B248" s="2"/>
      <c r="E248" s="2"/>
    </row>
    <row r="249" spans="2:5" ht="15.75" customHeight="1" x14ac:dyDescent="0.3">
      <c r="B249" s="2"/>
      <c r="E249" s="2"/>
    </row>
    <row r="250" spans="2:5" ht="15.75" customHeight="1" x14ac:dyDescent="0.3">
      <c r="B250" s="2"/>
      <c r="E250" s="2"/>
    </row>
    <row r="251" spans="2:5" ht="15.75" customHeight="1" x14ac:dyDescent="0.3">
      <c r="B251" s="2"/>
      <c r="E251" s="2"/>
    </row>
    <row r="252" spans="2:5" ht="15.75" customHeight="1" x14ac:dyDescent="0.3">
      <c r="B252" s="2"/>
      <c r="E252" s="2"/>
    </row>
    <row r="253" spans="2:5" ht="15.75" customHeight="1" x14ac:dyDescent="0.3">
      <c r="B253" s="2"/>
      <c r="E253" s="2"/>
    </row>
    <row r="254" spans="2:5" ht="15.75" customHeight="1" x14ac:dyDescent="0.3">
      <c r="B254" s="2"/>
      <c r="E254" s="2"/>
    </row>
    <row r="255" spans="2:5" ht="15.75" customHeight="1" x14ac:dyDescent="0.3">
      <c r="B255" s="2"/>
      <c r="E255" s="2"/>
    </row>
    <row r="256" spans="2:5" ht="15.75" customHeight="1" x14ac:dyDescent="0.3">
      <c r="B256" s="2"/>
      <c r="E256" s="2"/>
    </row>
    <row r="257" spans="2:5" ht="15.75" customHeight="1" x14ac:dyDescent="0.3">
      <c r="B257" s="2"/>
      <c r="E257" s="2"/>
    </row>
    <row r="258" spans="2:5" ht="15.75" customHeight="1" x14ac:dyDescent="0.3">
      <c r="B258" s="2"/>
      <c r="E258" s="2"/>
    </row>
    <row r="259" spans="2:5" ht="15.75" customHeight="1" x14ac:dyDescent="0.3">
      <c r="B259" s="2"/>
      <c r="E259" s="2"/>
    </row>
    <row r="260" spans="2:5" ht="15.75" customHeight="1" x14ac:dyDescent="0.3">
      <c r="B260" s="2"/>
      <c r="E260" s="2"/>
    </row>
    <row r="261" spans="2:5" ht="15.75" customHeight="1" x14ac:dyDescent="0.3">
      <c r="B261" s="2"/>
      <c r="E261" s="2"/>
    </row>
    <row r="262" spans="2:5" ht="15.75" customHeight="1" x14ac:dyDescent="0.3">
      <c r="B262" s="2"/>
      <c r="E262" s="2"/>
    </row>
    <row r="263" spans="2:5" ht="15.75" customHeight="1" x14ac:dyDescent="0.3"/>
    <row r="264" spans="2:5" ht="15.75" customHeight="1" x14ac:dyDescent="0.3"/>
    <row r="265" spans="2:5" ht="15.75" customHeight="1" x14ac:dyDescent="0.3"/>
    <row r="266" spans="2:5" ht="15.75" customHeight="1" x14ac:dyDescent="0.3"/>
    <row r="267" spans="2:5" ht="15.75" customHeight="1" x14ac:dyDescent="0.3"/>
    <row r="268" spans="2:5" ht="15.75" customHeight="1" x14ac:dyDescent="0.3"/>
    <row r="269" spans="2:5" ht="15.75" customHeight="1" x14ac:dyDescent="0.3"/>
    <row r="270" spans="2:5" ht="15.75" customHeight="1" x14ac:dyDescent="0.3"/>
    <row r="271" spans="2:5" ht="15.75" customHeight="1" x14ac:dyDescent="0.3"/>
    <row r="272" spans="2:5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C44:D44"/>
    <mergeCell ref="G44:AB44"/>
    <mergeCell ref="C1:D1"/>
    <mergeCell ref="G1:AB1"/>
    <mergeCell ref="A2:A5"/>
    <mergeCell ref="C6:D6"/>
    <mergeCell ref="G6:AB6"/>
    <mergeCell ref="C25:D25"/>
    <mergeCell ref="G25:AB25"/>
  </mergeCells>
  <conditionalFormatting sqref="D8:D24">
    <cfRule type="cellIs" dxfId="425" priority="22" operator="greaterThanOrEqual">
      <formula>$D$4</formula>
    </cfRule>
    <cfRule type="cellIs" dxfId="424" priority="24" operator="between">
      <formula>$D$3</formula>
      <formula>$D$4</formula>
    </cfRule>
    <cfRule type="cellIs" dxfId="423" priority="23" operator="lessThanOrEqual">
      <formula>$D$2</formula>
    </cfRule>
  </conditionalFormatting>
  <conditionalFormatting sqref="D27:D43 G27:AB43">
    <cfRule type="cellIs" dxfId="422" priority="21" operator="greaterThanOrEqual">
      <formula>365</formula>
    </cfRule>
  </conditionalFormatting>
  <conditionalFormatting sqref="D46:D62 G46:AB62">
    <cfRule type="cellIs" dxfId="421" priority="20" operator="lessThanOrEqual">
      <formula>1</formula>
    </cfRule>
  </conditionalFormatting>
  <conditionalFormatting sqref="G8:G24">
    <cfRule type="cellIs" dxfId="420" priority="1" operator="greaterThanOrEqual">
      <formula>$G$4</formula>
    </cfRule>
    <cfRule type="cellIs" dxfId="419" priority="19" operator="lessThanOrEqual">
      <formula>$G$2</formula>
    </cfRule>
    <cfRule type="cellIs" dxfId="418" priority="10" operator="between">
      <formula>$G$3</formula>
      <formula>$G$4</formula>
    </cfRule>
  </conditionalFormatting>
  <conditionalFormatting sqref="H8:H24">
    <cfRule type="cellIs" dxfId="417" priority="2" operator="greaterThanOrEqual">
      <formula>$H$4</formula>
    </cfRule>
    <cfRule type="cellIs" dxfId="416" priority="11" operator="between">
      <formula>$H$3</formula>
      <formula>$H$4</formula>
    </cfRule>
    <cfRule type="cellIs" dxfId="415" priority="26" operator="lessThanOrEqual">
      <formula>$H$2</formula>
    </cfRule>
  </conditionalFormatting>
  <conditionalFormatting sqref="I8:I24">
    <cfRule type="cellIs" dxfId="414" priority="3" operator="greaterThanOrEqual">
      <formula>$I$4</formula>
    </cfRule>
    <cfRule type="cellIs" dxfId="413" priority="12" operator="between">
      <formula>I$3</formula>
      <formula>I$4</formula>
    </cfRule>
    <cfRule type="cellIs" dxfId="412" priority="27" operator="lessThanOrEqual">
      <formula>$I$2</formula>
    </cfRule>
  </conditionalFormatting>
  <conditionalFormatting sqref="J8:J24">
    <cfRule type="cellIs" dxfId="411" priority="4" operator="greaterThanOrEqual">
      <formula>$J$4</formula>
    </cfRule>
    <cfRule type="cellIs" dxfId="410" priority="13" operator="between">
      <formula>$J$3</formula>
      <formula>$J$4</formula>
    </cfRule>
    <cfRule type="cellIs" dxfId="409" priority="28" operator="lessThanOrEqual">
      <formula>$J$2</formula>
    </cfRule>
  </conditionalFormatting>
  <conditionalFormatting sqref="K8:K24">
    <cfRule type="cellIs" dxfId="408" priority="5" operator="greaterThanOrEqual">
      <formula>$K$4</formula>
    </cfRule>
    <cfRule type="cellIs" dxfId="407" priority="14" operator="between">
      <formula>$K$3</formula>
      <formula>$K$4</formula>
    </cfRule>
    <cfRule type="cellIs" dxfId="406" priority="29" operator="lessThanOrEqual">
      <formula>$K$2</formula>
    </cfRule>
  </conditionalFormatting>
  <conditionalFormatting sqref="L8:L24">
    <cfRule type="cellIs" dxfId="405" priority="6" operator="greaterThanOrEqual">
      <formula>$L$4</formula>
    </cfRule>
    <cfRule type="cellIs" dxfId="404" priority="15" operator="between">
      <formula>$L$3</formula>
      <formula>$L$4</formula>
    </cfRule>
    <cfRule type="cellIs" dxfId="403" priority="30" operator="lessThanOrEqual">
      <formula>$L$2</formula>
    </cfRule>
  </conditionalFormatting>
  <conditionalFormatting sqref="M8:M24">
    <cfRule type="cellIs" dxfId="402" priority="7" operator="greaterThanOrEqual">
      <formula>$M$4</formula>
    </cfRule>
    <cfRule type="cellIs" dxfId="401" priority="16" operator="between">
      <formula>$M$3</formula>
      <formula>$M$4</formula>
    </cfRule>
    <cfRule type="cellIs" dxfId="400" priority="31" operator="lessThanOrEqual">
      <formula>$M$2</formula>
    </cfRule>
  </conditionalFormatting>
  <conditionalFormatting sqref="N8:N24">
    <cfRule type="cellIs" dxfId="399" priority="8" operator="greaterThanOrEqual">
      <formula>$N$4</formula>
    </cfRule>
    <cfRule type="cellIs" dxfId="398" priority="17" operator="between">
      <formula>$N$3</formula>
      <formula>$N$4</formula>
    </cfRule>
    <cfRule type="cellIs" dxfId="397" priority="32" operator="lessThanOrEqual">
      <formula>$N$2</formula>
    </cfRule>
  </conditionalFormatting>
  <conditionalFormatting sqref="O8:O24">
    <cfRule type="cellIs" dxfId="396" priority="18" operator="between">
      <formula>$O$3</formula>
      <formula>$O$4</formula>
    </cfRule>
    <cfRule type="cellIs" dxfId="395" priority="9" operator="greaterThanOrEqual">
      <formula>$O$4</formula>
    </cfRule>
    <cfRule type="cellIs" dxfId="394" priority="33" operator="lessThanOrEqual">
      <formula>$O$2</formula>
    </cfRule>
  </conditionalFormatting>
  <conditionalFormatting sqref="P7:P24">
    <cfRule type="cellIs" dxfId="393" priority="46" operator="between">
      <formula>$P$3</formula>
      <formula>$P$4</formula>
    </cfRule>
  </conditionalFormatting>
  <conditionalFormatting sqref="P8:P24">
    <cfRule type="cellIs" dxfId="392" priority="25" operator="lessThanOrEqual">
      <formula>$P$2</formula>
    </cfRule>
    <cfRule type="cellIs" dxfId="391" priority="59" operator="greaterThanOrEqual">
      <formula>$P$4</formula>
    </cfRule>
  </conditionalFormatting>
  <conditionalFormatting sqref="Q8:Q24">
    <cfRule type="cellIs" dxfId="390" priority="34" operator="lessThanOrEqual">
      <formula>$Q$2</formula>
    </cfRule>
    <cfRule type="cellIs" dxfId="389" priority="47" operator="between">
      <formula>$Q$3</formula>
      <formula>$Q$4</formula>
    </cfRule>
    <cfRule type="cellIs" dxfId="388" priority="60" operator="greaterThanOrEqual">
      <formula>$Q$4</formula>
    </cfRule>
  </conditionalFormatting>
  <conditionalFormatting sqref="R8:R24">
    <cfRule type="cellIs" dxfId="387" priority="48" operator="between">
      <formula>$R$3</formula>
      <formula>$R$4</formula>
    </cfRule>
    <cfRule type="cellIs" dxfId="386" priority="35" operator="lessThanOrEqual">
      <formula>$R$2</formula>
    </cfRule>
    <cfRule type="cellIs" dxfId="385" priority="61" operator="greaterThanOrEqual">
      <formula>$R$4</formula>
    </cfRule>
  </conditionalFormatting>
  <conditionalFormatting sqref="S8:S24">
    <cfRule type="cellIs" dxfId="384" priority="49" operator="between">
      <formula>$S$3</formula>
      <formula>$S$4</formula>
    </cfRule>
    <cfRule type="cellIs" dxfId="383" priority="36" operator="lessThanOrEqual">
      <formula>$S$2</formula>
    </cfRule>
    <cfRule type="cellIs" dxfId="382" priority="62" operator="greaterThanOrEqual">
      <formula>$S$4</formula>
    </cfRule>
  </conditionalFormatting>
  <conditionalFormatting sqref="T8:T24">
    <cfRule type="cellIs" dxfId="381" priority="37" operator="lessThanOrEqual">
      <formula>$T$2</formula>
    </cfRule>
    <cfRule type="cellIs" dxfId="380" priority="50" operator="between">
      <formula>$T$3</formula>
      <formula>$T$4</formula>
    </cfRule>
    <cfRule type="cellIs" dxfId="379" priority="63" operator="greaterThanOrEqual">
      <formula>$T$4</formula>
    </cfRule>
  </conditionalFormatting>
  <conditionalFormatting sqref="U8:U24">
    <cfRule type="cellIs" dxfId="378" priority="38" operator="lessThanOrEqual">
      <formula>$U$2</formula>
    </cfRule>
    <cfRule type="cellIs" dxfId="377" priority="51" operator="between">
      <formula>$U$3</formula>
      <formula>$U$4</formula>
    </cfRule>
    <cfRule type="cellIs" dxfId="376" priority="64" operator="greaterThanOrEqual">
      <formula>$U$4</formula>
    </cfRule>
  </conditionalFormatting>
  <conditionalFormatting sqref="V8:V24">
    <cfRule type="cellIs" dxfId="375" priority="39" operator="lessThanOrEqual">
      <formula>$V$2</formula>
    </cfRule>
    <cfRule type="cellIs" dxfId="374" priority="52" operator="between">
      <formula>$V$3</formula>
      <formula>$V$4</formula>
    </cfRule>
    <cfRule type="cellIs" dxfId="373" priority="65" operator="greaterThanOrEqual">
      <formula>$V$4</formula>
    </cfRule>
  </conditionalFormatting>
  <conditionalFormatting sqref="W8:W24">
    <cfRule type="cellIs" dxfId="372" priority="40" operator="lessThanOrEqual">
      <formula>$W$2</formula>
    </cfRule>
    <cfRule type="cellIs" dxfId="371" priority="53" operator="between">
      <formula>$W$3</formula>
      <formula>$W$4</formula>
    </cfRule>
    <cfRule type="cellIs" dxfId="370" priority="66" operator="greaterThanOrEqual">
      <formula>$W$4</formula>
    </cfRule>
  </conditionalFormatting>
  <conditionalFormatting sqref="X8:X24">
    <cfRule type="cellIs" dxfId="369" priority="54" operator="between">
      <formula>$X$3</formula>
      <formula>$X$4</formula>
    </cfRule>
    <cfRule type="cellIs" dxfId="368" priority="41" operator="lessThanOrEqual">
      <formula>$X$2</formula>
    </cfRule>
    <cfRule type="cellIs" dxfId="367" priority="67" operator="greaterThanOrEqual">
      <formula>$X$4</formula>
    </cfRule>
  </conditionalFormatting>
  <conditionalFormatting sqref="Y8:Y24">
    <cfRule type="cellIs" dxfId="366" priority="42" operator="lessThanOrEqual">
      <formula>$Y$2</formula>
    </cfRule>
    <cfRule type="cellIs" dxfId="365" priority="55" operator="between">
      <formula>$Y$3</formula>
      <formula>$Y$4</formula>
    </cfRule>
    <cfRule type="cellIs" dxfId="364" priority="68" operator="greaterThanOrEqual">
      <formula>$Y$4</formula>
    </cfRule>
  </conditionalFormatting>
  <conditionalFormatting sqref="Z8:Z24">
    <cfRule type="cellIs" dxfId="363" priority="56" operator="between">
      <formula>$Z$3</formula>
      <formula>$Z$4</formula>
    </cfRule>
    <cfRule type="cellIs" dxfId="362" priority="43" operator="lessThanOrEqual">
      <formula>$Z$2</formula>
    </cfRule>
    <cfRule type="cellIs" dxfId="361" priority="69" operator="greaterThanOrEqual">
      <formula>$Z$4</formula>
    </cfRule>
  </conditionalFormatting>
  <conditionalFormatting sqref="AA8:AA24">
    <cfRule type="cellIs" dxfId="360" priority="57" operator="between">
      <formula>$AA$3</formula>
      <formula>$AA$4</formula>
    </cfRule>
    <cfRule type="cellIs" dxfId="359" priority="44" operator="lessThanOrEqual">
      <formula>$AA$2</formula>
    </cfRule>
    <cfRule type="cellIs" dxfId="358" priority="70" operator="greaterThanOrEqual">
      <formula>$AA$4</formula>
    </cfRule>
  </conditionalFormatting>
  <conditionalFormatting sqref="AB8:AB24">
    <cfRule type="cellIs" dxfId="357" priority="45" operator="lessThanOrEqual">
      <formula>$AB$2</formula>
    </cfRule>
    <cfRule type="cellIs" dxfId="356" priority="58" operator="between">
      <formula>$AB$3</formula>
      <formula>$AB$4</formula>
    </cfRule>
    <cfRule type="cellIs" dxfId="355" priority="71" operator="greaterThanOrEqual">
      <formula>$AB$4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1000"/>
  <sheetViews>
    <sheetView workbookViewId="0">
      <selection activeCell="A46" sqref="A46:A62"/>
    </sheetView>
  </sheetViews>
  <sheetFormatPr defaultColWidth="12.61328125" defaultRowHeight="15" customHeight="1" x14ac:dyDescent="0.3"/>
  <cols>
    <col min="1" max="1" width="10.4609375" customWidth="1"/>
    <col min="2" max="2" width="2.3828125" customWidth="1"/>
    <col min="3" max="3" width="10.4609375" customWidth="1"/>
    <col min="4" max="4" width="12.61328125" customWidth="1"/>
    <col min="5" max="5" width="2.3828125" customWidth="1"/>
    <col min="6" max="6" width="10.4609375" customWidth="1"/>
    <col min="9" max="10" width="14.61328125" customWidth="1"/>
  </cols>
  <sheetData>
    <row r="1" spans="1:28" ht="15.75" customHeight="1" x14ac:dyDescent="0.3">
      <c r="A1" s="1"/>
      <c r="B1" s="2"/>
      <c r="C1" s="32" t="s">
        <v>0</v>
      </c>
      <c r="D1" s="30"/>
      <c r="E1" s="2"/>
      <c r="F1" s="3"/>
      <c r="G1" s="32" t="s">
        <v>1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ht="15.75" customHeight="1" x14ac:dyDescent="0.3">
      <c r="A2" s="33" t="s">
        <v>2</v>
      </c>
      <c r="B2" s="2"/>
      <c r="C2" s="4" t="s">
        <v>3</v>
      </c>
      <c r="D2" s="5">
        <f>D3/12</f>
        <v>1.893939393939394E-2</v>
      </c>
      <c r="E2" s="2"/>
      <c r="F2" s="4" t="s">
        <v>3</v>
      </c>
      <c r="G2" s="5">
        <f t="shared" ref="G2:AB2" si="0">G3/12</f>
        <v>1.5151515151515149</v>
      </c>
      <c r="H2" s="5">
        <f t="shared" si="0"/>
        <v>1.4204545454545452</v>
      </c>
      <c r="I2" s="5">
        <f t="shared" si="0"/>
        <v>1.6098484848484846</v>
      </c>
      <c r="J2" s="5">
        <f t="shared" si="0"/>
        <v>1.6098484848484846</v>
      </c>
      <c r="K2" s="5">
        <f t="shared" si="0"/>
        <v>1.5151515151515149</v>
      </c>
      <c r="L2" s="5">
        <f t="shared" si="0"/>
        <v>1.7045454545454544</v>
      </c>
      <c r="M2" s="5">
        <f t="shared" si="0"/>
        <v>2.8409090909090904</v>
      </c>
      <c r="N2" s="5">
        <f t="shared" si="0"/>
        <v>1.8939393939393938</v>
      </c>
      <c r="O2" s="5">
        <f t="shared" si="0"/>
        <v>1.7045454545454544</v>
      </c>
      <c r="P2" s="5">
        <f t="shared" si="0"/>
        <v>1.8560606060606057</v>
      </c>
      <c r="Q2" s="5">
        <f t="shared" si="0"/>
        <v>1.4204545454545452</v>
      </c>
      <c r="R2" s="5">
        <f t="shared" si="0"/>
        <v>1.893939393939394E-2</v>
      </c>
      <c r="S2" s="5">
        <f t="shared" si="0"/>
        <v>1.893939393939394E-2</v>
      </c>
      <c r="T2" s="5">
        <f t="shared" si="0"/>
        <v>1.893939393939394E-2</v>
      </c>
      <c r="U2" s="5">
        <f t="shared" si="0"/>
        <v>1.893939393939394E-2</v>
      </c>
      <c r="V2" s="5">
        <f t="shared" si="0"/>
        <v>1.893939393939394E-2</v>
      </c>
      <c r="W2" s="5">
        <f t="shared" si="0"/>
        <v>1.893939393939394E-2</v>
      </c>
      <c r="X2" s="5">
        <f t="shared" si="0"/>
        <v>1.893939393939394E-2</v>
      </c>
      <c r="Y2" s="5">
        <f t="shared" si="0"/>
        <v>1.893939393939394E-2</v>
      </c>
      <c r="Z2" s="5">
        <f t="shared" si="0"/>
        <v>1.893939393939394E-2</v>
      </c>
      <c r="AA2" s="5">
        <f t="shared" si="0"/>
        <v>1.893939393939394E-2</v>
      </c>
      <c r="AB2" s="5">
        <f t="shared" si="0"/>
        <v>1.893939393939394E-2</v>
      </c>
    </row>
    <row r="3" spans="1:28" ht="15.75" customHeight="1" x14ac:dyDescent="0.3">
      <c r="A3" s="30"/>
      <c r="B3" s="2"/>
      <c r="C3" s="4" t="s">
        <v>4</v>
      </c>
      <c r="D3" s="5">
        <f>D4/4.4</f>
        <v>0.22727272727272727</v>
      </c>
      <c r="E3" s="2"/>
      <c r="F3" s="4" t="s">
        <v>4</v>
      </c>
      <c r="G3" s="5">
        <f t="shared" ref="G3:AB3" si="1">G4/4.4</f>
        <v>18.18181818181818</v>
      </c>
      <c r="H3" s="5">
        <f t="shared" si="1"/>
        <v>17.045454545454543</v>
      </c>
      <c r="I3" s="5">
        <f t="shared" si="1"/>
        <v>19.318181818181817</v>
      </c>
      <c r="J3" s="5">
        <f t="shared" si="1"/>
        <v>19.318181818181817</v>
      </c>
      <c r="K3" s="5">
        <f t="shared" si="1"/>
        <v>18.18181818181818</v>
      </c>
      <c r="L3" s="5">
        <f t="shared" si="1"/>
        <v>20.454545454545453</v>
      </c>
      <c r="M3" s="5">
        <f t="shared" si="1"/>
        <v>34.090909090909086</v>
      </c>
      <c r="N3" s="5">
        <f t="shared" si="1"/>
        <v>22.727272727272727</v>
      </c>
      <c r="O3" s="5">
        <f t="shared" si="1"/>
        <v>20.454545454545453</v>
      </c>
      <c r="P3" s="5">
        <f t="shared" si="1"/>
        <v>22.27272727272727</v>
      </c>
      <c r="Q3" s="5">
        <f t="shared" si="1"/>
        <v>17.045454545454543</v>
      </c>
      <c r="R3" s="5">
        <f t="shared" si="1"/>
        <v>0.22727272727272727</v>
      </c>
      <c r="S3" s="5">
        <f t="shared" si="1"/>
        <v>0.22727272727272727</v>
      </c>
      <c r="T3" s="5">
        <f t="shared" si="1"/>
        <v>0.22727272727272727</v>
      </c>
      <c r="U3" s="5">
        <f t="shared" si="1"/>
        <v>0.22727272727272727</v>
      </c>
      <c r="V3" s="5">
        <f t="shared" si="1"/>
        <v>0.22727272727272727</v>
      </c>
      <c r="W3" s="5">
        <f t="shared" si="1"/>
        <v>0.22727272727272727</v>
      </c>
      <c r="X3" s="5">
        <f t="shared" si="1"/>
        <v>0.22727272727272727</v>
      </c>
      <c r="Y3" s="5">
        <f t="shared" si="1"/>
        <v>0.22727272727272727</v>
      </c>
      <c r="Z3" s="5">
        <f t="shared" si="1"/>
        <v>0.22727272727272727</v>
      </c>
      <c r="AA3" s="5">
        <f t="shared" si="1"/>
        <v>0.22727272727272727</v>
      </c>
      <c r="AB3" s="5">
        <f t="shared" si="1"/>
        <v>0.22727272727272727</v>
      </c>
    </row>
    <row r="4" spans="1:28" ht="15.75" customHeight="1" x14ac:dyDescent="0.3">
      <c r="A4" s="30"/>
      <c r="B4" s="2"/>
      <c r="C4" s="4" t="s">
        <v>5</v>
      </c>
      <c r="D4" s="6">
        <v>1</v>
      </c>
      <c r="E4" s="2"/>
      <c r="F4" s="4" t="s">
        <v>5</v>
      </c>
      <c r="G4" s="25">
        <v>80</v>
      </c>
      <c r="H4" s="26">
        <v>75</v>
      </c>
      <c r="I4" s="26">
        <v>85</v>
      </c>
      <c r="J4" s="26">
        <v>85</v>
      </c>
      <c r="K4" s="25">
        <v>80</v>
      </c>
      <c r="L4" s="26">
        <v>90</v>
      </c>
      <c r="M4" s="26">
        <v>150</v>
      </c>
      <c r="N4" s="26">
        <v>100</v>
      </c>
      <c r="O4" s="25">
        <v>90</v>
      </c>
      <c r="P4" s="26">
        <v>98</v>
      </c>
      <c r="Q4" s="26">
        <v>75</v>
      </c>
      <c r="R4" s="25">
        <v>1</v>
      </c>
      <c r="S4" s="26">
        <v>1</v>
      </c>
      <c r="T4" s="26">
        <v>1</v>
      </c>
      <c r="U4" s="26">
        <v>1</v>
      </c>
      <c r="V4" s="25">
        <v>1</v>
      </c>
      <c r="W4" s="26">
        <v>1</v>
      </c>
      <c r="X4" s="25">
        <v>1</v>
      </c>
      <c r="Y4" s="25">
        <v>1</v>
      </c>
      <c r="Z4" s="26">
        <v>1</v>
      </c>
      <c r="AA4" s="26">
        <v>1</v>
      </c>
      <c r="AB4" s="26">
        <v>1</v>
      </c>
    </row>
    <row r="5" spans="1:28" ht="25.5" customHeight="1" x14ac:dyDescent="0.3">
      <c r="A5" s="30"/>
      <c r="B5" s="2"/>
      <c r="C5" s="7" t="s">
        <v>6</v>
      </c>
      <c r="D5" s="8">
        <v>1</v>
      </c>
      <c r="E5" s="2"/>
      <c r="F5" s="7" t="s">
        <v>6</v>
      </c>
      <c r="G5" s="27">
        <v>17</v>
      </c>
      <c r="H5" s="28">
        <v>5</v>
      </c>
      <c r="I5" s="28">
        <v>8</v>
      </c>
      <c r="J5" s="28">
        <v>8</v>
      </c>
      <c r="K5" s="27">
        <v>15</v>
      </c>
      <c r="L5" s="28">
        <v>5</v>
      </c>
      <c r="M5" s="28">
        <v>80</v>
      </c>
      <c r="N5" s="28">
        <v>4</v>
      </c>
      <c r="O5" s="27">
        <v>15</v>
      </c>
      <c r="P5" s="28">
        <v>16</v>
      </c>
      <c r="Q5" s="28">
        <v>23</v>
      </c>
      <c r="R5" s="27">
        <v>1</v>
      </c>
      <c r="S5" s="28">
        <v>1</v>
      </c>
      <c r="T5" s="28">
        <v>1</v>
      </c>
      <c r="U5" s="28">
        <v>1</v>
      </c>
      <c r="V5" s="27">
        <v>1</v>
      </c>
      <c r="W5" s="28">
        <v>1</v>
      </c>
      <c r="X5" s="27">
        <v>1</v>
      </c>
      <c r="Y5" s="27">
        <v>1</v>
      </c>
      <c r="Z5" s="28">
        <v>1</v>
      </c>
      <c r="AA5" s="28">
        <v>1</v>
      </c>
      <c r="AB5" s="28">
        <v>1</v>
      </c>
    </row>
    <row r="6" spans="1:28" ht="15.75" customHeight="1" x14ac:dyDescent="0.3">
      <c r="A6" s="3"/>
      <c r="B6" s="2"/>
      <c r="C6" s="29"/>
      <c r="D6" s="30"/>
      <c r="E6" s="2"/>
      <c r="F6" s="3"/>
      <c r="G6" s="31" t="s">
        <v>7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spans="1:28" ht="15.75" customHeight="1" x14ac:dyDescent="0.3">
      <c r="A7" s="9" t="s">
        <v>8</v>
      </c>
      <c r="B7" s="2"/>
      <c r="C7" s="10" t="s">
        <v>9</v>
      </c>
      <c r="D7" s="10" t="s">
        <v>10</v>
      </c>
      <c r="E7" s="2"/>
      <c r="F7" s="10" t="s">
        <v>9</v>
      </c>
      <c r="G7" s="10" t="s">
        <v>64</v>
      </c>
      <c r="H7" s="10" t="s">
        <v>65</v>
      </c>
      <c r="I7" s="10" t="s">
        <v>66</v>
      </c>
      <c r="J7" s="10" t="s">
        <v>67</v>
      </c>
      <c r="K7" s="10" t="s">
        <v>68</v>
      </c>
      <c r="L7" s="10" t="s">
        <v>69</v>
      </c>
      <c r="M7" s="10" t="s">
        <v>70</v>
      </c>
      <c r="N7" s="10" t="s">
        <v>71</v>
      </c>
      <c r="O7" s="10" t="s">
        <v>72</v>
      </c>
      <c r="P7" s="11" t="s">
        <v>73</v>
      </c>
      <c r="Q7" s="11" t="s">
        <v>74</v>
      </c>
      <c r="R7" s="11" t="s">
        <v>75</v>
      </c>
      <c r="S7" s="11" t="s">
        <v>76</v>
      </c>
      <c r="T7" s="11" t="s">
        <v>77</v>
      </c>
      <c r="U7" s="11"/>
      <c r="V7" s="11"/>
      <c r="W7" s="11"/>
      <c r="X7" s="11"/>
      <c r="Y7" s="11"/>
      <c r="Z7" s="11"/>
      <c r="AA7" s="11"/>
      <c r="AB7" s="11"/>
    </row>
    <row r="8" spans="1:28" ht="15.75" customHeight="1" x14ac:dyDescent="0.3">
      <c r="A8" s="12">
        <f>RAW!$A$6</f>
        <v>400</v>
      </c>
      <c r="B8" s="2"/>
      <c r="C8" s="13" t="s">
        <v>19</v>
      </c>
      <c r="D8" s="14">
        <f t="shared" ref="D8:D24" si="2">($A8/D$5)/365</f>
        <v>1.095890410958904</v>
      </c>
      <c r="E8" s="2"/>
      <c r="F8" s="13" t="s">
        <v>19</v>
      </c>
      <c r="G8" s="14">
        <f t="shared" ref="G8:AB8" si="3">($A8/G$5)/365</f>
        <v>6.4464141821112014E-2</v>
      </c>
      <c r="H8" s="14">
        <f t="shared" si="3"/>
        <v>0.21917808219178081</v>
      </c>
      <c r="I8" s="14">
        <f t="shared" si="3"/>
        <v>0.13698630136986301</v>
      </c>
      <c r="J8" s="14">
        <f t="shared" si="3"/>
        <v>0.13698630136986301</v>
      </c>
      <c r="K8" s="14">
        <f t="shared" si="3"/>
        <v>7.3059360730593617E-2</v>
      </c>
      <c r="L8" s="14">
        <f t="shared" si="3"/>
        <v>0.21917808219178081</v>
      </c>
      <c r="M8" s="14">
        <f t="shared" si="3"/>
        <v>1.3698630136986301E-2</v>
      </c>
      <c r="N8" s="14">
        <f t="shared" si="3"/>
        <v>0.27397260273972601</v>
      </c>
      <c r="O8" s="15">
        <f t="shared" si="3"/>
        <v>7.3059360730593617E-2</v>
      </c>
      <c r="P8" s="16">
        <f t="shared" si="3"/>
        <v>6.8493150684931503E-2</v>
      </c>
      <c r="Q8" s="16">
        <f t="shared" si="3"/>
        <v>4.7647409172126266E-2</v>
      </c>
      <c r="R8" s="16">
        <f t="shared" si="3"/>
        <v>1.095890410958904</v>
      </c>
      <c r="S8" s="16">
        <f t="shared" si="3"/>
        <v>1.095890410958904</v>
      </c>
      <c r="T8" s="16">
        <f t="shared" si="3"/>
        <v>1.095890410958904</v>
      </c>
      <c r="U8" s="16">
        <f t="shared" si="3"/>
        <v>1.095890410958904</v>
      </c>
      <c r="V8" s="16">
        <f t="shared" si="3"/>
        <v>1.095890410958904</v>
      </c>
      <c r="W8" s="16">
        <f t="shared" si="3"/>
        <v>1.095890410958904</v>
      </c>
      <c r="X8" s="16">
        <f t="shared" si="3"/>
        <v>1.095890410958904</v>
      </c>
      <c r="Y8" s="16">
        <f t="shared" si="3"/>
        <v>1.095890410958904</v>
      </c>
      <c r="Z8" s="16">
        <f t="shared" si="3"/>
        <v>1.095890410958904</v>
      </c>
      <c r="AA8" s="16">
        <f t="shared" si="3"/>
        <v>1.095890410958904</v>
      </c>
      <c r="AB8" s="16">
        <f t="shared" si="3"/>
        <v>1.095890410958904</v>
      </c>
    </row>
    <row r="9" spans="1:28" ht="15.75" customHeight="1" x14ac:dyDescent="0.3">
      <c r="A9" s="12">
        <f>RAW!$A$7</f>
        <v>1200</v>
      </c>
      <c r="B9" s="2"/>
      <c r="C9" s="17" t="s">
        <v>20</v>
      </c>
      <c r="D9" s="14">
        <f t="shared" si="2"/>
        <v>3.2876712328767121</v>
      </c>
      <c r="E9" s="2"/>
      <c r="F9" s="17" t="s">
        <v>20</v>
      </c>
      <c r="G9" s="14">
        <f t="shared" ref="G9:AB9" si="4">($A9/G$5)/365</f>
        <v>0.19339242546333604</v>
      </c>
      <c r="H9" s="14">
        <f t="shared" si="4"/>
        <v>0.65753424657534243</v>
      </c>
      <c r="I9" s="14">
        <f t="shared" si="4"/>
        <v>0.41095890410958902</v>
      </c>
      <c r="J9" s="14">
        <f t="shared" si="4"/>
        <v>0.41095890410958902</v>
      </c>
      <c r="K9" s="14">
        <f t="shared" si="4"/>
        <v>0.21917808219178081</v>
      </c>
      <c r="L9" s="14">
        <f t="shared" si="4"/>
        <v>0.65753424657534243</v>
      </c>
      <c r="M9" s="14">
        <f t="shared" si="4"/>
        <v>4.1095890410958902E-2</v>
      </c>
      <c r="N9" s="14">
        <f t="shared" si="4"/>
        <v>0.82191780821917804</v>
      </c>
      <c r="O9" s="15">
        <f t="shared" si="4"/>
        <v>0.21917808219178081</v>
      </c>
      <c r="P9" s="16">
        <f t="shared" si="4"/>
        <v>0.20547945205479451</v>
      </c>
      <c r="Q9" s="16">
        <f t="shared" si="4"/>
        <v>0.14294222751637878</v>
      </c>
      <c r="R9" s="16">
        <f t="shared" si="4"/>
        <v>3.2876712328767121</v>
      </c>
      <c r="S9" s="16">
        <f t="shared" si="4"/>
        <v>3.2876712328767121</v>
      </c>
      <c r="T9" s="16">
        <f t="shared" si="4"/>
        <v>3.2876712328767121</v>
      </c>
      <c r="U9" s="16">
        <f t="shared" si="4"/>
        <v>3.2876712328767121</v>
      </c>
      <c r="V9" s="16">
        <f t="shared" si="4"/>
        <v>3.2876712328767121</v>
      </c>
      <c r="W9" s="16">
        <f t="shared" si="4"/>
        <v>3.2876712328767121</v>
      </c>
      <c r="X9" s="16">
        <f t="shared" si="4"/>
        <v>3.2876712328767121</v>
      </c>
      <c r="Y9" s="16">
        <f t="shared" si="4"/>
        <v>3.2876712328767121</v>
      </c>
      <c r="Z9" s="16">
        <f t="shared" si="4"/>
        <v>3.2876712328767121</v>
      </c>
      <c r="AA9" s="16">
        <f t="shared" si="4"/>
        <v>3.2876712328767121</v>
      </c>
      <c r="AB9" s="16">
        <f t="shared" si="4"/>
        <v>3.2876712328767121</v>
      </c>
    </row>
    <row r="10" spans="1:28" ht="15.75" customHeight="1" x14ac:dyDescent="0.3">
      <c r="A10" s="12">
        <f>RAW!$A$8</f>
        <v>2800</v>
      </c>
      <c r="B10" s="2"/>
      <c r="C10" s="17" t="s">
        <v>21</v>
      </c>
      <c r="D10" s="14">
        <f t="shared" si="2"/>
        <v>7.6712328767123283</v>
      </c>
      <c r="E10" s="2"/>
      <c r="F10" s="17" t="s">
        <v>21</v>
      </c>
      <c r="G10" s="14">
        <f t="shared" ref="G10:AB10" si="5">($A10/G$5)/365</f>
        <v>0.45124899274778407</v>
      </c>
      <c r="H10" s="14">
        <f t="shared" si="5"/>
        <v>1.5342465753424657</v>
      </c>
      <c r="I10" s="14">
        <f t="shared" si="5"/>
        <v>0.95890410958904104</v>
      </c>
      <c r="J10" s="14">
        <f t="shared" si="5"/>
        <v>0.95890410958904104</v>
      </c>
      <c r="K10" s="14">
        <f t="shared" si="5"/>
        <v>0.51141552511415522</v>
      </c>
      <c r="L10" s="14">
        <f t="shared" si="5"/>
        <v>1.5342465753424657</v>
      </c>
      <c r="M10" s="14">
        <f t="shared" si="5"/>
        <v>9.5890410958904104E-2</v>
      </c>
      <c r="N10" s="14">
        <f t="shared" si="5"/>
        <v>1.9178082191780821</v>
      </c>
      <c r="O10" s="15">
        <f t="shared" si="5"/>
        <v>0.51141552511415522</v>
      </c>
      <c r="P10" s="16">
        <f t="shared" si="5"/>
        <v>0.47945205479452052</v>
      </c>
      <c r="Q10" s="16">
        <f t="shared" si="5"/>
        <v>0.33353186420488384</v>
      </c>
      <c r="R10" s="16">
        <f t="shared" si="5"/>
        <v>7.6712328767123283</v>
      </c>
      <c r="S10" s="16">
        <f t="shared" si="5"/>
        <v>7.6712328767123283</v>
      </c>
      <c r="T10" s="16">
        <f t="shared" si="5"/>
        <v>7.6712328767123283</v>
      </c>
      <c r="U10" s="16">
        <f t="shared" si="5"/>
        <v>7.6712328767123283</v>
      </c>
      <c r="V10" s="16">
        <f t="shared" si="5"/>
        <v>7.6712328767123283</v>
      </c>
      <c r="W10" s="16">
        <f t="shared" si="5"/>
        <v>7.6712328767123283</v>
      </c>
      <c r="X10" s="16">
        <f t="shared" si="5"/>
        <v>7.6712328767123283</v>
      </c>
      <c r="Y10" s="16">
        <f t="shared" si="5"/>
        <v>7.6712328767123283</v>
      </c>
      <c r="Z10" s="16">
        <f t="shared" si="5"/>
        <v>7.6712328767123283</v>
      </c>
      <c r="AA10" s="16">
        <f t="shared" si="5"/>
        <v>7.6712328767123283</v>
      </c>
      <c r="AB10" s="16">
        <f t="shared" si="5"/>
        <v>7.6712328767123283</v>
      </c>
    </row>
    <row r="11" spans="1:28" ht="15.75" customHeight="1" x14ac:dyDescent="0.3">
      <c r="A11" s="12">
        <f>RAW!$A$9</f>
        <v>6000</v>
      </c>
      <c r="B11" s="2"/>
      <c r="C11" s="17" t="s">
        <v>22</v>
      </c>
      <c r="D11" s="14">
        <f t="shared" si="2"/>
        <v>16.438356164383563</v>
      </c>
      <c r="E11" s="2"/>
      <c r="F11" s="17" t="s">
        <v>22</v>
      </c>
      <c r="G11" s="14">
        <f t="shared" ref="G11:AB11" si="6">($A11/G$5)/365</f>
        <v>0.96696212731668008</v>
      </c>
      <c r="H11" s="14">
        <f t="shared" si="6"/>
        <v>3.2876712328767121</v>
      </c>
      <c r="I11" s="14">
        <f t="shared" si="6"/>
        <v>2.0547945205479454</v>
      </c>
      <c r="J11" s="14">
        <f t="shared" si="6"/>
        <v>2.0547945205479454</v>
      </c>
      <c r="K11" s="14">
        <f t="shared" si="6"/>
        <v>1.095890410958904</v>
      </c>
      <c r="L11" s="14">
        <f t="shared" si="6"/>
        <v>3.2876712328767121</v>
      </c>
      <c r="M11" s="14">
        <f t="shared" si="6"/>
        <v>0.20547945205479451</v>
      </c>
      <c r="N11" s="14">
        <f t="shared" si="6"/>
        <v>4.1095890410958908</v>
      </c>
      <c r="O11" s="15">
        <f t="shared" si="6"/>
        <v>1.095890410958904</v>
      </c>
      <c r="P11" s="16">
        <f t="shared" si="6"/>
        <v>1.0273972602739727</v>
      </c>
      <c r="Q11" s="16">
        <f t="shared" si="6"/>
        <v>0.71471113758189397</v>
      </c>
      <c r="R11" s="16">
        <f t="shared" si="6"/>
        <v>16.438356164383563</v>
      </c>
      <c r="S11" s="16">
        <f t="shared" si="6"/>
        <v>16.438356164383563</v>
      </c>
      <c r="T11" s="16">
        <f t="shared" si="6"/>
        <v>16.438356164383563</v>
      </c>
      <c r="U11" s="16">
        <f t="shared" si="6"/>
        <v>16.438356164383563</v>
      </c>
      <c r="V11" s="16">
        <f t="shared" si="6"/>
        <v>16.438356164383563</v>
      </c>
      <c r="W11" s="16">
        <f t="shared" si="6"/>
        <v>16.438356164383563</v>
      </c>
      <c r="X11" s="16">
        <f t="shared" si="6"/>
        <v>16.438356164383563</v>
      </c>
      <c r="Y11" s="16">
        <f t="shared" si="6"/>
        <v>16.438356164383563</v>
      </c>
      <c r="Z11" s="16">
        <f t="shared" si="6"/>
        <v>16.438356164383563</v>
      </c>
      <c r="AA11" s="16">
        <f t="shared" si="6"/>
        <v>16.438356164383563</v>
      </c>
      <c r="AB11" s="16">
        <f t="shared" si="6"/>
        <v>16.438356164383563</v>
      </c>
    </row>
    <row r="12" spans="1:28" ht="15.75" customHeight="1" x14ac:dyDescent="0.3">
      <c r="A12" s="12">
        <f>RAW!$A$10</f>
        <v>12400</v>
      </c>
      <c r="B12" s="2"/>
      <c r="C12" s="17" t="s">
        <v>23</v>
      </c>
      <c r="D12" s="14">
        <f t="shared" si="2"/>
        <v>33.972602739726028</v>
      </c>
      <c r="E12" s="2"/>
      <c r="F12" s="17" t="s">
        <v>23</v>
      </c>
      <c r="G12" s="14">
        <f t="shared" ref="G12:AB12" si="7">($A12/G$5)/365</f>
        <v>1.9983883964544722</v>
      </c>
      <c r="H12" s="14">
        <f t="shared" si="7"/>
        <v>6.7945205479452051</v>
      </c>
      <c r="I12" s="14">
        <f t="shared" si="7"/>
        <v>4.2465753424657535</v>
      </c>
      <c r="J12" s="14">
        <f t="shared" si="7"/>
        <v>4.2465753424657535</v>
      </c>
      <c r="K12" s="14">
        <f t="shared" si="7"/>
        <v>2.2648401826484017</v>
      </c>
      <c r="L12" s="14">
        <f t="shared" si="7"/>
        <v>6.7945205479452051</v>
      </c>
      <c r="M12" s="14">
        <f t="shared" si="7"/>
        <v>0.42465753424657532</v>
      </c>
      <c r="N12" s="14">
        <f t="shared" si="7"/>
        <v>8.493150684931507</v>
      </c>
      <c r="O12" s="15">
        <f t="shared" si="7"/>
        <v>2.2648401826484017</v>
      </c>
      <c r="P12" s="16">
        <f t="shared" si="7"/>
        <v>2.1232876712328768</v>
      </c>
      <c r="Q12" s="16">
        <f t="shared" si="7"/>
        <v>1.4770696843359143</v>
      </c>
      <c r="R12" s="16">
        <f t="shared" si="7"/>
        <v>33.972602739726028</v>
      </c>
      <c r="S12" s="16">
        <f t="shared" si="7"/>
        <v>33.972602739726028</v>
      </c>
      <c r="T12" s="16">
        <f t="shared" si="7"/>
        <v>33.972602739726028</v>
      </c>
      <c r="U12" s="16">
        <f t="shared" si="7"/>
        <v>33.972602739726028</v>
      </c>
      <c r="V12" s="16">
        <f t="shared" si="7"/>
        <v>33.972602739726028</v>
      </c>
      <c r="W12" s="16">
        <f t="shared" si="7"/>
        <v>33.972602739726028</v>
      </c>
      <c r="X12" s="16">
        <f t="shared" si="7"/>
        <v>33.972602739726028</v>
      </c>
      <c r="Y12" s="16">
        <f t="shared" si="7"/>
        <v>33.972602739726028</v>
      </c>
      <c r="Z12" s="16">
        <f t="shared" si="7"/>
        <v>33.972602739726028</v>
      </c>
      <c r="AA12" s="16">
        <f t="shared" si="7"/>
        <v>33.972602739726028</v>
      </c>
      <c r="AB12" s="16">
        <f t="shared" si="7"/>
        <v>33.972602739726028</v>
      </c>
    </row>
    <row r="13" spans="1:28" ht="15.75" customHeight="1" x14ac:dyDescent="0.3">
      <c r="A13" s="12">
        <f>RAW!$A$11</f>
        <v>25200</v>
      </c>
      <c r="B13" s="2"/>
      <c r="C13" s="17" t="s">
        <v>24</v>
      </c>
      <c r="D13" s="14">
        <f t="shared" si="2"/>
        <v>69.041095890410958</v>
      </c>
      <c r="E13" s="2"/>
      <c r="F13" s="17" t="s">
        <v>24</v>
      </c>
      <c r="G13" s="14">
        <f t="shared" ref="G13:AB13" si="8">($A13/G$5)/365</f>
        <v>4.0612409347300558</v>
      </c>
      <c r="H13" s="14">
        <f t="shared" si="8"/>
        <v>13.808219178082192</v>
      </c>
      <c r="I13" s="14">
        <f t="shared" si="8"/>
        <v>8.6301369863013697</v>
      </c>
      <c r="J13" s="14">
        <f t="shared" si="8"/>
        <v>8.6301369863013697</v>
      </c>
      <c r="K13" s="14">
        <f t="shared" si="8"/>
        <v>4.602739726027397</v>
      </c>
      <c r="L13" s="14">
        <f t="shared" si="8"/>
        <v>13.808219178082192</v>
      </c>
      <c r="M13" s="14">
        <f t="shared" si="8"/>
        <v>0.86301369863013699</v>
      </c>
      <c r="N13" s="14">
        <f t="shared" si="8"/>
        <v>17.260273972602739</v>
      </c>
      <c r="O13" s="15">
        <f t="shared" si="8"/>
        <v>4.602739726027397</v>
      </c>
      <c r="P13" s="16">
        <f t="shared" si="8"/>
        <v>4.3150684931506849</v>
      </c>
      <c r="Q13" s="16">
        <f t="shared" si="8"/>
        <v>3.0017867778439546</v>
      </c>
      <c r="R13" s="16">
        <f t="shared" si="8"/>
        <v>69.041095890410958</v>
      </c>
      <c r="S13" s="16">
        <f t="shared" si="8"/>
        <v>69.041095890410958</v>
      </c>
      <c r="T13" s="16">
        <f t="shared" si="8"/>
        <v>69.041095890410958</v>
      </c>
      <c r="U13" s="16">
        <f t="shared" si="8"/>
        <v>69.041095890410958</v>
      </c>
      <c r="V13" s="16">
        <f t="shared" si="8"/>
        <v>69.041095890410958</v>
      </c>
      <c r="W13" s="16">
        <f t="shared" si="8"/>
        <v>69.041095890410958</v>
      </c>
      <c r="X13" s="16">
        <f t="shared" si="8"/>
        <v>69.041095890410958</v>
      </c>
      <c r="Y13" s="16">
        <f t="shared" si="8"/>
        <v>69.041095890410958</v>
      </c>
      <c r="Z13" s="16">
        <f t="shared" si="8"/>
        <v>69.041095890410958</v>
      </c>
      <c r="AA13" s="16">
        <f t="shared" si="8"/>
        <v>69.041095890410958</v>
      </c>
      <c r="AB13" s="16">
        <f t="shared" si="8"/>
        <v>69.041095890410958</v>
      </c>
    </row>
    <row r="14" spans="1:28" ht="15.75" customHeight="1" x14ac:dyDescent="0.3">
      <c r="A14" s="12">
        <f>RAW!$A$12</f>
        <v>50800</v>
      </c>
      <c r="B14" s="2"/>
      <c r="C14" s="17" t="s">
        <v>25</v>
      </c>
      <c r="D14" s="14">
        <f t="shared" si="2"/>
        <v>139.17808219178082</v>
      </c>
      <c r="E14" s="2"/>
      <c r="F14" s="17" t="s">
        <v>25</v>
      </c>
      <c r="G14" s="14">
        <f t="shared" ref="G14:AB14" si="9">($A14/G$5)/365</f>
        <v>8.1869460112812238</v>
      </c>
      <c r="H14" s="14">
        <f t="shared" si="9"/>
        <v>27.835616438356166</v>
      </c>
      <c r="I14" s="14">
        <f t="shared" si="9"/>
        <v>17.397260273972602</v>
      </c>
      <c r="J14" s="14">
        <f t="shared" si="9"/>
        <v>17.397260273972602</v>
      </c>
      <c r="K14" s="14">
        <f t="shared" si="9"/>
        <v>9.2785388127853885</v>
      </c>
      <c r="L14" s="14">
        <f t="shared" si="9"/>
        <v>27.835616438356166</v>
      </c>
      <c r="M14" s="14">
        <f t="shared" si="9"/>
        <v>1.7397260273972603</v>
      </c>
      <c r="N14" s="14">
        <f t="shared" si="9"/>
        <v>34.794520547945204</v>
      </c>
      <c r="O14" s="15">
        <f t="shared" si="9"/>
        <v>9.2785388127853885</v>
      </c>
      <c r="P14" s="16">
        <f t="shared" si="9"/>
        <v>8.6986301369863011</v>
      </c>
      <c r="Q14" s="16">
        <f t="shared" si="9"/>
        <v>6.0512209648600352</v>
      </c>
      <c r="R14" s="16">
        <f t="shared" si="9"/>
        <v>139.17808219178082</v>
      </c>
      <c r="S14" s="16">
        <f t="shared" si="9"/>
        <v>139.17808219178082</v>
      </c>
      <c r="T14" s="16">
        <f t="shared" si="9"/>
        <v>139.17808219178082</v>
      </c>
      <c r="U14" s="16">
        <f t="shared" si="9"/>
        <v>139.17808219178082</v>
      </c>
      <c r="V14" s="16">
        <f t="shared" si="9"/>
        <v>139.17808219178082</v>
      </c>
      <c r="W14" s="16">
        <f t="shared" si="9"/>
        <v>139.17808219178082</v>
      </c>
      <c r="X14" s="16">
        <f t="shared" si="9"/>
        <v>139.17808219178082</v>
      </c>
      <c r="Y14" s="16">
        <f t="shared" si="9"/>
        <v>139.17808219178082</v>
      </c>
      <c r="Z14" s="16">
        <f t="shared" si="9"/>
        <v>139.17808219178082</v>
      </c>
      <c r="AA14" s="16">
        <f t="shared" si="9"/>
        <v>139.17808219178082</v>
      </c>
      <c r="AB14" s="16">
        <f t="shared" si="9"/>
        <v>139.17808219178082</v>
      </c>
    </row>
    <row r="15" spans="1:28" ht="15.75" customHeight="1" x14ac:dyDescent="0.3">
      <c r="A15" s="12">
        <f>RAW!$A$13</f>
        <v>102000</v>
      </c>
      <c r="B15" s="2"/>
      <c r="C15" s="17" t="s">
        <v>26</v>
      </c>
      <c r="D15" s="14">
        <f t="shared" si="2"/>
        <v>279.45205479452056</v>
      </c>
      <c r="E15" s="2"/>
      <c r="F15" s="17" t="s">
        <v>26</v>
      </c>
      <c r="G15" s="14">
        <f t="shared" ref="G15:AB15" si="10">($A15/G$5)/365</f>
        <v>16.438356164383563</v>
      </c>
      <c r="H15" s="14">
        <f t="shared" si="10"/>
        <v>55.890410958904113</v>
      </c>
      <c r="I15" s="14">
        <f t="shared" si="10"/>
        <v>34.93150684931507</v>
      </c>
      <c r="J15" s="14">
        <f t="shared" si="10"/>
        <v>34.93150684931507</v>
      </c>
      <c r="K15" s="14">
        <f t="shared" si="10"/>
        <v>18.63013698630137</v>
      </c>
      <c r="L15" s="14">
        <f t="shared" si="10"/>
        <v>55.890410958904113</v>
      </c>
      <c r="M15" s="14">
        <f t="shared" si="10"/>
        <v>3.493150684931507</v>
      </c>
      <c r="N15" s="14">
        <f t="shared" si="10"/>
        <v>69.863013698630141</v>
      </c>
      <c r="O15" s="15">
        <f t="shared" si="10"/>
        <v>18.63013698630137</v>
      </c>
      <c r="P15" s="16">
        <f t="shared" si="10"/>
        <v>17.465753424657535</v>
      </c>
      <c r="Q15" s="16">
        <f t="shared" si="10"/>
        <v>12.150089338892197</v>
      </c>
      <c r="R15" s="16">
        <f t="shared" si="10"/>
        <v>279.45205479452056</v>
      </c>
      <c r="S15" s="16">
        <f t="shared" si="10"/>
        <v>279.45205479452056</v>
      </c>
      <c r="T15" s="16">
        <f t="shared" si="10"/>
        <v>279.45205479452056</v>
      </c>
      <c r="U15" s="16">
        <f t="shared" si="10"/>
        <v>279.45205479452056</v>
      </c>
      <c r="V15" s="16">
        <f t="shared" si="10"/>
        <v>279.45205479452056</v>
      </c>
      <c r="W15" s="16">
        <f t="shared" si="10"/>
        <v>279.45205479452056</v>
      </c>
      <c r="X15" s="16">
        <f t="shared" si="10"/>
        <v>279.45205479452056</v>
      </c>
      <c r="Y15" s="16">
        <f t="shared" si="10"/>
        <v>279.45205479452056</v>
      </c>
      <c r="Z15" s="16">
        <f t="shared" si="10"/>
        <v>279.45205479452056</v>
      </c>
      <c r="AA15" s="16">
        <f t="shared" si="10"/>
        <v>279.45205479452056</v>
      </c>
      <c r="AB15" s="16">
        <f t="shared" si="10"/>
        <v>279.45205479452056</v>
      </c>
    </row>
    <row r="16" spans="1:28" ht="15.75" customHeight="1" x14ac:dyDescent="0.3">
      <c r="A16" s="12">
        <f>RAW!$A$14</f>
        <v>204400</v>
      </c>
      <c r="B16" s="2"/>
      <c r="C16" s="17" t="s">
        <v>27</v>
      </c>
      <c r="D16" s="14">
        <f t="shared" si="2"/>
        <v>560</v>
      </c>
      <c r="E16" s="2"/>
      <c r="F16" s="17" t="s">
        <v>27</v>
      </c>
      <c r="G16" s="14">
        <f t="shared" ref="G16:AB16" si="11">($A16/G$5)/365</f>
        <v>32.941176470588239</v>
      </c>
      <c r="H16" s="14">
        <f t="shared" si="11"/>
        <v>112</v>
      </c>
      <c r="I16" s="14">
        <f t="shared" si="11"/>
        <v>70</v>
      </c>
      <c r="J16" s="14">
        <f t="shared" si="11"/>
        <v>70</v>
      </c>
      <c r="K16" s="14">
        <f t="shared" si="11"/>
        <v>37.333333333333329</v>
      </c>
      <c r="L16" s="14">
        <f t="shared" si="11"/>
        <v>112</v>
      </c>
      <c r="M16" s="14">
        <f t="shared" si="11"/>
        <v>7</v>
      </c>
      <c r="N16" s="14">
        <f t="shared" si="11"/>
        <v>140</v>
      </c>
      <c r="O16" s="15">
        <f t="shared" si="11"/>
        <v>37.333333333333329</v>
      </c>
      <c r="P16" s="16">
        <f t="shared" si="11"/>
        <v>35</v>
      </c>
      <c r="Q16" s="16">
        <f t="shared" si="11"/>
        <v>24.34782608695652</v>
      </c>
      <c r="R16" s="16">
        <f t="shared" si="11"/>
        <v>560</v>
      </c>
      <c r="S16" s="16">
        <f t="shared" si="11"/>
        <v>560</v>
      </c>
      <c r="T16" s="16">
        <f t="shared" si="11"/>
        <v>560</v>
      </c>
      <c r="U16" s="16">
        <f t="shared" si="11"/>
        <v>560</v>
      </c>
      <c r="V16" s="16">
        <f t="shared" si="11"/>
        <v>560</v>
      </c>
      <c r="W16" s="16">
        <f t="shared" si="11"/>
        <v>560</v>
      </c>
      <c r="X16" s="16">
        <f t="shared" si="11"/>
        <v>560</v>
      </c>
      <c r="Y16" s="16">
        <f t="shared" si="11"/>
        <v>560</v>
      </c>
      <c r="Z16" s="16">
        <f t="shared" si="11"/>
        <v>560</v>
      </c>
      <c r="AA16" s="16">
        <f t="shared" si="11"/>
        <v>560</v>
      </c>
      <c r="AB16" s="16">
        <f t="shared" si="11"/>
        <v>560</v>
      </c>
    </row>
    <row r="17" spans="1:28" ht="15.75" customHeight="1" x14ac:dyDescent="0.3">
      <c r="A17" s="12">
        <f>RAW!$A$15</f>
        <v>409200</v>
      </c>
      <c r="B17" s="2"/>
      <c r="C17" s="17" t="s">
        <v>28</v>
      </c>
      <c r="D17" s="14">
        <f t="shared" si="2"/>
        <v>1121.0958904109589</v>
      </c>
      <c r="E17" s="2"/>
      <c r="F17" s="17" t="s">
        <v>28</v>
      </c>
      <c r="G17" s="14">
        <f t="shared" ref="G17:AB17" si="12">($A17/G$5)/365</f>
        <v>65.946817082997583</v>
      </c>
      <c r="H17" s="14">
        <f t="shared" si="12"/>
        <v>224.21917808219177</v>
      </c>
      <c r="I17" s="14">
        <f t="shared" si="12"/>
        <v>140.13698630136986</v>
      </c>
      <c r="J17" s="14">
        <f t="shared" si="12"/>
        <v>140.13698630136986</v>
      </c>
      <c r="K17" s="14">
        <f t="shared" si="12"/>
        <v>74.739726027397253</v>
      </c>
      <c r="L17" s="14">
        <f t="shared" si="12"/>
        <v>224.21917808219177</v>
      </c>
      <c r="M17" s="14">
        <f t="shared" si="12"/>
        <v>14.013698630136986</v>
      </c>
      <c r="N17" s="14">
        <f t="shared" si="12"/>
        <v>280.27397260273972</v>
      </c>
      <c r="O17" s="15">
        <f t="shared" si="12"/>
        <v>74.739726027397253</v>
      </c>
      <c r="P17" s="16">
        <f t="shared" si="12"/>
        <v>70.06849315068493</v>
      </c>
      <c r="Q17" s="16">
        <f t="shared" si="12"/>
        <v>48.743299583085175</v>
      </c>
      <c r="R17" s="16">
        <f t="shared" si="12"/>
        <v>1121.0958904109589</v>
      </c>
      <c r="S17" s="16">
        <f t="shared" si="12"/>
        <v>1121.0958904109589</v>
      </c>
      <c r="T17" s="16">
        <f t="shared" si="12"/>
        <v>1121.0958904109589</v>
      </c>
      <c r="U17" s="16">
        <f t="shared" si="12"/>
        <v>1121.0958904109589</v>
      </c>
      <c r="V17" s="16">
        <f t="shared" si="12"/>
        <v>1121.0958904109589</v>
      </c>
      <c r="W17" s="16">
        <f t="shared" si="12"/>
        <v>1121.0958904109589</v>
      </c>
      <c r="X17" s="16">
        <f t="shared" si="12"/>
        <v>1121.0958904109589</v>
      </c>
      <c r="Y17" s="16">
        <f t="shared" si="12"/>
        <v>1121.0958904109589</v>
      </c>
      <c r="Z17" s="16">
        <f t="shared" si="12"/>
        <v>1121.0958904109589</v>
      </c>
      <c r="AA17" s="16">
        <f t="shared" si="12"/>
        <v>1121.0958904109589</v>
      </c>
      <c r="AB17" s="16">
        <f t="shared" si="12"/>
        <v>1121.0958904109589</v>
      </c>
    </row>
    <row r="18" spans="1:28" ht="15.75" customHeight="1" x14ac:dyDescent="0.3">
      <c r="A18" s="12">
        <f>RAW!$A$16</f>
        <v>818800</v>
      </c>
      <c r="B18" s="2"/>
      <c r="C18" s="17" t="s">
        <v>29</v>
      </c>
      <c r="D18" s="14">
        <f t="shared" si="2"/>
        <v>2243.2876712328766</v>
      </c>
      <c r="E18" s="2"/>
      <c r="F18" s="17" t="s">
        <v>29</v>
      </c>
      <c r="G18" s="14">
        <f t="shared" ref="G18:AB18" si="13">($A18/G$5)/365</f>
        <v>131.95809830781627</v>
      </c>
      <c r="H18" s="14">
        <f t="shared" si="13"/>
        <v>448.65753424657532</v>
      </c>
      <c r="I18" s="14">
        <f t="shared" si="13"/>
        <v>280.41095890410958</v>
      </c>
      <c r="J18" s="14">
        <f t="shared" si="13"/>
        <v>280.41095890410958</v>
      </c>
      <c r="K18" s="14">
        <f t="shared" si="13"/>
        <v>149.55251141552512</v>
      </c>
      <c r="L18" s="14">
        <f t="shared" si="13"/>
        <v>448.65753424657532</v>
      </c>
      <c r="M18" s="14">
        <f t="shared" si="13"/>
        <v>28.041095890410958</v>
      </c>
      <c r="N18" s="14">
        <f t="shared" si="13"/>
        <v>560.82191780821915</v>
      </c>
      <c r="O18" s="15">
        <f t="shared" si="13"/>
        <v>149.55251141552512</v>
      </c>
      <c r="P18" s="16">
        <f t="shared" si="13"/>
        <v>140.20547945205479</v>
      </c>
      <c r="Q18" s="16">
        <f t="shared" si="13"/>
        <v>97.534246575342465</v>
      </c>
      <c r="R18" s="16">
        <f t="shared" si="13"/>
        <v>2243.2876712328766</v>
      </c>
      <c r="S18" s="16">
        <f t="shared" si="13"/>
        <v>2243.2876712328766</v>
      </c>
      <c r="T18" s="16">
        <f t="shared" si="13"/>
        <v>2243.2876712328766</v>
      </c>
      <c r="U18" s="16">
        <f t="shared" si="13"/>
        <v>2243.2876712328766</v>
      </c>
      <c r="V18" s="16">
        <f t="shared" si="13"/>
        <v>2243.2876712328766</v>
      </c>
      <c r="W18" s="16">
        <f t="shared" si="13"/>
        <v>2243.2876712328766</v>
      </c>
      <c r="X18" s="16">
        <f t="shared" si="13"/>
        <v>2243.2876712328766</v>
      </c>
      <c r="Y18" s="16">
        <f t="shared" si="13"/>
        <v>2243.2876712328766</v>
      </c>
      <c r="Z18" s="16">
        <f t="shared" si="13"/>
        <v>2243.2876712328766</v>
      </c>
      <c r="AA18" s="16">
        <f t="shared" si="13"/>
        <v>2243.2876712328766</v>
      </c>
      <c r="AB18" s="16">
        <f t="shared" si="13"/>
        <v>2243.2876712328766</v>
      </c>
    </row>
    <row r="19" spans="1:28" ht="15.75" customHeight="1" x14ac:dyDescent="0.3">
      <c r="A19" s="12">
        <f>RAW!$A$17</f>
        <v>1638000</v>
      </c>
      <c r="B19" s="2"/>
      <c r="C19" s="17" t="s">
        <v>30</v>
      </c>
      <c r="D19" s="14">
        <f t="shared" si="2"/>
        <v>4487.6712328767126</v>
      </c>
      <c r="E19" s="2"/>
      <c r="F19" s="17" t="s">
        <v>30</v>
      </c>
      <c r="G19" s="14">
        <f t="shared" ref="G19:AB19" si="14">($A19/G$5)/365</f>
        <v>263.98066075745368</v>
      </c>
      <c r="H19" s="14">
        <f t="shared" si="14"/>
        <v>897.53424657534242</v>
      </c>
      <c r="I19" s="14">
        <f t="shared" si="14"/>
        <v>560.95890410958907</v>
      </c>
      <c r="J19" s="14">
        <f t="shared" si="14"/>
        <v>560.95890410958907</v>
      </c>
      <c r="K19" s="14">
        <f t="shared" si="14"/>
        <v>299.17808219178085</v>
      </c>
      <c r="L19" s="14">
        <f t="shared" si="14"/>
        <v>897.53424657534242</v>
      </c>
      <c r="M19" s="14">
        <f t="shared" si="14"/>
        <v>56.095890410958901</v>
      </c>
      <c r="N19" s="14">
        <f t="shared" si="14"/>
        <v>1121.9178082191781</v>
      </c>
      <c r="O19" s="15">
        <f t="shared" si="14"/>
        <v>299.17808219178085</v>
      </c>
      <c r="P19" s="16">
        <f t="shared" si="14"/>
        <v>280.47945205479454</v>
      </c>
      <c r="Q19" s="16">
        <f t="shared" si="14"/>
        <v>195.11614055985706</v>
      </c>
      <c r="R19" s="16">
        <f t="shared" si="14"/>
        <v>4487.6712328767126</v>
      </c>
      <c r="S19" s="16">
        <f t="shared" si="14"/>
        <v>4487.6712328767126</v>
      </c>
      <c r="T19" s="16">
        <f t="shared" si="14"/>
        <v>4487.6712328767126</v>
      </c>
      <c r="U19" s="16">
        <f t="shared" si="14"/>
        <v>4487.6712328767126</v>
      </c>
      <c r="V19" s="16">
        <f t="shared" si="14"/>
        <v>4487.6712328767126</v>
      </c>
      <c r="W19" s="16">
        <f t="shared" si="14"/>
        <v>4487.6712328767126</v>
      </c>
      <c r="X19" s="16">
        <f t="shared" si="14"/>
        <v>4487.6712328767126</v>
      </c>
      <c r="Y19" s="16">
        <f t="shared" si="14"/>
        <v>4487.6712328767126</v>
      </c>
      <c r="Z19" s="16">
        <f t="shared" si="14"/>
        <v>4487.6712328767126</v>
      </c>
      <c r="AA19" s="16">
        <f t="shared" si="14"/>
        <v>4487.6712328767126</v>
      </c>
      <c r="AB19" s="16">
        <f t="shared" si="14"/>
        <v>4487.6712328767126</v>
      </c>
    </row>
    <row r="20" spans="1:28" ht="15.75" customHeight="1" x14ac:dyDescent="0.3">
      <c r="A20" s="12">
        <f>RAW!$A$18</f>
        <v>3276400</v>
      </c>
      <c r="B20" s="2"/>
      <c r="C20" s="17" t="s">
        <v>31</v>
      </c>
      <c r="D20" s="14">
        <f t="shared" si="2"/>
        <v>8976.4383561643845</v>
      </c>
      <c r="E20" s="2"/>
      <c r="F20" s="17" t="s">
        <v>31</v>
      </c>
      <c r="G20" s="14">
        <f t="shared" ref="G20:AB20" si="15">($A20/G$5)/365</f>
        <v>528.02578565672843</v>
      </c>
      <c r="H20" s="14">
        <f t="shared" si="15"/>
        <v>1795.2876712328766</v>
      </c>
      <c r="I20" s="14">
        <f t="shared" si="15"/>
        <v>1122.0547945205481</v>
      </c>
      <c r="J20" s="14">
        <f t="shared" si="15"/>
        <v>1122.0547945205481</v>
      </c>
      <c r="K20" s="14">
        <f t="shared" si="15"/>
        <v>598.42922374429224</v>
      </c>
      <c r="L20" s="14">
        <f t="shared" si="15"/>
        <v>1795.2876712328766</v>
      </c>
      <c r="M20" s="14">
        <f t="shared" si="15"/>
        <v>112.20547945205479</v>
      </c>
      <c r="N20" s="14">
        <f t="shared" si="15"/>
        <v>2244.1095890410961</v>
      </c>
      <c r="O20" s="15">
        <f t="shared" si="15"/>
        <v>598.42922374429224</v>
      </c>
      <c r="P20" s="16">
        <f t="shared" si="15"/>
        <v>561.02739726027403</v>
      </c>
      <c r="Q20" s="16">
        <f t="shared" si="15"/>
        <v>390.27992852888627</v>
      </c>
      <c r="R20" s="16">
        <f t="shared" si="15"/>
        <v>8976.4383561643845</v>
      </c>
      <c r="S20" s="16">
        <f t="shared" si="15"/>
        <v>8976.4383561643845</v>
      </c>
      <c r="T20" s="16">
        <f t="shared" si="15"/>
        <v>8976.4383561643845</v>
      </c>
      <c r="U20" s="16">
        <f t="shared" si="15"/>
        <v>8976.4383561643845</v>
      </c>
      <c r="V20" s="16">
        <f t="shared" si="15"/>
        <v>8976.4383561643845</v>
      </c>
      <c r="W20" s="16">
        <f t="shared" si="15"/>
        <v>8976.4383561643845</v>
      </c>
      <c r="X20" s="16">
        <f t="shared" si="15"/>
        <v>8976.4383561643845</v>
      </c>
      <c r="Y20" s="16">
        <f t="shared" si="15"/>
        <v>8976.4383561643845</v>
      </c>
      <c r="Z20" s="16">
        <f t="shared" si="15"/>
        <v>8976.4383561643845</v>
      </c>
      <c r="AA20" s="16">
        <f t="shared" si="15"/>
        <v>8976.4383561643845</v>
      </c>
      <c r="AB20" s="16">
        <f t="shared" si="15"/>
        <v>8976.4383561643845</v>
      </c>
    </row>
    <row r="21" spans="1:28" ht="15.75" customHeight="1" x14ac:dyDescent="0.3">
      <c r="A21" s="12">
        <f>RAW!$A$19</f>
        <v>6553200</v>
      </c>
      <c r="B21" s="2"/>
      <c r="C21" s="17" t="s">
        <v>32</v>
      </c>
      <c r="D21" s="14">
        <f t="shared" si="2"/>
        <v>17953.972602739726</v>
      </c>
      <c r="E21" s="2"/>
      <c r="F21" s="17" t="s">
        <v>32</v>
      </c>
      <c r="G21" s="14">
        <f t="shared" ref="G21:AB21" si="16">($A21/G$5)/365</f>
        <v>1056.1160354552778</v>
      </c>
      <c r="H21" s="14">
        <f t="shared" si="16"/>
        <v>3590.794520547945</v>
      </c>
      <c r="I21" s="14">
        <f t="shared" si="16"/>
        <v>2244.2465753424658</v>
      </c>
      <c r="J21" s="14">
        <f t="shared" si="16"/>
        <v>2244.2465753424658</v>
      </c>
      <c r="K21" s="14">
        <f t="shared" si="16"/>
        <v>1196.9315068493152</v>
      </c>
      <c r="L21" s="14">
        <f t="shared" si="16"/>
        <v>3590.794520547945</v>
      </c>
      <c r="M21" s="14">
        <f t="shared" si="16"/>
        <v>224.42465753424656</v>
      </c>
      <c r="N21" s="14">
        <f t="shared" si="16"/>
        <v>4488.4931506849316</v>
      </c>
      <c r="O21" s="15">
        <f t="shared" si="16"/>
        <v>1196.9315068493152</v>
      </c>
      <c r="P21" s="16">
        <f t="shared" si="16"/>
        <v>1122.1232876712329</v>
      </c>
      <c r="Q21" s="16">
        <f t="shared" si="16"/>
        <v>780.60750446694453</v>
      </c>
      <c r="R21" s="16">
        <f t="shared" si="16"/>
        <v>17953.972602739726</v>
      </c>
      <c r="S21" s="16">
        <f t="shared" si="16"/>
        <v>17953.972602739726</v>
      </c>
      <c r="T21" s="16">
        <f t="shared" si="16"/>
        <v>17953.972602739726</v>
      </c>
      <c r="U21" s="16">
        <f t="shared" si="16"/>
        <v>17953.972602739726</v>
      </c>
      <c r="V21" s="16">
        <f t="shared" si="16"/>
        <v>17953.972602739726</v>
      </c>
      <c r="W21" s="16">
        <f t="shared" si="16"/>
        <v>17953.972602739726</v>
      </c>
      <c r="X21" s="16">
        <f t="shared" si="16"/>
        <v>17953.972602739726</v>
      </c>
      <c r="Y21" s="16">
        <f t="shared" si="16"/>
        <v>17953.972602739726</v>
      </c>
      <c r="Z21" s="16">
        <f t="shared" si="16"/>
        <v>17953.972602739726</v>
      </c>
      <c r="AA21" s="16">
        <f t="shared" si="16"/>
        <v>17953.972602739726</v>
      </c>
      <c r="AB21" s="16">
        <f t="shared" si="16"/>
        <v>17953.972602739726</v>
      </c>
    </row>
    <row r="22" spans="1:28" ht="15.75" customHeight="1" x14ac:dyDescent="0.3">
      <c r="A22" s="12">
        <f>RAW!$A$20</f>
        <v>13106800</v>
      </c>
      <c r="B22" s="2"/>
      <c r="C22" s="17" t="s">
        <v>33</v>
      </c>
      <c r="D22" s="14">
        <f t="shared" si="2"/>
        <v>35909.04109589041</v>
      </c>
      <c r="E22" s="2"/>
      <c r="F22" s="17" t="s">
        <v>33</v>
      </c>
      <c r="G22" s="14">
        <f t="shared" ref="G22:AB22" si="17">($A22/G$5)/365</f>
        <v>2112.2965350523768</v>
      </c>
      <c r="H22" s="14">
        <f t="shared" si="17"/>
        <v>7181.8082191780823</v>
      </c>
      <c r="I22" s="14">
        <f t="shared" si="17"/>
        <v>4488.6301369863013</v>
      </c>
      <c r="J22" s="14">
        <f t="shared" si="17"/>
        <v>4488.6301369863013</v>
      </c>
      <c r="K22" s="14">
        <f t="shared" si="17"/>
        <v>2393.9360730593608</v>
      </c>
      <c r="L22" s="14">
        <f t="shared" si="17"/>
        <v>7181.8082191780823</v>
      </c>
      <c r="M22" s="14">
        <f t="shared" si="17"/>
        <v>448.86301369863014</v>
      </c>
      <c r="N22" s="14">
        <f t="shared" si="17"/>
        <v>8977.2602739726026</v>
      </c>
      <c r="O22" s="15">
        <f t="shared" si="17"/>
        <v>2393.9360730593608</v>
      </c>
      <c r="P22" s="16">
        <f t="shared" si="17"/>
        <v>2244.3150684931506</v>
      </c>
      <c r="Q22" s="16">
        <f t="shared" si="17"/>
        <v>1561.2626563430613</v>
      </c>
      <c r="R22" s="16">
        <f t="shared" si="17"/>
        <v>35909.04109589041</v>
      </c>
      <c r="S22" s="16">
        <f t="shared" si="17"/>
        <v>35909.04109589041</v>
      </c>
      <c r="T22" s="16">
        <f t="shared" si="17"/>
        <v>35909.04109589041</v>
      </c>
      <c r="U22" s="16">
        <f t="shared" si="17"/>
        <v>35909.04109589041</v>
      </c>
      <c r="V22" s="16">
        <f t="shared" si="17"/>
        <v>35909.04109589041</v>
      </c>
      <c r="W22" s="16">
        <f t="shared" si="17"/>
        <v>35909.04109589041</v>
      </c>
      <c r="X22" s="16">
        <f t="shared" si="17"/>
        <v>35909.04109589041</v>
      </c>
      <c r="Y22" s="16">
        <f t="shared" si="17"/>
        <v>35909.04109589041</v>
      </c>
      <c r="Z22" s="16">
        <f t="shared" si="17"/>
        <v>35909.04109589041</v>
      </c>
      <c r="AA22" s="16">
        <f t="shared" si="17"/>
        <v>35909.04109589041</v>
      </c>
      <c r="AB22" s="16">
        <f t="shared" si="17"/>
        <v>35909.04109589041</v>
      </c>
    </row>
    <row r="23" spans="1:28" ht="15.75" customHeight="1" x14ac:dyDescent="0.3">
      <c r="A23" s="12">
        <f>RAW!$A$21</f>
        <v>26214000</v>
      </c>
      <c r="B23" s="2"/>
      <c r="C23" s="17" t="s">
        <v>34</v>
      </c>
      <c r="D23" s="14">
        <f t="shared" si="2"/>
        <v>71819.178082191778</v>
      </c>
      <c r="E23" s="2"/>
      <c r="F23" s="17" t="s">
        <v>34</v>
      </c>
      <c r="G23" s="14">
        <f t="shared" ref="G23:AB23" si="18">($A23/G$5)/365</f>
        <v>4224.6575342465758</v>
      </c>
      <c r="H23" s="14">
        <f t="shared" si="18"/>
        <v>14363.835616438357</v>
      </c>
      <c r="I23" s="14">
        <f t="shared" si="18"/>
        <v>8977.3972602739723</v>
      </c>
      <c r="J23" s="14">
        <f t="shared" si="18"/>
        <v>8977.3972602739723</v>
      </c>
      <c r="K23" s="14">
        <f t="shared" si="18"/>
        <v>4787.9452054794519</v>
      </c>
      <c r="L23" s="14">
        <f t="shared" si="18"/>
        <v>14363.835616438357</v>
      </c>
      <c r="M23" s="14">
        <f t="shared" si="18"/>
        <v>897.7397260273973</v>
      </c>
      <c r="N23" s="14">
        <f t="shared" si="18"/>
        <v>17954.794520547945</v>
      </c>
      <c r="O23" s="15">
        <f t="shared" si="18"/>
        <v>4787.9452054794519</v>
      </c>
      <c r="P23" s="16">
        <f t="shared" si="18"/>
        <v>4488.6986301369861</v>
      </c>
      <c r="Q23" s="16">
        <f t="shared" si="18"/>
        <v>3122.572960095295</v>
      </c>
      <c r="R23" s="16">
        <f t="shared" si="18"/>
        <v>71819.178082191778</v>
      </c>
      <c r="S23" s="16">
        <f t="shared" si="18"/>
        <v>71819.178082191778</v>
      </c>
      <c r="T23" s="16">
        <f t="shared" si="18"/>
        <v>71819.178082191778</v>
      </c>
      <c r="U23" s="16">
        <f t="shared" si="18"/>
        <v>71819.178082191778</v>
      </c>
      <c r="V23" s="16">
        <f t="shared" si="18"/>
        <v>71819.178082191778</v>
      </c>
      <c r="W23" s="16">
        <f t="shared" si="18"/>
        <v>71819.178082191778</v>
      </c>
      <c r="X23" s="16">
        <f t="shared" si="18"/>
        <v>71819.178082191778</v>
      </c>
      <c r="Y23" s="16">
        <f t="shared" si="18"/>
        <v>71819.178082191778</v>
      </c>
      <c r="Z23" s="16">
        <f t="shared" si="18"/>
        <v>71819.178082191778</v>
      </c>
      <c r="AA23" s="16">
        <f t="shared" si="18"/>
        <v>71819.178082191778</v>
      </c>
      <c r="AB23" s="16">
        <f t="shared" si="18"/>
        <v>71819.178082191778</v>
      </c>
    </row>
    <row r="24" spans="1:28" ht="15.75" customHeight="1" x14ac:dyDescent="0.3">
      <c r="A24" s="12">
        <f>RAW!$A$22</f>
        <v>52428400</v>
      </c>
      <c r="B24" s="2"/>
      <c r="C24" s="17" t="s">
        <v>35</v>
      </c>
      <c r="D24" s="14">
        <f t="shared" si="2"/>
        <v>143639.45205479453</v>
      </c>
      <c r="E24" s="2"/>
      <c r="F24" s="17" t="s">
        <v>35</v>
      </c>
      <c r="G24" s="14">
        <f t="shared" ref="G24:AB24" si="19">($A24/G$5)/365</f>
        <v>8449.3795326349718</v>
      </c>
      <c r="H24" s="14">
        <f t="shared" si="19"/>
        <v>28727.890410958906</v>
      </c>
      <c r="I24" s="14">
        <f t="shared" si="19"/>
        <v>17954.931506849316</v>
      </c>
      <c r="J24" s="14">
        <f t="shared" si="19"/>
        <v>17954.931506849316</v>
      </c>
      <c r="K24" s="14">
        <f t="shared" si="19"/>
        <v>9575.9634703196334</v>
      </c>
      <c r="L24" s="14">
        <f t="shared" si="19"/>
        <v>28727.890410958906</v>
      </c>
      <c r="M24" s="14">
        <f t="shared" si="19"/>
        <v>1795.4931506849316</v>
      </c>
      <c r="N24" s="14">
        <f t="shared" si="19"/>
        <v>35909.863013698632</v>
      </c>
      <c r="O24" s="15">
        <f t="shared" si="19"/>
        <v>9575.9634703196334</v>
      </c>
      <c r="P24" s="16">
        <f t="shared" si="19"/>
        <v>8977.465753424658</v>
      </c>
      <c r="Q24" s="16">
        <f t="shared" si="19"/>
        <v>6245.193567599762</v>
      </c>
      <c r="R24" s="16">
        <f t="shared" si="19"/>
        <v>143639.45205479453</v>
      </c>
      <c r="S24" s="16">
        <f t="shared" si="19"/>
        <v>143639.45205479453</v>
      </c>
      <c r="T24" s="16">
        <f t="shared" si="19"/>
        <v>143639.45205479453</v>
      </c>
      <c r="U24" s="16">
        <f t="shared" si="19"/>
        <v>143639.45205479453</v>
      </c>
      <c r="V24" s="16">
        <f t="shared" si="19"/>
        <v>143639.45205479453</v>
      </c>
      <c r="W24" s="16">
        <f t="shared" si="19"/>
        <v>143639.45205479453</v>
      </c>
      <c r="X24" s="16">
        <f t="shared" si="19"/>
        <v>143639.45205479453</v>
      </c>
      <c r="Y24" s="16">
        <f t="shared" si="19"/>
        <v>143639.45205479453</v>
      </c>
      <c r="Z24" s="16">
        <f t="shared" si="19"/>
        <v>143639.45205479453</v>
      </c>
      <c r="AA24" s="16">
        <f t="shared" si="19"/>
        <v>143639.45205479453</v>
      </c>
      <c r="AB24" s="16">
        <f t="shared" si="19"/>
        <v>143639.45205479453</v>
      </c>
    </row>
    <row r="25" spans="1:28" ht="15.75" customHeight="1" x14ac:dyDescent="0.3">
      <c r="A25" s="3"/>
      <c r="B25" s="2"/>
      <c r="C25" s="29"/>
      <c r="D25" s="30"/>
      <c r="E25" s="2"/>
      <c r="F25" s="3"/>
      <c r="G25" s="31" t="s">
        <v>36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28" ht="15.75" customHeight="1" x14ac:dyDescent="0.3">
      <c r="A26" s="19" t="s">
        <v>37</v>
      </c>
      <c r="B26" s="2"/>
      <c r="C26" s="10" t="s">
        <v>9</v>
      </c>
      <c r="D26" s="10" t="s">
        <v>10</v>
      </c>
      <c r="E26" s="2"/>
      <c r="F26" s="20" t="s">
        <v>9</v>
      </c>
      <c r="G26" s="11" t="str">
        <f t="shared" ref="G26:AB26" si="20">G7</f>
        <v>Itagiba</v>
      </c>
      <c r="H26" s="11" t="str">
        <f t="shared" si="20"/>
        <v>Neferteri</v>
      </c>
      <c r="I26" s="11" t="str">
        <f t="shared" si="20"/>
        <v>Yacamim</v>
      </c>
      <c r="J26" s="11" t="str">
        <f t="shared" si="20"/>
        <v>Maiara</v>
      </c>
      <c r="K26" s="11" t="str">
        <f t="shared" si="20"/>
        <v>Eori</v>
      </c>
      <c r="L26" s="11" t="str">
        <f t="shared" si="20"/>
        <v>Nina</v>
      </c>
      <c r="M26" s="11" t="str">
        <f t="shared" si="20"/>
        <v>Gabiro</v>
      </c>
      <c r="N26" s="11" t="str">
        <f t="shared" si="20"/>
        <v>Kibe</v>
      </c>
      <c r="O26" s="11" t="str">
        <f t="shared" si="20"/>
        <v>Eiri</v>
      </c>
      <c r="P26" s="11" t="str">
        <f t="shared" si="20"/>
        <v>Coema</v>
      </c>
      <c r="Q26" s="11" t="str">
        <f t="shared" si="20"/>
        <v>Sora</v>
      </c>
      <c r="R26" s="11" t="str">
        <f t="shared" si="20"/>
        <v>Kiko</v>
      </c>
      <c r="S26" s="11" t="str">
        <f t="shared" si="20"/>
        <v>Zico</v>
      </c>
      <c r="T26" s="11" t="str">
        <f t="shared" si="20"/>
        <v>Huneo</v>
      </c>
      <c r="U26" s="11">
        <f t="shared" si="20"/>
        <v>0</v>
      </c>
      <c r="V26" s="11">
        <f t="shared" si="20"/>
        <v>0</v>
      </c>
      <c r="W26" s="11">
        <f t="shared" si="20"/>
        <v>0</v>
      </c>
      <c r="X26" s="11">
        <f t="shared" si="20"/>
        <v>0</v>
      </c>
      <c r="Y26" s="11">
        <f t="shared" si="20"/>
        <v>0</v>
      </c>
      <c r="Z26" s="11">
        <f t="shared" si="20"/>
        <v>0</v>
      </c>
      <c r="AA26" s="11">
        <f t="shared" si="20"/>
        <v>0</v>
      </c>
      <c r="AB26" s="11">
        <f t="shared" si="20"/>
        <v>0</v>
      </c>
    </row>
    <row r="27" spans="1:28" ht="15.75" customHeight="1" x14ac:dyDescent="0.3">
      <c r="A27" s="12">
        <f>RAW!$A$6</f>
        <v>400</v>
      </c>
      <c r="B27" s="2"/>
      <c r="C27" s="21" t="s">
        <v>19</v>
      </c>
      <c r="D27" s="22">
        <f t="shared" ref="D27:D43" si="21">$A27/D$5</f>
        <v>400</v>
      </c>
      <c r="E27" s="2"/>
      <c r="F27" s="21" t="s">
        <v>19</v>
      </c>
      <c r="G27" s="23">
        <f t="shared" ref="G27:AB27" si="22">$A27/G$5</f>
        <v>23.529411764705884</v>
      </c>
      <c r="H27" s="23">
        <f t="shared" si="22"/>
        <v>80</v>
      </c>
      <c r="I27" s="23">
        <f t="shared" si="22"/>
        <v>50</v>
      </c>
      <c r="J27" s="23">
        <f t="shared" si="22"/>
        <v>50</v>
      </c>
      <c r="K27" s="23">
        <f t="shared" si="22"/>
        <v>26.666666666666668</v>
      </c>
      <c r="L27" s="23">
        <f t="shared" si="22"/>
        <v>80</v>
      </c>
      <c r="M27" s="23">
        <f t="shared" si="22"/>
        <v>5</v>
      </c>
      <c r="N27" s="23">
        <f t="shared" si="22"/>
        <v>100</v>
      </c>
      <c r="O27" s="23">
        <f t="shared" si="22"/>
        <v>26.666666666666668</v>
      </c>
      <c r="P27" s="23">
        <f t="shared" si="22"/>
        <v>25</v>
      </c>
      <c r="Q27" s="23">
        <f t="shared" si="22"/>
        <v>17.391304347826086</v>
      </c>
      <c r="R27" s="23">
        <f t="shared" si="22"/>
        <v>400</v>
      </c>
      <c r="S27" s="23">
        <f t="shared" si="22"/>
        <v>400</v>
      </c>
      <c r="T27" s="23">
        <f t="shared" si="22"/>
        <v>400</v>
      </c>
      <c r="U27" s="23">
        <f t="shared" si="22"/>
        <v>400</v>
      </c>
      <c r="V27" s="23">
        <f t="shared" si="22"/>
        <v>400</v>
      </c>
      <c r="W27" s="23">
        <f t="shared" si="22"/>
        <v>400</v>
      </c>
      <c r="X27" s="23">
        <f t="shared" si="22"/>
        <v>400</v>
      </c>
      <c r="Y27" s="23">
        <f t="shared" si="22"/>
        <v>400</v>
      </c>
      <c r="Z27" s="23">
        <f t="shared" si="22"/>
        <v>400</v>
      </c>
      <c r="AA27" s="23">
        <f t="shared" si="22"/>
        <v>400</v>
      </c>
      <c r="AB27" s="23">
        <f t="shared" si="22"/>
        <v>400</v>
      </c>
    </row>
    <row r="28" spans="1:28" ht="15.75" customHeight="1" x14ac:dyDescent="0.3">
      <c r="A28" s="12">
        <f>RAW!$A$7</f>
        <v>1200</v>
      </c>
      <c r="B28" s="2"/>
      <c r="C28" s="24" t="s">
        <v>20</v>
      </c>
      <c r="D28" s="23">
        <f t="shared" si="21"/>
        <v>1200</v>
      </c>
      <c r="E28" s="2"/>
      <c r="F28" s="24" t="s">
        <v>20</v>
      </c>
      <c r="G28" s="23">
        <f t="shared" ref="G28:AB28" si="23">$A28/G$5</f>
        <v>70.588235294117652</v>
      </c>
      <c r="H28" s="23">
        <f t="shared" si="23"/>
        <v>240</v>
      </c>
      <c r="I28" s="23">
        <f t="shared" si="23"/>
        <v>150</v>
      </c>
      <c r="J28" s="23">
        <f t="shared" si="23"/>
        <v>150</v>
      </c>
      <c r="K28" s="23">
        <f t="shared" si="23"/>
        <v>80</v>
      </c>
      <c r="L28" s="23">
        <f t="shared" si="23"/>
        <v>240</v>
      </c>
      <c r="M28" s="23">
        <f t="shared" si="23"/>
        <v>15</v>
      </c>
      <c r="N28" s="23">
        <f t="shared" si="23"/>
        <v>300</v>
      </c>
      <c r="O28" s="23">
        <f t="shared" si="23"/>
        <v>80</v>
      </c>
      <c r="P28" s="23">
        <f t="shared" si="23"/>
        <v>75</v>
      </c>
      <c r="Q28" s="23">
        <f t="shared" si="23"/>
        <v>52.173913043478258</v>
      </c>
      <c r="R28" s="23">
        <f t="shared" si="23"/>
        <v>1200</v>
      </c>
      <c r="S28" s="23">
        <f t="shared" si="23"/>
        <v>1200</v>
      </c>
      <c r="T28" s="23">
        <f t="shared" si="23"/>
        <v>1200</v>
      </c>
      <c r="U28" s="23">
        <f t="shared" si="23"/>
        <v>1200</v>
      </c>
      <c r="V28" s="23">
        <f t="shared" si="23"/>
        <v>1200</v>
      </c>
      <c r="W28" s="23">
        <f t="shared" si="23"/>
        <v>1200</v>
      </c>
      <c r="X28" s="23">
        <f t="shared" si="23"/>
        <v>1200</v>
      </c>
      <c r="Y28" s="23">
        <f t="shared" si="23"/>
        <v>1200</v>
      </c>
      <c r="Z28" s="23">
        <f t="shared" si="23"/>
        <v>1200</v>
      </c>
      <c r="AA28" s="23">
        <f t="shared" si="23"/>
        <v>1200</v>
      </c>
      <c r="AB28" s="23">
        <f t="shared" si="23"/>
        <v>1200</v>
      </c>
    </row>
    <row r="29" spans="1:28" ht="15.75" customHeight="1" x14ac:dyDescent="0.3">
      <c r="A29" s="12">
        <f>RAW!$A$8</f>
        <v>2800</v>
      </c>
      <c r="B29" s="2"/>
      <c r="C29" s="24" t="s">
        <v>21</v>
      </c>
      <c r="D29" s="23">
        <f t="shared" si="21"/>
        <v>2800</v>
      </c>
      <c r="E29" s="2"/>
      <c r="F29" s="24" t="s">
        <v>21</v>
      </c>
      <c r="G29" s="23">
        <f t="shared" ref="G29:AB29" si="24">$A29/G$5</f>
        <v>164.70588235294119</v>
      </c>
      <c r="H29" s="23">
        <f t="shared" si="24"/>
        <v>560</v>
      </c>
      <c r="I29" s="23">
        <f t="shared" si="24"/>
        <v>350</v>
      </c>
      <c r="J29" s="23">
        <f t="shared" si="24"/>
        <v>350</v>
      </c>
      <c r="K29" s="23">
        <f t="shared" si="24"/>
        <v>186.66666666666666</v>
      </c>
      <c r="L29" s="23">
        <f t="shared" si="24"/>
        <v>560</v>
      </c>
      <c r="M29" s="23">
        <f t="shared" si="24"/>
        <v>35</v>
      </c>
      <c r="N29" s="23">
        <f t="shared" si="24"/>
        <v>700</v>
      </c>
      <c r="O29" s="23">
        <f t="shared" si="24"/>
        <v>186.66666666666666</v>
      </c>
      <c r="P29" s="23">
        <f t="shared" si="24"/>
        <v>175</v>
      </c>
      <c r="Q29" s="23">
        <f t="shared" si="24"/>
        <v>121.73913043478261</v>
      </c>
      <c r="R29" s="23">
        <f t="shared" si="24"/>
        <v>2800</v>
      </c>
      <c r="S29" s="23">
        <f t="shared" si="24"/>
        <v>2800</v>
      </c>
      <c r="T29" s="23">
        <f t="shared" si="24"/>
        <v>2800</v>
      </c>
      <c r="U29" s="23">
        <f t="shared" si="24"/>
        <v>2800</v>
      </c>
      <c r="V29" s="23">
        <f t="shared" si="24"/>
        <v>2800</v>
      </c>
      <c r="W29" s="23">
        <f t="shared" si="24"/>
        <v>2800</v>
      </c>
      <c r="X29" s="23">
        <f t="shared" si="24"/>
        <v>2800</v>
      </c>
      <c r="Y29" s="23">
        <f t="shared" si="24"/>
        <v>2800</v>
      </c>
      <c r="Z29" s="23">
        <f t="shared" si="24"/>
        <v>2800</v>
      </c>
      <c r="AA29" s="23">
        <f t="shared" si="24"/>
        <v>2800</v>
      </c>
      <c r="AB29" s="23">
        <f t="shared" si="24"/>
        <v>2800</v>
      </c>
    </row>
    <row r="30" spans="1:28" ht="15.75" customHeight="1" x14ac:dyDescent="0.3">
      <c r="A30" s="12">
        <f>RAW!$A$9</f>
        <v>6000</v>
      </c>
      <c r="B30" s="2"/>
      <c r="C30" s="24" t="s">
        <v>22</v>
      </c>
      <c r="D30" s="23">
        <f t="shared" si="21"/>
        <v>6000</v>
      </c>
      <c r="E30" s="2"/>
      <c r="F30" s="24" t="s">
        <v>22</v>
      </c>
      <c r="G30" s="23">
        <f t="shared" ref="G30:AB30" si="25">$A30/G$5</f>
        <v>352.94117647058823</v>
      </c>
      <c r="H30" s="23">
        <f t="shared" si="25"/>
        <v>1200</v>
      </c>
      <c r="I30" s="23">
        <f t="shared" si="25"/>
        <v>750</v>
      </c>
      <c r="J30" s="23">
        <f t="shared" si="25"/>
        <v>750</v>
      </c>
      <c r="K30" s="23">
        <f t="shared" si="25"/>
        <v>400</v>
      </c>
      <c r="L30" s="23">
        <f t="shared" si="25"/>
        <v>1200</v>
      </c>
      <c r="M30" s="23">
        <f t="shared" si="25"/>
        <v>75</v>
      </c>
      <c r="N30" s="23">
        <f t="shared" si="25"/>
        <v>1500</v>
      </c>
      <c r="O30" s="23">
        <f t="shared" si="25"/>
        <v>400</v>
      </c>
      <c r="P30" s="23">
        <f t="shared" si="25"/>
        <v>375</v>
      </c>
      <c r="Q30" s="23">
        <f t="shared" si="25"/>
        <v>260.86956521739131</v>
      </c>
      <c r="R30" s="23">
        <f t="shared" si="25"/>
        <v>6000</v>
      </c>
      <c r="S30" s="23">
        <f t="shared" si="25"/>
        <v>6000</v>
      </c>
      <c r="T30" s="23">
        <f t="shared" si="25"/>
        <v>6000</v>
      </c>
      <c r="U30" s="23">
        <f t="shared" si="25"/>
        <v>6000</v>
      </c>
      <c r="V30" s="23">
        <f t="shared" si="25"/>
        <v>6000</v>
      </c>
      <c r="W30" s="23">
        <f t="shared" si="25"/>
        <v>6000</v>
      </c>
      <c r="X30" s="23">
        <f t="shared" si="25"/>
        <v>6000</v>
      </c>
      <c r="Y30" s="23">
        <f t="shared" si="25"/>
        <v>6000</v>
      </c>
      <c r="Z30" s="23">
        <f t="shared" si="25"/>
        <v>6000</v>
      </c>
      <c r="AA30" s="23">
        <f t="shared" si="25"/>
        <v>6000</v>
      </c>
      <c r="AB30" s="23">
        <f t="shared" si="25"/>
        <v>6000</v>
      </c>
    </row>
    <row r="31" spans="1:28" ht="15.75" customHeight="1" x14ac:dyDescent="0.3">
      <c r="A31" s="12">
        <f>RAW!$A$10</f>
        <v>12400</v>
      </c>
      <c r="B31" s="2"/>
      <c r="C31" s="24" t="s">
        <v>23</v>
      </c>
      <c r="D31" s="23">
        <f t="shared" si="21"/>
        <v>12400</v>
      </c>
      <c r="E31" s="2"/>
      <c r="F31" s="24" t="s">
        <v>23</v>
      </c>
      <c r="G31" s="23">
        <f t="shared" ref="G31:AB31" si="26">$A31/G$5</f>
        <v>729.41176470588232</v>
      </c>
      <c r="H31" s="23">
        <f t="shared" si="26"/>
        <v>2480</v>
      </c>
      <c r="I31" s="23">
        <f t="shared" si="26"/>
        <v>1550</v>
      </c>
      <c r="J31" s="23">
        <f t="shared" si="26"/>
        <v>1550</v>
      </c>
      <c r="K31" s="23">
        <f t="shared" si="26"/>
        <v>826.66666666666663</v>
      </c>
      <c r="L31" s="23">
        <f t="shared" si="26"/>
        <v>2480</v>
      </c>
      <c r="M31" s="23">
        <f t="shared" si="26"/>
        <v>155</v>
      </c>
      <c r="N31" s="23">
        <f t="shared" si="26"/>
        <v>3100</v>
      </c>
      <c r="O31" s="23">
        <f t="shared" si="26"/>
        <v>826.66666666666663</v>
      </c>
      <c r="P31" s="23">
        <f t="shared" si="26"/>
        <v>775</v>
      </c>
      <c r="Q31" s="23">
        <f t="shared" si="26"/>
        <v>539.13043478260875</v>
      </c>
      <c r="R31" s="23">
        <f t="shared" si="26"/>
        <v>12400</v>
      </c>
      <c r="S31" s="23">
        <f t="shared" si="26"/>
        <v>12400</v>
      </c>
      <c r="T31" s="23">
        <f t="shared" si="26"/>
        <v>12400</v>
      </c>
      <c r="U31" s="23">
        <f t="shared" si="26"/>
        <v>12400</v>
      </c>
      <c r="V31" s="23">
        <f t="shared" si="26"/>
        <v>12400</v>
      </c>
      <c r="W31" s="23">
        <f t="shared" si="26"/>
        <v>12400</v>
      </c>
      <c r="X31" s="23">
        <f t="shared" si="26"/>
        <v>12400</v>
      </c>
      <c r="Y31" s="23">
        <f t="shared" si="26"/>
        <v>12400</v>
      </c>
      <c r="Z31" s="23">
        <f t="shared" si="26"/>
        <v>12400</v>
      </c>
      <c r="AA31" s="23">
        <f t="shared" si="26"/>
        <v>12400</v>
      </c>
      <c r="AB31" s="23">
        <f t="shared" si="26"/>
        <v>12400</v>
      </c>
    </row>
    <row r="32" spans="1:28" ht="15.75" customHeight="1" x14ac:dyDescent="0.3">
      <c r="A32" s="12">
        <f>RAW!$A$11</f>
        <v>25200</v>
      </c>
      <c r="B32" s="2"/>
      <c r="C32" s="24" t="s">
        <v>24</v>
      </c>
      <c r="D32" s="23">
        <f t="shared" si="21"/>
        <v>25200</v>
      </c>
      <c r="E32" s="2"/>
      <c r="F32" s="24" t="s">
        <v>24</v>
      </c>
      <c r="G32" s="23">
        <f t="shared" ref="G32:AB32" si="27">$A32/G$5</f>
        <v>1482.3529411764705</v>
      </c>
      <c r="H32" s="23">
        <f t="shared" si="27"/>
        <v>5040</v>
      </c>
      <c r="I32" s="23">
        <f t="shared" si="27"/>
        <v>3150</v>
      </c>
      <c r="J32" s="23">
        <f t="shared" si="27"/>
        <v>3150</v>
      </c>
      <c r="K32" s="23">
        <f t="shared" si="27"/>
        <v>1680</v>
      </c>
      <c r="L32" s="23">
        <f t="shared" si="27"/>
        <v>5040</v>
      </c>
      <c r="M32" s="23">
        <f t="shared" si="27"/>
        <v>315</v>
      </c>
      <c r="N32" s="23">
        <f t="shared" si="27"/>
        <v>6300</v>
      </c>
      <c r="O32" s="23">
        <f t="shared" si="27"/>
        <v>1680</v>
      </c>
      <c r="P32" s="23">
        <f t="shared" si="27"/>
        <v>1575</v>
      </c>
      <c r="Q32" s="23">
        <f t="shared" si="27"/>
        <v>1095.6521739130435</v>
      </c>
      <c r="R32" s="23">
        <f t="shared" si="27"/>
        <v>25200</v>
      </c>
      <c r="S32" s="23">
        <f t="shared" si="27"/>
        <v>25200</v>
      </c>
      <c r="T32" s="23">
        <f t="shared" si="27"/>
        <v>25200</v>
      </c>
      <c r="U32" s="23">
        <f t="shared" si="27"/>
        <v>25200</v>
      </c>
      <c r="V32" s="23">
        <f t="shared" si="27"/>
        <v>25200</v>
      </c>
      <c r="W32" s="23">
        <f t="shared" si="27"/>
        <v>25200</v>
      </c>
      <c r="X32" s="23">
        <f t="shared" si="27"/>
        <v>25200</v>
      </c>
      <c r="Y32" s="23">
        <f t="shared" si="27"/>
        <v>25200</v>
      </c>
      <c r="Z32" s="23">
        <f t="shared" si="27"/>
        <v>25200</v>
      </c>
      <c r="AA32" s="23">
        <f t="shared" si="27"/>
        <v>25200</v>
      </c>
      <c r="AB32" s="23">
        <f t="shared" si="27"/>
        <v>25200</v>
      </c>
    </row>
    <row r="33" spans="1:28" ht="15.75" customHeight="1" x14ac:dyDescent="0.3">
      <c r="A33" s="12">
        <f>RAW!$A$12</f>
        <v>50800</v>
      </c>
      <c r="B33" s="2"/>
      <c r="C33" s="24" t="s">
        <v>25</v>
      </c>
      <c r="D33" s="23">
        <f t="shared" si="21"/>
        <v>50800</v>
      </c>
      <c r="E33" s="2"/>
      <c r="F33" s="24" t="s">
        <v>25</v>
      </c>
      <c r="G33" s="23">
        <f t="shared" ref="G33:AB33" si="28">$A33/G$5</f>
        <v>2988.2352941176468</v>
      </c>
      <c r="H33" s="23">
        <f t="shared" si="28"/>
        <v>10160</v>
      </c>
      <c r="I33" s="23">
        <f t="shared" si="28"/>
        <v>6350</v>
      </c>
      <c r="J33" s="23">
        <f t="shared" si="28"/>
        <v>6350</v>
      </c>
      <c r="K33" s="23">
        <f t="shared" si="28"/>
        <v>3386.6666666666665</v>
      </c>
      <c r="L33" s="23">
        <f t="shared" si="28"/>
        <v>10160</v>
      </c>
      <c r="M33" s="23">
        <f t="shared" si="28"/>
        <v>635</v>
      </c>
      <c r="N33" s="23">
        <f t="shared" si="28"/>
        <v>12700</v>
      </c>
      <c r="O33" s="23">
        <f t="shared" si="28"/>
        <v>3386.6666666666665</v>
      </c>
      <c r="P33" s="23">
        <f t="shared" si="28"/>
        <v>3175</v>
      </c>
      <c r="Q33" s="23">
        <f t="shared" si="28"/>
        <v>2208.695652173913</v>
      </c>
      <c r="R33" s="23">
        <f t="shared" si="28"/>
        <v>50800</v>
      </c>
      <c r="S33" s="23">
        <f t="shared" si="28"/>
        <v>50800</v>
      </c>
      <c r="T33" s="23">
        <f t="shared" si="28"/>
        <v>50800</v>
      </c>
      <c r="U33" s="23">
        <f t="shared" si="28"/>
        <v>50800</v>
      </c>
      <c r="V33" s="23">
        <f t="shared" si="28"/>
        <v>50800</v>
      </c>
      <c r="W33" s="23">
        <f t="shared" si="28"/>
        <v>50800</v>
      </c>
      <c r="X33" s="23">
        <f t="shared" si="28"/>
        <v>50800</v>
      </c>
      <c r="Y33" s="23">
        <f t="shared" si="28"/>
        <v>50800</v>
      </c>
      <c r="Z33" s="23">
        <f t="shared" si="28"/>
        <v>50800</v>
      </c>
      <c r="AA33" s="23">
        <f t="shared" si="28"/>
        <v>50800</v>
      </c>
      <c r="AB33" s="23">
        <f t="shared" si="28"/>
        <v>50800</v>
      </c>
    </row>
    <row r="34" spans="1:28" ht="15.75" customHeight="1" x14ac:dyDescent="0.3">
      <c r="A34" s="12">
        <f>RAW!$A$13</f>
        <v>102000</v>
      </c>
      <c r="B34" s="2"/>
      <c r="C34" s="24" t="s">
        <v>26</v>
      </c>
      <c r="D34" s="23">
        <f t="shared" si="21"/>
        <v>102000</v>
      </c>
      <c r="E34" s="2"/>
      <c r="F34" s="24" t="s">
        <v>26</v>
      </c>
      <c r="G34" s="23">
        <f t="shared" ref="G34:AB34" si="29">$A34/G$5</f>
        <v>6000</v>
      </c>
      <c r="H34" s="23">
        <f t="shared" si="29"/>
        <v>20400</v>
      </c>
      <c r="I34" s="23">
        <f t="shared" si="29"/>
        <v>12750</v>
      </c>
      <c r="J34" s="23">
        <f t="shared" si="29"/>
        <v>12750</v>
      </c>
      <c r="K34" s="23">
        <f t="shared" si="29"/>
        <v>6800</v>
      </c>
      <c r="L34" s="23">
        <f t="shared" si="29"/>
        <v>20400</v>
      </c>
      <c r="M34" s="23">
        <f t="shared" si="29"/>
        <v>1275</v>
      </c>
      <c r="N34" s="23">
        <f t="shared" si="29"/>
        <v>25500</v>
      </c>
      <c r="O34" s="23">
        <f t="shared" si="29"/>
        <v>6800</v>
      </c>
      <c r="P34" s="23">
        <f t="shared" si="29"/>
        <v>6375</v>
      </c>
      <c r="Q34" s="23">
        <f t="shared" si="29"/>
        <v>4434.782608695652</v>
      </c>
      <c r="R34" s="23">
        <f t="shared" si="29"/>
        <v>102000</v>
      </c>
      <c r="S34" s="23">
        <f t="shared" si="29"/>
        <v>102000</v>
      </c>
      <c r="T34" s="23">
        <f t="shared" si="29"/>
        <v>102000</v>
      </c>
      <c r="U34" s="23">
        <f t="shared" si="29"/>
        <v>102000</v>
      </c>
      <c r="V34" s="23">
        <f t="shared" si="29"/>
        <v>102000</v>
      </c>
      <c r="W34" s="23">
        <f t="shared" si="29"/>
        <v>102000</v>
      </c>
      <c r="X34" s="23">
        <f t="shared" si="29"/>
        <v>102000</v>
      </c>
      <c r="Y34" s="23">
        <f t="shared" si="29"/>
        <v>102000</v>
      </c>
      <c r="Z34" s="23">
        <f t="shared" si="29"/>
        <v>102000</v>
      </c>
      <c r="AA34" s="23">
        <f t="shared" si="29"/>
        <v>102000</v>
      </c>
      <c r="AB34" s="23">
        <f t="shared" si="29"/>
        <v>102000</v>
      </c>
    </row>
    <row r="35" spans="1:28" ht="15.75" customHeight="1" x14ac:dyDescent="0.3">
      <c r="A35" s="12">
        <f>RAW!$A$14</f>
        <v>204400</v>
      </c>
      <c r="B35" s="2"/>
      <c r="C35" s="24" t="s">
        <v>27</v>
      </c>
      <c r="D35" s="23">
        <f t="shared" si="21"/>
        <v>204400</v>
      </c>
      <c r="E35" s="2"/>
      <c r="F35" s="24" t="s">
        <v>27</v>
      </c>
      <c r="G35" s="23">
        <f t="shared" ref="G35:AB35" si="30">$A35/G$5</f>
        <v>12023.529411764706</v>
      </c>
      <c r="H35" s="23">
        <f t="shared" si="30"/>
        <v>40880</v>
      </c>
      <c r="I35" s="23">
        <f t="shared" si="30"/>
        <v>25550</v>
      </c>
      <c r="J35" s="23">
        <f t="shared" si="30"/>
        <v>25550</v>
      </c>
      <c r="K35" s="23">
        <f t="shared" si="30"/>
        <v>13626.666666666666</v>
      </c>
      <c r="L35" s="23">
        <f t="shared" si="30"/>
        <v>40880</v>
      </c>
      <c r="M35" s="23">
        <f t="shared" si="30"/>
        <v>2555</v>
      </c>
      <c r="N35" s="23">
        <f t="shared" si="30"/>
        <v>51100</v>
      </c>
      <c r="O35" s="23">
        <f t="shared" si="30"/>
        <v>13626.666666666666</v>
      </c>
      <c r="P35" s="23">
        <f t="shared" si="30"/>
        <v>12775</v>
      </c>
      <c r="Q35" s="23">
        <f t="shared" si="30"/>
        <v>8886.95652173913</v>
      </c>
      <c r="R35" s="23">
        <f t="shared" si="30"/>
        <v>204400</v>
      </c>
      <c r="S35" s="23">
        <f t="shared" si="30"/>
        <v>204400</v>
      </c>
      <c r="T35" s="23">
        <f t="shared" si="30"/>
        <v>204400</v>
      </c>
      <c r="U35" s="23">
        <f t="shared" si="30"/>
        <v>204400</v>
      </c>
      <c r="V35" s="23">
        <f t="shared" si="30"/>
        <v>204400</v>
      </c>
      <c r="W35" s="23">
        <f t="shared" si="30"/>
        <v>204400</v>
      </c>
      <c r="X35" s="23">
        <f t="shared" si="30"/>
        <v>204400</v>
      </c>
      <c r="Y35" s="23">
        <f t="shared" si="30"/>
        <v>204400</v>
      </c>
      <c r="Z35" s="23">
        <f t="shared" si="30"/>
        <v>204400</v>
      </c>
      <c r="AA35" s="23">
        <f t="shared" si="30"/>
        <v>204400</v>
      </c>
      <c r="AB35" s="23">
        <f t="shared" si="30"/>
        <v>204400</v>
      </c>
    </row>
    <row r="36" spans="1:28" ht="15.75" customHeight="1" x14ac:dyDescent="0.3">
      <c r="A36" s="12">
        <f>RAW!$A$15</f>
        <v>409200</v>
      </c>
      <c r="B36" s="2"/>
      <c r="C36" s="24" t="s">
        <v>28</v>
      </c>
      <c r="D36" s="23">
        <f t="shared" si="21"/>
        <v>409200</v>
      </c>
      <c r="E36" s="2"/>
      <c r="F36" s="24" t="s">
        <v>28</v>
      </c>
      <c r="G36" s="23">
        <f t="shared" ref="G36:AB36" si="31">$A36/G$5</f>
        <v>24070.588235294119</v>
      </c>
      <c r="H36" s="23">
        <f t="shared" si="31"/>
        <v>81840</v>
      </c>
      <c r="I36" s="23">
        <f t="shared" si="31"/>
        <v>51150</v>
      </c>
      <c r="J36" s="23">
        <f t="shared" si="31"/>
        <v>51150</v>
      </c>
      <c r="K36" s="23">
        <f t="shared" si="31"/>
        <v>27280</v>
      </c>
      <c r="L36" s="23">
        <f t="shared" si="31"/>
        <v>81840</v>
      </c>
      <c r="M36" s="23">
        <f t="shared" si="31"/>
        <v>5115</v>
      </c>
      <c r="N36" s="23">
        <f t="shared" si="31"/>
        <v>102300</v>
      </c>
      <c r="O36" s="23">
        <f t="shared" si="31"/>
        <v>27280</v>
      </c>
      <c r="P36" s="23">
        <f t="shared" si="31"/>
        <v>25575</v>
      </c>
      <c r="Q36" s="23">
        <f t="shared" si="31"/>
        <v>17791.304347826088</v>
      </c>
      <c r="R36" s="23">
        <f t="shared" si="31"/>
        <v>409200</v>
      </c>
      <c r="S36" s="23">
        <f t="shared" si="31"/>
        <v>409200</v>
      </c>
      <c r="T36" s="23">
        <f t="shared" si="31"/>
        <v>409200</v>
      </c>
      <c r="U36" s="23">
        <f t="shared" si="31"/>
        <v>409200</v>
      </c>
      <c r="V36" s="23">
        <f t="shared" si="31"/>
        <v>409200</v>
      </c>
      <c r="W36" s="23">
        <f t="shared" si="31"/>
        <v>409200</v>
      </c>
      <c r="X36" s="23">
        <f t="shared" si="31"/>
        <v>409200</v>
      </c>
      <c r="Y36" s="23">
        <f t="shared" si="31"/>
        <v>409200</v>
      </c>
      <c r="Z36" s="23">
        <f t="shared" si="31"/>
        <v>409200</v>
      </c>
      <c r="AA36" s="23">
        <f t="shared" si="31"/>
        <v>409200</v>
      </c>
      <c r="AB36" s="23">
        <f t="shared" si="31"/>
        <v>409200</v>
      </c>
    </row>
    <row r="37" spans="1:28" ht="15.75" customHeight="1" x14ac:dyDescent="0.3">
      <c r="A37" s="12">
        <f>RAW!$A$16</f>
        <v>818800</v>
      </c>
      <c r="B37" s="2"/>
      <c r="C37" s="24" t="s">
        <v>29</v>
      </c>
      <c r="D37" s="23">
        <f t="shared" si="21"/>
        <v>818800</v>
      </c>
      <c r="E37" s="2"/>
      <c r="F37" s="24" t="s">
        <v>29</v>
      </c>
      <c r="G37" s="23">
        <f t="shared" ref="G37:AB37" si="32">$A37/G$5</f>
        <v>48164.705882352944</v>
      </c>
      <c r="H37" s="23">
        <f t="shared" si="32"/>
        <v>163760</v>
      </c>
      <c r="I37" s="23">
        <f t="shared" si="32"/>
        <v>102350</v>
      </c>
      <c r="J37" s="23">
        <f t="shared" si="32"/>
        <v>102350</v>
      </c>
      <c r="K37" s="23">
        <f t="shared" si="32"/>
        <v>54586.666666666664</v>
      </c>
      <c r="L37" s="23">
        <f t="shared" si="32"/>
        <v>163760</v>
      </c>
      <c r="M37" s="23">
        <f t="shared" si="32"/>
        <v>10235</v>
      </c>
      <c r="N37" s="23">
        <f t="shared" si="32"/>
        <v>204700</v>
      </c>
      <c r="O37" s="23">
        <f t="shared" si="32"/>
        <v>54586.666666666664</v>
      </c>
      <c r="P37" s="23">
        <f t="shared" si="32"/>
        <v>51175</v>
      </c>
      <c r="Q37" s="23">
        <f t="shared" si="32"/>
        <v>35600</v>
      </c>
      <c r="R37" s="23">
        <f t="shared" si="32"/>
        <v>818800</v>
      </c>
      <c r="S37" s="23">
        <f t="shared" si="32"/>
        <v>818800</v>
      </c>
      <c r="T37" s="23">
        <f t="shared" si="32"/>
        <v>818800</v>
      </c>
      <c r="U37" s="23">
        <f t="shared" si="32"/>
        <v>818800</v>
      </c>
      <c r="V37" s="23">
        <f t="shared" si="32"/>
        <v>818800</v>
      </c>
      <c r="W37" s="23">
        <f t="shared" si="32"/>
        <v>818800</v>
      </c>
      <c r="X37" s="23">
        <f t="shared" si="32"/>
        <v>818800</v>
      </c>
      <c r="Y37" s="23">
        <f t="shared" si="32"/>
        <v>818800</v>
      </c>
      <c r="Z37" s="23">
        <f t="shared" si="32"/>
        <v>818800</v>
      </c>
      <c r="AA37" s="23">
        <f t="shared" si="32"/>
        <v>818800</v>
      </c>
      <c r="AB37" s="23">
        <f t="shared" si="32"/>
        <v>818800</v>
      </c>
    </row>
    <row r="38" spans="1:28" ht="15.75" customHeight="1" x14ac:dyDescent="0.3">
      <c r="A38" s="12">
        <f>RAW!$A$17</f>
        <v>1638000</v>
      </c>
      <c r="B38" s="2"/>
      <c r="C38" s="24" t="s">
        <v>30</v>
      </c>
      <c r="D38" s="23">
        <f t="shared" si="21"/>
        <v>1638000</v>
      </c>
      <c r="E38" s="2"/>
      <c r="F38" s="24" t="s">
        <v>30</v>
      </c>
      <c r="G38" s="23">
        <f t="shared" ref="G38:AB38" si="33">$A38/G$5</f>
        <v>96352.941176470587</v>
      </c>
      <c r="H38" s="23">
        <f t="shared" si="33"/>
        <v>327600</v>
      </c>
      <c r="I38" s="23">
        <f t="shared" si="33"/>
        <v>204750</v>
      </c>
      <c r="J38" s="23">
        <f t="shared" si="33"/>
        <v>204750</v>
      </c>
      <c r="K38" s="23">
        <f t="shared" si="33"/>
        <v>109200</v>
      </c>
      <c r="L38" s="23">
        <f t="shared" si="33"/>
        <v>327600</v>
      </c>
      <c r="M38" s="23">
        <f t="shared" si="33"/>
        <v>20475</v>
      </c>
      <c r="N38" s="23">
        <f t="shared" si="33"/>
        <v>409500</v>
      </c>
      <c r="O38" s="23">
        <f t="shared" si="33"/>
        <v>109200</v>
      </c>
      <c r="P38" s="23">
        <f t="shared" si="33"/>
        <v>102375</v>
      </c>
      <c r="Q38" s="23">
        <f t="shared" si="33"/>
        <v>71217.391304347824</v>
      </c>
      <c r="R38" s="23">
        <f t="shared" si="33"/>
        <v>1638000</v>
      </c>
      <c r="S38" s="23">
        <f t="shared" si="33"/>
        <v>1638000</v>
      </c>
      <c r="T38" s="23">
        <f t="shared" si="33"/>
        <v>1638000</v>
      </c>
      <c r="U38" s="23">
        <f t="shared" si="33"/>
        <v>1638000</v>
      </c>
      <c r="V38" s="23">
        <f t="shared" si="33"/>
        <v>1638000</v>
      </c>
      <c r="W38" s="23">
        <f t="shared" si="33"/>
        <v>1638000</v>
      </c>
      <c r="X38" s="23">
        <f t="shared" si="33"/>
        <v>1638000</v>
      </c>
      <c r="Y38" s="23">
        <f t="shared" si="33"/>
        <v>1638000</v>
      </c>
      <c r="Z38" s="23">
        <f t="shared" si="33"/>
        <v>1638000</v>
      </c>
      <c r="AA38" s="23">
        <f t="shared" si="33"/>
        <v>1638000</v>
      </c>
      <c r="AB38" s="23">
        <f t="shared" si="33"/>
        <v>1638000</v>
      </c>
    </row>
    <row r="39" spans="1:28" ht="15.75" customHeight="1" x14ac:dyDescent="0.3">
      <c r="A39" s="12">
        <f>RAW!$A$18</f>
        <v>3276400</v>
      </c>
      <c r="B39" s="2"/>
      <c r="C39" s="24" t="s">
        <v>31</v>
      </c>
      <c r="D39" s="23">
        <f t="shared" si="21"/>
        <v>3276400</v>
      </c>
      <c r="E39" s="2"/>
      <c r="F39" s="24" t="s">
        <v>31</v>
      </c>
      <c r="G39" s="23">
        <f t="shared" ref="G39:AB39" si="34">$A39/G$5</f>
        <v>192729.41176470587</v>
      </c>
      <c r="H39" s="23">
        <f t="shared" si="34"/>
        <v>655280</v>
      </c>
      <c r="I39" s="23">
        <f t="shared" si="34"/>
        <v>409550</v>
      </c>
      <c r="J39" s="23">
        <f t="shared" si="34"/>
        <v>409550</v>
      </c>
      <c r="K39" s="23">
        <f t="shared" si="34"/>
        <v>218426.66666666666</v>
      </c>
      <c r="L39" s="23">
        <f t="shared" si="34"/>
        <v>655280</v>
      </c>
      <c r="M39" s="23">
        <f t="shared" si="34"/>
        <v>40955</v>
      </c>
      <c r="N39" s="23">
        <f t="shared" si="34"/>
        <v>819100</v>
      </c>
      <c r="O39" s="23">
        <f t="shared" si="34"/>
        <v>218426.66666666666</v>
      </c>
      <c r="P39" s="23">
        <f t="shared" si="34"/>
        <v>204775</v>
      </c>
      <c r="Q39" s="23">
        <f t="shared" si="34"/>
        <v>142452.17391304349</v>
      </c>
      <c r="R39" s="23">
        <f t="shared" si="34"/>
        <v>3276400</v>
      </c>
      <c r="S39" s="23">
        <f t="shared" si="34"/>
        <v>3276400</v>
      </c>
      <c r="T39" s="23">
        <f t="shared" si="34"/>
        <v>3276400</v>
      </c>
      <c r="U39" s="23">
        <f t="shared" si="34"/>
        <v>3276400</v>
      </c>
      <c r="V39" s="23">
        <f t="shared" si="34"/>
        <v>3276400</v>
      </c>
      <c r="W39" s="23">
        <f t="shared" si="34"/>
        <v>3276400</v>
      </c>
      <c r="X39" s="23">
        <f t="shared" si="34"/>
        <v>3276400</v>
      </c>
      <c r="Y39" s="23">
        <f t="shared" si="34"/>
        <v>3276400</v>
      </c>
      <c r="Z39" s="23">
        <f t="shared" si="34"/>
        <v>3276400</v>
      </c>
      <c r="AA39" s="23">
        <f t="shared" si="34"/>
        <v>3276400</v>
      </c>
      <c r="AB39" s="23">
        <f t="shared" si="34"/>
        <v>3276400</v>
      </c>
    </row>
    <row r="40" spans="1:28" ht="15.75" customHeight="1" x14ac:dyDescent="0.3">
      <c r="A40" s="12">
        <f>RAW!$A$19</f>
        <v>6553200</v>
      </c>
      <c r="B40" s="2"/>
      <c r="C40" s="24" t="s">
        <v>32</v>
      </c>
      <c r="D40" s="23">
        <f t="shared" si="21"/>
        <v>6553200</v>
      </c>
      <c r="E40" s="2"/>
      <c r="F40" s="24" t="s">
        <v>32</v>
      </c>
      <c r="G40" s="23">
        <f t="shared" ref="G40:AB40" si="35">$A40/G$5</f>
        <v>385482.35294117645</v>
      </c>
      <c r="H40" s="23">
        <f t="shared" si="35"/>
        <v>1310640</v>
      </c>
      <c r="I40" s="23">
        <f t="shared" si="35"/>
        <v>819150</v>
      </c>
      <c r="J40" s="23">
        <f t="shared" si="35"/>
        <v>819150</v>
      </c>
      <c r="K40" s="23">
        <f t="shared" si="35"/>
        <v>436880</v>
      </c>
      <c r="L40" s="23">
        <f t="shared" si="35"/>
        <v>1310640</v>
      </c>
      <c r="M40" s="23">
        <f t="shared" si="35"/>
        <v>81915</v>
      </c>
      <c r="N40" s="23">
        <f t="shared" si="35"/>
        <v>1638300</v>
      </c>
      <c r="O40" s="23">
        <f t="shared" si="35"/>
        <v>436880</v>
      </c>
      <c r="P40" s="23">
        <f t="shared" si="35"/>
        <v>409575</v>
      </c>
      <c r="Q40" s="23">
        <f t="shared" si="35"/>
        <v>284921.73913043475</v>
      </c>
      <c r="R40" s="23">
        <f t="shared" si="35"/>
        <v>6553200</v>
      </c>
      <c r="S40" s="23">
        <f t="shared" si="35"/>
        <v>6553200</v>
      </c>
      <c r="T40" s="23">
        <f t="shared" si="35"/>
        <v>6553200</v>
      </c>
      <c r="U40" s="23">
        <f t="shared" si="35"/>
        <v>6553200</v>
      </c>
      <c r="V40" s="23">
        <f t="shared" si="35"/>
        <v>6553200</v>
      </c>
      <c r="W40" s="23">
        <f t="shared" si="35"/>
        <v>6553200</v>
      </c>
      <c r="X40" s="23">
        <f t="shared" si="35"/>
        <v>6553200</v>
      </c>
      <c r="Y40" s="23">
        <f t="shared" si="35"/>
        <v>6553200</v>
      </c>
      <c r="Z40" s="23">
        <f t="shared" si="35"/>
        <v>6553200</v>
      </c>
      <c r="AA40" s="23">
        <f t="shared" si="35"/>
        <v>6553200</v>
      </c>
      <c r="AB40" s="23">
        <f t="shared" si="35"/>
        <v>6553200</v>
      </c>
    </row>
    <row r="41" spans="1:28" ht="15.75" customHeight="1" x14ac:dyDescent="0.3">
      <c r="A41" s="12">
        <f>RAW!$A$20</f>
        <v>13106800</v>
      </c>
      <c r="B41" s="2"/>
      <c r="C41" s="24" t="s">
        <v>33</v>
      </c>
      <c r="D41" s="23">
        <f t="shared" si="21"/>
        <v>13106800</v>
      </c>
      <c r="E41" s="2"/>
      <c r="F41" s="24" t="s">
        <v>33</v>
      </c>
      <c r="G41" s="23">
        <f t="shared" ref="G41:AB41" si="36">$A41/G$5</f>
        <v>770988.23529411759</v>
      </c>
      <c r="H41" s="23">
        <f t="shared" si="36"/>
        <v>2621360</v>
      </c>
      <c r="I41" s="23">
        <f t="shared" si="36"/>
        <v>1638350</v>
      </c>
      <c r="J41" s="23">
        <f t="shared" si="36"/>
        <v>1638350</v>
      </c>
      <c r="K41" s="23">
        <f t="shared" si="36"/>
        <v>873786.66666666663</v>
      </c>
      <c r="L41" s="23">
        <f t="shared" si="36"/>
        <v>2621360</v>
      </c>
      <c r="M41" s="23">
        <f t="shared" si="36"/>
        <v>163835</v>
      </c>
      <c r="N41" s="23">
        <f t="shared" si="36"/>
        <v>3276700</v>
      </c>
      <c r="O41" s="23">
        <f t="shared" si="36"/>
        <v>873786.66666666663</v>
      </c>
      <c r="P41" s="23">
        <f t="shared" si="36"/>
        <v>819175</v>
      </c>
      <c r="Q41" s="23">
        <f t="shared" si="36"/>
        <v>569860.86956521741</v>
      </c>
      <c r="R41" s="23">
        <f t="shared" si="36"/>
        <v>13106800</v>
      </c>
      <c r="S41" s="23">
        <f t="shared" si="36"/>
        <v>13106800</v>
      </c>
      <c r="T41" s="23">
        <f t="shared" si="36"/>
        <v>13106800</v>
      </c>
      <c r="U41" s="23">
        <f t="shared" si="36"/>
        <v>13106800</v>
      </c>
      <c r="V41" s="23">
        <f t="shared" si="36"/>
        <v>13106800</v>
      </c>
      <c r="W41" s="23">
        <f t="shared" si="36"/>
        <v>13106800</v>
      </c>
      <c r="X41" s="23">
        <f t="shared" si="36"/>
        <v>13106800</v>
      </c>
      <c r="Y41" s="23">
        <f t="shared" si="36"/>
        <v>13106800</v>
      </c>
      <c r="Z41" s="23">
        <f t="shared" si="36"/>
        <v>13106800</v>
      </c>
      <c r="AA41" s="23">
        <f t="shared" si="36"/>
        <v>13106800</v>
      </c>
      <c r="AB41" s="23">
        <f t="shared" si="36"/>
        <v>13106800</v>
      </c>
    </row>
    <row r="42" spans="1:28" ht="15.75" customHeight="1" x14ac:dyDescent="0.3">
      <c r="A42" s="12">
        <f>RAW!$A$21</f>
        <v>26214000</v>
      </c>
      <c r="B42" s="2"/>
      <c r="C42" s="24" t="s">
        <v>34</v>
      </c>
      <c r="D42" s="23">
        <f t="shared" si="21"/>
        <v>26214000</v>
      </c>
      <c r="E42" s="2"/>
      <c r="F42" s="24" t="s">
        <v>34</v>
      </c>
      <c r="G42" s="23">
        <f t="shared" ref="G42:AB42" si="37">$A42/G$5</f>
        <v>1542000</v>
      </c>
      <c r="H42" s="23">
        <f t="shared" si="37"/>
        <v>5242800</v>
      </c>
      <c r="I42" s="23">
        <f t="shared" si="37"/>
        <v>3276750</v>
      </c>
      <c r="J42" s="23">
        <f t="shared" si="37"/>
        <v>3276750</v>
      </c>
      <c r="K42" s="23">
        <f t="shared" si="37"/>
        <v>1747600</v>
      </c>
      <c r="L42" s="23">
        <f t="shared" si="37"/>
        <v>5242800</v>
      </c>
      <c r="M42" s="23">
        <f t="shared" si="37"/>
        <v>327675</v>
      </c>
      <c r="N42" s="23">
        <f t="shared" si="37"/>
        <v>6553500</v>
      </c>
      <c r="O42" s="23">
        <f t="shared" si="37"/>
        <v>1747600</v>
      </c>
      <c r="P42" s="23">
        <f t="shared" si="37"/>
        <v>1638375</v>
      </c>
      <c r="Q42" s="23">
        <f t="shared" si="37"/>
        <v>1139739.1304347827</v>
      </c>
      <c r="R42" s="23">
        <f t="shared" si="37"/>
        <v>26214000</v>
      </c>
      <c r="S42" s="23">
        <f t="shared" si="37"/>
        <v>26214000</v>
      </c>
      <c r="T42" s="23">
        <f t="shared" si="37"/>
        <v>26214000</v>
      </c>
      <c r="U42" s="23">
        <f t="shared" si="37"/>
        <v>26214000</v>
      </c>
      <c r="V42" s="23">
        <f t="shared" si="37"/>
        <v>26214000</v>
      </c>
      <c r="W42" s="23">
        <f t="shared" si="37"/>
        <v>26214000</v>
      </c>
      <c r="X42" s="23">
        <f t="shared" si="37"/>
        <v>26214000</v>
      </c>
      <c r="Y42" s="23">
        <f t="shared" si="37"/>
        <v>26214000</v>
      </c>
      <c r="Z42" s="23">
        <f t="shared" si="37"/>
        <v>26214000</v>
      </c>
      <c r="AA42" s="23">
        <f t="shared" si="37"/>
        <v>26214000</v>
      </c>
      <c r="AB42" s="23">
        <f t="shared" si="37"/>
        <v>26214000</v>
      </c>
    </row>
    <row r="43" spans="1:28" ht="15.75" customHeight="1" x14ac:dyDescent="0.3">
      <c r="A43" s="12">
        <f>RAW!$A$22</f>
        <v>52428400</v>
      </c>
      <c r="B43" s="2"/>
      <c r="C43" s="24" t="s">
        <v>35</v>
      </c>
      <c r="D43" s="23">
        <f t="shared" si="21"/>
        <v>52428400</v>
      </c>
      <c r="E43" s="2"/>
      <c r="F43" s="24" t="s">
        <v>35</v>
      </c>
      <c r="G43" s="23">
        <f t="shared" ref="G43:AB43" si="38">$A43/G$5</f>
        <v>3084023.5294117648</v>
      </c>
      <c r="H43" s="23">
        <f t="shared" si="38"/>
        <v>10485680</v>
      </c>
      <c r="I43" s="23">
        <f t="shared" si="38"/>
        <v>6553550</v>
      </c>
      <c r="J43" s="23">
        <f t="shared" si="38"/>
        <v>6553550</v>
      </c>
      <c r="K43" s="23">
        <f t="shared" si="38"/>
        <v>3495226.6666666665</v>
      </c>
      <c r="L43" s="23">
        <f t="shared" si="38"/>
        <v>10485680</v>
      </c>
      <c r="M43" s="23">
        <f t="shared" si="38"/>
        <v>655355</v>
      </c>
      <c r="N43" s="23">
        <f t="shared" si="38"/>
        <v>13107100</v>
      </c>
      <c r="O43" s="23">
        <f t="shared" si="38"/>
        <v>3495226.6666666665</v>
      </c>
      <c r="P43" s="23">
        <f t="shared" si="38"/>
        <v>3276775</v>
      </c>
      <c r="Q43" s="23">
        <f t="shared" si="38"/>
        <v>2279495.6521739131</v>
      </c>
      <c r="R43" s="23">
        <f t="shared" si="38"/>
        <v>52428400</v>
      </c>
      <c r="S43" s="23">
        <f t="shared" si="38"/>
        <v>52428400</v>
      </c>
      <c r="T43" s="23">
        <f t="shared" si="38"/>
        <v>52428400</v>
      </c>
      <c r="U43" s="23">
        <f t="shared" si="38"/>
        <v>52428400</v>
      </c>
      <c r="V43" s="23">
        <f t="shared" si="38"/>
        <v>52428400</v>
      </c>
      <c r="W43" s="23">
        <f t="shared" si="38"/>
        <v>52428400</v>
      </c>
      <c r="X43" s="23">
        <f t="shared" si="38"/>
        <v>52428400</v>
      </c>
      <c r="Y43" s="23">
        <f t="shared" si="38"/>
        <v>52428400</v>
      </c>
      <c r="Z43" s="23">
        <f t="shared" si="38"/>
        <v>52428400</v>
      </c>
      <c r="AA43" s="23">
        <f t="shared" si="38"/>
        <v>52428400</v>
      </c>
      <c r="AB43" s="23">
        <f t="shared" si="38"/>
        <v>52428400</v>
      </c>
    </row>
    <row r="44" spans="1:28" ht="15.75" customHeight="1" x14ac:dyDescent="0.3">
      <c r="A44" s="3"/>
      <c r="B44" s="2"/>
      <c r="C44" s="29"/>
      <c r="D44" s="30"/>
      <c r="E44" s="2"/>
      <c r="F44" s="3"/>
      <c r="G44" s="31" t="s">
        <v>38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15.75" customHeight="1" x14ac:dyDescent="0.3">
      <c r="A45" s="19" t="s">
        <v>37</v>
      </c>
      <c r="B45" s="2"/>
      <c r="C45" s="10" t="s">
        <v>9</v>
      </c>
      <c r="D45" s="10" t="s">
        <v>10</v>
      </c>
      <c r="E45" s="2"/>
      <c r="F45" s="20" t="s">
        <v>9</v>
      </c>
      <c r="G45" s="11" t="str">
        <f t="shared" ref="G45:AB45" si="39">G26</f>
        <v>Itagiba</v>
      </c>
      <c r="H45" s="11" t="str">
        <f t="shared" si="39"/>
        <v>Neferteri</v>
      </c>
      <c r="I45" s="11" t="str">
        <f t="shared" si="39"/>
        <v>Yacamim</v>
      </c>
      <c r="J45" s="11" t="str">
        <f t="shared" si="39"/>
        <v>Maiara</v>
      </c>
      <c r="K45" s="11" t="str">
        <f t="shared" si="39"/>
        <v>Eori</v>
      </c>
      <c r="L45" s="11" t="str">
        <f t="shared" si="39"/>
        <v>Nina</v>
      </c>
      <c r="M45" s="11" t="str">
        <f t="shared" si="39"/>
        <v>Gabiro</v>
      </c>
      <c r="N45" s="11" t="str">
        <f t="shared" si="39"/>
        <v>Kibe</v>
      </c>
      <c r="O45" s="11" t="str">
        <f t="shared" si="39"/>
        <v>Eiri</v>
      </c>
      <c r="P45" s="11" t="str">
        <f t="shared" si="39"/>
        <v>Coema</v>
      </c>
      <c r="Q45" s="11" t="str">
        <f t="shared" si="39"/>
        <v>Sora</v>
      </c>
      <c r="R45" s="11" t="str">
        <f t="shared" si="39"/>
        <v>Kiko</v>
      </c>
      <c r="S45" s="11" t="str">
        <f t="shared" si="39"/>
        <v>Zico</v>
      </c>
      <c r="T45" s="11" t="str">
        <f t="shared" si="39"/>
        <v>Huneo</v>
      </c>
      <c r="U45" s="11">
        <f t="shared" si="39"/>
        <v>0</v>
      </c>
      <c r="V45" s="11">
        <f t="shared" si="39"/>
        <v>0</v>
      </c>
      <c r="W45" s="11">
        <f t="shared" si="39"/>
        <v>0</v>
      </c>
      <c r="X45" s="11">
        <f t="shared" si="39"/>
        <v>0</v>
      </c>
      <c r="Y45" s="11">
        <f t="shared" si="39"/>
        <v>0</v>
      </c>
      <c r="Z45" s="11">
        <f t="shared" si="39"/>
        <v>0</v>
      </c>
      <c r="AA45" s="11">
        <f t="shared" si="39"/>
        <v>0</v>
      </c>
      <c r="AB45" s="11">
        <f t="shared" si="39"/>
        <v>0</v>
      </c>
    </row>
    <row r="46" spans="1:28" ht="15.75" customHeight="1" x14ac:dyDescent="0.3">
      <c r="A46" s="12">
        <f>RAW!$A$6</f>
        <v>400</v>
      </c>
      <c r="B46" s="2"/>
      <c r="C46" s="21" t="s">
        <v>19</v>
      </c>
      <c r="D46" s="22">
        <f t="shared" ref="D46:D62" si="40">($A46/D$5)/365</f>
        <v>1.095890410958904</v>
      </c>
      <c r="E46" s="2"/>
      <c r="F46" s="21" t="s">
        <v>19</v>
      </c>
      <c r="G46" s="23">
        <f t="shared" ref="G46:AB46" si="41">($A46/G$5)/365</f>
        <v>6.4464141821112014E-2</v>
      </c>
      <c r="H46" s="23">
        <f t="shared" si="41"/>
        <v>0.21917808219178081</v>
      </c>
      <c r="I46" s="23">
        <f t="shared" si="41"/>
        <v>0.13698630136986301</v>
      </c>
      <c r="J46" s="23">
        <f t="shared" si="41"/>
        <v>0.13698630136986301</v>
      </c>
      <c r="K46" s="23">
        <f t="shared" si="41"/>
        <v>7.3059360730593617E-2</v>
      </c>
      <c r="L46" s="23">
        <f t="shared" si="41"/>
        <v>0.21917808219178081</v>
      </c>
      <c r="M46" s="23">
        <f t="shared" si="41"/>
        <v>1.3698630136986301E-2</v>
      </c>
      <c r="N46" s="23">
        <f t="shared" si="41"/>
        <v>0.27397260273972601</v>
      </c>
      <c r="O46" s="23">
        <f t="shared" si="41"/>
        <v>7.3059360730593617E-2</v>
      </c>
      <c r="P46" s="23">
        <f t="shared" si="41"/>
        <v>6.8493150684931503E-2</v>
      </c>
      <c r="Q46" s="23">
        <f t="shared" si="41"/>
        <v>4.7647409172126266E-2</v>
      </c>
      <c r="R46" s="23">
        <f t="shared" si="41"/>
        <v>1.095890410958904</v>
      </c>
      <c r="S46" s="23">
        <f t="shared" si="41"/>
        <v>1.095890410958904</v>
      </c>
      <c r="T46" s="23">
        <f t="shared" si="41"/>
        <v>1.095890410958904</v>
      </c>
      <c r="U46" s="23">
        <f t="shared" si="41"/>
        <v>1.095890410958904</v>
      </c>
      <c r="V46" s="23">
        <f t="shared" si="41"/>
        <v>1.095890410958904</v>
      </c>
      <c r="W46" s="23">
        <f t="shared" si="41"/>
        <v>1.095890410958904</v>
      </c>
      <c r="X46" s="23">
        <f t="shared" si="41"/>
        <v>1.095890410958904</v>
      </c>
      <c r="Y46" s="23">
        <f t="shared" si="41"/>
        <v>1.095890410958904</v>
      </c>
      <c r="Z46" s="23">
        <f t="shared" si="41"/>
        <v>1.095890410958904</v>
      </c>
      <c r="AA46" s="23">
        <f t="shared" si="41"/>
        <v>1.095890410958904</v>
      </c>
      <c r="AB46" s="23">
        <f t="shared" si="41"/>
        <v>1.095890410958904</v>
      </c>
    </row>
    <row r="47" spans="1:28" ht="15.75" customHeight="1" x14ac:dyDescent="0.3">
      <c r="A47" s="12">
        <f>RAW!$A$7</f>
        <v>1200</v>
      </c>
      <c r="B47" s="2"/>
      <c r="C47" s="24" t="s">
        <v>20</v>
      </c>
      <c r="D47" s="23">
        <f t="shared" si="40"/>
        <v>3.2876712328767121</v>
      </c>
      <c r="E47" s="2"/>
      <c r="F47" s="24" t="s">
        <v>20</v>
      </c>
      <c r="G47" s="23">
        <f t="shared" ref="G47:AB47" si="42">($A47/G$5)/365</f>
        <v>0.19339242546333604</v>
      </c>
      <c r="H47" s="23">
        <f t="shared" si="42"/>
        <v>0.65753424657534243</v>
      </c>
      <c r="I47" s="23">
        <f t="shared" si="42"/>
        <v>0.41095890410958902</v>
      </c>
      <c r="J47" s="23">
        <f t="shared" si="42"/>
        <v>0.41095890410958902</v>
      </c>
      <c r="K47" s="23">
        <f t="shared" si="42"/>
        <v>0.21917808219178081</v>
      </c>
      <c r="L47" s="23">
        <f t="shared" si="42"/>
        <v>0.65753424657534243</v>
      </c>
      <c r="M47" s="23">
        <f t="shared" si="42"/>
        <v>4.1095890410958902E-2</v>
      </c>
      <c r="N47" s="23">
        <f t="shared" si="42"/>
        <v>0.82191780821917804</v>
      </c>
      <c r="O47" s="23">
        <f t="shared" si="42"/>
        <v>0.21917808219178081</v>
      </c>
      <c r="P47" s="23">
        <f t="shared" si="42"/>
        <v>0.20547945205479451</v>
      </c>
      <c r="Q47" s="23">
        <f t="shared" si="42"/>
        <v>0.14294222751637878</v>
      </c>
      <c r="R47" s="23">
        <f t="shared" si="42"/>
        <v>3.2876712328767121</v>
      </c>
      <c r="S47" s="23">
        <f t="shared" si="42"/>
        <v>3.2876712328767121</v>
      </c>
      <c r="T47" s="23">
        <f t="shared" si="42"/>
        <v>3.2876712328767121</v>
      </c>
      <c r="U47" s="23">
        <f t="shared" si="42"/>
        <v>3.2876712328767121</v>
      </c>
      <c r="V47" s="23">
        <f t="shared" si="42"/>
        <v>3.2876712328767121</v>
      </c>
      <c r="W47" s="23">
        <f t="shared" si="42"/>
        <v>3.2876712328767121</v>
      </c>
      <c r="X47" s="23">
        <f t="shared" si="42"/>
        <v>3.2876712328767121</v>
      </c>
      <c r="Y47" s="23">
        <f t="shared" si="42"/>
        <v>3.2876712328767121</v>
      </c>
      <c r="Z47" s="23">
        <f t="shared" si="42"/>
        <v>3.2876712328767121</v>
      </c>
      <c r="AA47" s="23">
        <f t="shared" si="42"/>
        <v>3.2876712328767121</v>
      </c>
      <c r="AB47" s="23">
        <f t="shared" si="42"/>
        <v>3.2876712328767121</v>
      </c>
    </row>
    <row r="48" spans="1:28" ht="15.75" customHeight="1" x14ac:dyDescent="0.3">
      <c r="A48" s="12">
        <f>RAW!$A$8</f>
        <v>2800</v>
      </c>
      <c r="B48" s="2"/>
      <c r="C48" s="24" t="s">
        <v>21</v>
      </c>
      <c r="D48" s="23">
        <f t="shared" si="40"/>
        <v>7.6712328767123283</v>
      </c>
      <c r="E48" s="2"/>
      <c r="F48" s="24" t="s">
        <v>21</v>
      </c>
      <c r="G48" s="23">
        <f t="shared" ref="G48:AB48" si="43">($A48/G$5)/365</f>
        <v>0.45124899274778407</v>
      </c>
      <c r="H48" s="23">
        <f t="shared" si="43"/>
        <v>1.5342465753424657</v>
      </c>
      <c r="I48" s="23">
        <f t="shared" si="43"/>
        <v>0.95890410958904104</v>
      </c>
      <c r="J48" s="23">
        <f t="shared" si="43"/>
        <v>0.95890410958904104</v>
      </c>
      <c r="K48" s="23">
        <f t="shared" si="43"/>
        <v>0.51141552511415522</v>
      </c>
      <c r="L48" s="23">
        <f t="shared" si="43"/>
        <v>1.5342465753424657</v>
      </c>
      <c r="M48" s="23">
        <f t="shared" si="43"/>
        <v>9.5890410958904104E-2</v>
      </c>
      <c r="N48" s="23">
        <f t="shared" si="43"/>
        <v>1.9178082191780821</v>
      </c>
      <c r="O48" s="23">
        <f t="shared" si="43"/>
        <v>0.51141552511415522</v>
      </c>
      <c r="P48" s="23">
        <f t="shared" si="43"/>
        <v>0.47945205479452052</v>
      </c>
      <c r="Q48" s="23">
        <f t="shared" si="43"/>
        <v>0.33353186420488384</v>
      </c>
      <c r="R48" s="23">
        <f t="shared" si="43"/>
        <v>7.6712328767123283</v>
      </c>
      <c r="S48" s="23">
        <f t="shared" si="43"/>
        <v>7.6712328767123283</v>
      </c>
      <c r="T48" s="23">
        <f t="shared" si="43"/>
        <v>7.6712328767123283</v>
      </c>
      <c r="U48" s="23">
        <f t="shared" si="43"/>
        <v>7.6712328767123283</v>
      </c>
      <c r="V48" s="23">
        <f t="shared" si="43"/>
        <v>7.6712328767123283</v>
      </c>
      <c r="W48" s="23">
        <f t="shared" si="43"/>
        <v>7.6712328767123283</v>
      </c>
      <c r="X48" s="23">
        <f t="shared" si="43"/>
        <v>7.6712328767123283</v>
      </c>
      <c r="Y48" s="23">
        <f t="shared" si="43"/>
        <v>7.6712328767123283</v>
      </c>
      <c r="Z48" s="23">
        <f t="shared" si="43"/>
        <v>7.6712328767123283</v>
      </c>
      <c r="AA48" s="23">
        <f t="shared" si="43"/>
        <v>7.6712328767123283</v>
      </c>
      <c r="AB48" s="23">
        <f t="shared" si="43"/>
        <v>7.6712328767123283</v>
      </c>
    </row>
    <row r="49" spans="1:28" ht="15.75" customHeight="1" x14ac:dyDescent="0.3">
      <c r="A49" s="12">
        <f>RAW!$A$9</f>
        <v>6000</v>
      </c>
      <c r="B49" s="2"/>
      <c r="C49" s="24" t="s">
        <v>22</v>
      </c>
      <c r="D49" s="23">
        <f t="shared" si="40"/>
        <v>16.438356164383563</v>
      </c>
      <c r="E49" s="2"/>
      <c r="F49" s="24" t="s">
        <v>22</v>
      </c>
      <c r="G49" s="23">
        <f t="shared" ref="G49:AB49" si="44">($A49/G$5)/365</f>
        <v>0.96696212731668008</v>
      </c>
      <c r="H49" s="23">
        <f t="shared" si="44"/>
        <v>3.2876712328767121</v>
      </c>
      <c r="I49" s="23">
        <f t="shared" si="44"/>
        <v>2.0547945205479454</v>
      </c>
      <c r="J49" s="23">
        <f t="shared" si="44"/>
        <v>2.0547945205479454</v>
      </c>
      <c r="K49" s="23">
        <f t="shared" si="44"/>
        <v>1.095890410958904</v>
      </c>
      <c r="L49" s="23">
        <f t="shared" si="44"/>
        <v>3.2876712328767121</v>
      </c>
      <c r="M49" s="23">
        <f t="shared" si="44"/>
        <v>0.20547945205479451</v>
      </c>
      <c r="N49" s="23">
        <f t="shared" si="44"/>
        <v>4.1095890410958908</v>
      </c>
      <c r="O49" s="23">
        <f t="shared" si="44"/>
        <v>1.095890410958904</v>
      </c>
      <c r="P49" s="23">
        <f t="shared" si="44"/>
        <v>1.0273972602739727</v>
      </c>
      <c r="Q49" s="23">
        <f t="shared" si="44"/>
        <v>0.71471113758189397</v>
      </c>
      <c r="R49" s="23">
        <f t="shared" si="44"/>
        <v>16.438356164383563</v>
      </c>
      <c r="S49" s="23">
        <f t="shared" si="44"/>
        <v>16.438356164383563</v>
      </c>
      <c r="T49" s="23">
        <f t="shared" si="44"/>
        <v>16.438356164383563</v>
      </c>
      <c r="U49" s="23">
        <f t="shared" si="44"/>
        <v>16.438356164383563</v>
      </c>
      <c r="V49" s="23">
        <f t="shared" si="44"/>
        <v>16.438356164383563</v>
      </c>
      <c r="W49" s="23">
        <f t="shared" si="44"/>
        <v>16.438356164383563</v>
      </c>
      <c r="X49" s="23">
        <f t="shared" si="44"/>
        <v>16.438356164383563</v>
      </c>
      <c r="Y49" s="23">
        <f t="shared" si="44"/>
        <v>16.438356164383563</v>
      </c>
      <c r="Z49" s="23">
        <f t="shared" si="44"/>
        <v>16.438356164383563</v>
      </c>
      <c r="AA49" s="23">
        <f t="shared" si="44"/>
        <v>16.438356164383563</v>
      </c>
      <c r="AB49" s="23">
        <f t="shared" si="44"/>
        <v>16.438356164383563</v>
      </c>
    </row>
    <row r="50" spans="1:28" ht="15.75" customHeight="1" x14ac:dyDescent="0.3">
      <c r="A50" s="12">
        <f>RAW!$A$10</f>
        <v>12400</v>
      </c>
      <c r="B50" s="2"/>
      <c r="C50" s="24" t="s">
        <v>23</v>
      </c>
      <c r="D50" s="23">
        <f t="shared" si="40"/>
        <v>33.972602739726028</v>
      </c>
      <c r="E50" s="2"/>
      <c r="F50" s="24" t="s">
        <v>23</v>
      </c>
      <c r="G50" s="23">
        <f t="shared" ref="G50:AB50" si="45">($A50/G$5)/365</f>
        <v>1.9983883964544722</v>
      </c>
      <c r="H50" s="23">
        <f t="shared" si="45"/>
        <v>6.7945205479452051</v>
      </c>
      <c r="I50" s="23">
        <f t="shared" si="45"/>
        <v>4.2465753424657535</v>
      </c>
      <c r="J50" s="23">
        <f t="shared" si="45"/>
        <v>4.2465753424657535</v>
      </c>
      <c r="K50" s="23">
        <f t="shared" si="45"/>
        <v>2.2648401826484017</v>
      </c>
      <c r="L50" s="23">
        <f t="shared" si="45"/>
        <v>6.7945205479452051</v>
      </c>
      <c r="M50" s="23">
        <f t="shared" si="45"/>
        <v>0.42465753424657532</v>
      </c>
      <c r="N50" s="23">
        <f t="shared" si="45"/>
        <v>8.493150684931507</v>
      </c>
      <c r="O50" s="23">
        <f t="shared" si="45"/>
        <v>2.2648401826484017</v>
      </c>
      <c r="P50" s="23">
        <f t="shared" si="45"/>
        <v>2.1232876712328768</v>
      </c>
      <c r="Q50" s="23">
        <f t="shared" si="45"/>
        <v>1.4770696843359143</v>
      </c>
      <c r="R50" s="23">
        <f t="shared" si="45"/>
        <v>33.972602739726028</v>
      </c>
      <c r="S50" s="23">
        <f t="shared" si="45"/>
        <v>33.972602739726028</v>
      </c>
      <c r="T50" s="23">
        <f t="shared" si="45"/>
        <v>33.972602739726028</v>
      </c>
      <c r="U50" s="23">
        <f t="shared" si="45"/>
        <v>33.972602739726028</v>
      </c>
      <c r="V50" s="23">
        <f t="shared" si="45"/>
        <v>33.972602739726028</v>
      </c>
      <c r="W50" s="23">
        <f t="shared" si="45"/>
        <v>33.972602739726028</v>
      </c>
      <c r="X50" s="23">
        <f t="shared" si="45"/>
        <v>33.972602739726028</v>
      </c>
      <c r="Y50" s="23">
        <f t="shared" si="45"/>
        <v>33.972602739726028</v>
      </c>
      <c r="Z50" s="23">
        <f t="shared" si="45"/>
        <v>33.972602739726028</v>
      </c>
      <c r="AA50" s="23">
        <f t="shared" si="45"/>
        <v>33.972602739726028</v>
      </c>
      <c r="AB50" s="23">
        <f t="shared" si="45"/>
        <v>33.972602739726028</v>
      </c>
    </row>
    <row r="51" spans="1:28" ht="15.75" customHeight="1" x14ac:dyDescent="0.3">
      <c r="A51" s="12">
        <f>RAW!$A$11</f>
        <v>25200</v>
      </c>
      <c r="B51" s="2"/>
      <c r="C51" s="24" t="s">
        <v>24</v>
      </c>
      <c r="D51" s="23">
        <f t="shared" si="40"/>
        <v>69.041095890410958</v>
      </c>
      <c r="E51" s="2"/>
      <c r="F51" s="24" t="s">
        <v>24</v>
      </c>
      <c r="G51" s="23">
        <f t="shared" ref="G51:AB51" si="46">($A51/G$5)/365</f>
        <v>4.0612409347300558</v>
      </c>
      <c r="H51" s="23">
        <f t="shared" si="46"/>
        <v>13.808219178082192</v>
      </c>
      <c r="I51" s="23">
        <f t="shared" si="46"/>
        <v>8.6301369863013697</v>
      </c>
      <c r="J51" s="23">
        <f t="shared" si="46"/>
        <v>8.6301369863013697</v>
      </c>
      <c r="K51" s="23">
        <f t="shared" si="46"/>
        <v>4.602739726027397</v>
      </c>
      <c r="L51" s="23">
        <f t="shared" si="46"/>
        <v>13.808219178082192</v>
      </c>
      <c r="M51" s="23">
        <f t="shared" si="46"/>
        <v>0.86301369863013699</v>
      </c>
      <c r="N51" s="23">
        <f t="shared" si="46"/>
        <v>17.260273972602739</v>
      </c>
      <c r="O51" s="23">
        <f t="shared" si="46"/>
        <v>4.602739726027397</v>
      </c>
      <c r="P51" s="23">
        <f t="shared" si="46"/>
        <v>4.3150684931506849</v>
      </c>
      <c r="Q51" s="23">
        <f t="shared" si="46"/>
        <v>3.0017867778439546</v>
      </c>
      <c r="R51" s="23">
        <f t="shared" si="46"/>
        <v>69.041095890410958</v>
      </c>
      <c r="S51" s="23">
        <f t="shared" si="46"/>
        <v>69.041095890410958</v>
      </c>
      <c r="T51" s="23">
        <f t="shared" si="46"/>
        <v>69.041095890410958</v>
      </c>
      <c r="U51" s="23">
        <f t="shared" si="46"/>
        <v>69.041095890410958</v>
      </c>
      <c r="V51" s="23">
        <f t="shared" si="46"/>
        <v>69.041095890410958</v>
      </c>
      <c r="W51" s="23">
        <f t="shared" si="46"/>
        <v>69.041095890410958</v>
      </c>
      <c r="X51" s="23">
        <f t="shared" si="46"/>
        <v>69.041095890410958</v>
      </c>
      <c r="Y51" s="23">
        <f t="shared" si="46"/>
        <v>69.041095890410958</v>
      </c>
      <c r="Z51" s="23">
        <f t="shared" si="46"/>
        <v>69.041095890410958</v>
      </c>
      <c r="AA51" s="23">
        <f t="shared" si="46"/>
        <v>69.041095890410958</v>
      </c>
      <c r="AB51" s="23">
        <f t="shared" si="46"/>
        <v>69.041095890410958</v>
      </c>
    </row>
    <row r="52" spans="1:28" ht="15.75" customHeight="1" x14ac:dyDescent="0.3">
      <c r="A52" s="12">
        <f>RAW!$A$12</f>
        <v>50800</v>
      </c>
      <c r="B52" s="2"/>
      <c r="C52" s="24" t="s">
        <v>25</v>
      </c>
      <c r="D52" s="23">
        <f t="shared" si="40"/>
        <v>139.17808219178082</v>
      </c>
      <c r="E52" s="2"/>
      <c r="F52" s="24" t="s">
        <v>25</v>
      </c>
      <c r="G52" s="23">
        <f t="shared" ref="G52:AB52" si="47">($A52/G$5)/365</f>
        <v>8.1869460112812238</v>
      </c>
      <c r="H52" s="23">
        <f t="shared" si="47"/>
        <v>27.835616438356166</v>
      </c>
      <c r="I52" s="23">
        <f t="shared" si="47"/>
        <v>17.397260273972602</v>
      </c>
      <c r="J52" s="23">
        <f t="shared" si="47"/>
        <v>17.397260273972602</v>
      </c>
      <c r="K52" s="23">
        <f t="shared" si="47"/>
        <v>9.2785388127853885</v>
      </c>
      <c r="L52" s="23">
        <f t="shared" si="47"/>
        <v>27.835616438356166</v>
      </c>
      <c r="M52" s="23">
        <f t="shared" si="47"/>
        <v>1.7397260273972603</v>
      </c>
      <c r="N52" s="23">
        <f t="shared" si="47"/>
        <v>34.794520547945204</v>
      </c>
      <c r="O52" s="23">
        <f t="shared" si="47"/>
        <v>9.2785388127853885</v>
      </c>
      <c r="P52" s="23">
        <f t="shared" si="47"/>
        <v>8.6986301369863011</v>
      </c>
      <c r="Q52" s="23">
        <f t="shared" si="47"/>
        <v>6.0512209648600352</v>
      </c>
      <c r="R52" s="23">
        <f t="shared" si="47"/>
        <v>139.17808219178082</v>
      </c>
      <c r="S52" s="23">
        <f t="shared" si="47"/>
        <v>139.17808219178082</v>
      </c>
      <c r="T52" s="23">
        <f t="shared" si="47"/>
        <v>139.17808219178082</v>
      </c>
      <c r="U52" s="23">
        <f t="shared" si="47"/>
        <v>139.17808219178082</v>
      </c>
      <c r="V52" s="23">
        <f t="shared" si="47"/>
        <v>139.17808219178082</v>
      </c>
      <c r="W52" s="23">
        <f t="shared" si="47"/>
        <v>139.17808219178082</v>
      </c>
      <c r="X52" s="23">
        <f t="shared" si="47"/>
        <v>139.17808219178082</v>
      </c>
      <c r="Y52" s="23">
        <f t="shared" si="47"/>
        <v>139.17808219178082</v>
      </c>
      <c r="Z52" s="23">
        <f t="shared" si="47"/>
        <v>139.17808219178082</v>
      </c>
      <c r="AA52" s="23">
        <f t="shared" si="47"/>
        <v>139.17808219178082</v>
      </c>
      <c r="AB52" s="23">
        <f t="shared" si="47"/>
        <v>139.17808219178082</v>
      </c>
    </row>
    <row r="53" spans="1:28" ht="15.75" customHeight="1" x14ac:dyDescent="0.3">
      <c r="A53" s="12">
        <f>RAW!$A$13</f>
        <v>102000</v>
      </c>
      <c r="B53" s="2"/>
      <c r="C53" s="24" t="s">
        <v>26</v>
      </c>
      <c r="D53" s="23">
        <f t="shared" si="40"/>
        <v>279.45205479452056</v>
      </c>
      <c r="E53" s="2"/>
      <c r="F53" s="24" t="s">
        <v>26</v>
      </c>
      <c r="G53" s="23">
        <f t="shared" ref="G53:AB53" si="48">($A53/G$5)/365</f>
        <v>16.438356164383563</v>
      </c>
      <c r="H53" s="23">
        <f t="shared" si="48"/>
        <v>55.890410958904113</v>
      </c>
      <c r="I53" s="23">
        <f t="shared" si="48"/>
        <v>34.93150684931507</v>
      </c>
      <c r="J53" s="23">
        <f t="shared" si="48"/>
        <v>34.93150684931507</v>
      </c>
      <c r="K53" s="23">
        <f t="shared" si="48"/>
        <v>18.63013698630137</v>
      </c>
      <c r="L53" s="23">
        <f t="shared" si="48"/>
        <v>55.890410958904113</v>
      </c>
      <c r="M53" s="23">
        <f t="shared" si="48"/>
        <v>3.493150684931507</v>
      </c>
      <c r="N53" s="23">
        <f t="shared" si="48"/>
        <v>69.863013698630141</v>
      </c>
      <c r="O53" s="23">
        <f t="shared" si="48"/>
        <v>18.63013698630137</v>
      </c>
      <c r="P53" s="23">
        <f t="shared" si="48"/>
        <v>17.465753424657535</v>
      </c>
      <c r="Q53" s="23">
        <f t="shared" si="48"/>
        <v>12.150089338892197</v>
      </c>
      <c r="R53" s="23">
        <f t="shared" si="48"/>
        <v>279.45205479452056</v>
      </c>
      <c r="S53" s="23">
        <f t="shared" si="48"/>
        <v>279.45205479452056</v>
      </c>
      <c r="T53" s="23">
        <f t="shared" si="48"/>
        <v>279.45205479452056</v>
      </c>
      <c r="U53" s="23">
        <f t="shared" si="48"/>
        <v>279.45205479452056</v>
      </c>
      <c r="V53" s="23">
        <f t="shared" si="48"/>
        <v>279.45205479452056</v>
      </c>
      <c r="W53" s="23">
        <f t="shared" si="48"/>
        <v>279.45205479452056</v>
      </c>
      <c r="X53" s="23">
        <f t="shared" si="48"/>
        <v>279.45205479452056</v>
      </c>
      <c r="Y53" s="23">
        <f t="shared" si="48"/>
        <v>279.45205479452056</v>
      </c>
      <c r="Z53" s="23">
        <f t="shared" si="48"/>
        <v>279.45205479452056</v>
      </c>
      <c r="AA53" s="23">
        <f t="shared" si="48"/>
        <v>279.45205479452056</v>
      </c>
      <c r="AB53" s="23">
        <f t="shared" si="48"/>
        <v>279.45205479452056</v>
      </c>
    </row>
    <row r="54" spans="1:28" ht="15.75" customHeight="1" x14ac:dyDescent="0.3">
      <c r="A54" s="12">
        <f>RAW!$A$14</f>
        <v>204400</v>
      </c>
      <c r="B54" s="2"/>
      <c r="C54" s="24" t="s">
        <v>27</v>
      </c>
      <c r="D54" s="23">
        <f t="shared" si="40"/>
        <v>560</v>
      </c>
      <c r="E54" s="2"/>
      <c r="F54" s="24" t="s">
        <v>27</v>
      </c>
      <c r="G54" s="23">
        <f t="shared" ref="G54:AB54" si="49">($A54/G$5)/365</f>
        <v>32.941176470588239</v>
      </c>
      <c r="H54" s="23">
        <f t="shared" si="49"/>
        <v>112</v>
      </c>
      <c r="I54" s="23">
        <f t="shared" si="49"/>
        <v>70</v>
      </c>
      <c r="J54" s="23">
        <f t="shared" si="49"/>
        <v>70</v>
      </c>
      <c r="K54" s="23">
        <f t="shared" si="49"/>
        <v>37.333333333333329</v>
      </c>
      <c r="L54" s="23">
        <f t="shared" si="49"/>
        <v>112</v>
      </c>
      <c r="M54" s="23">
        <f t="shared" si="49"/>
        <v>7</v>
      </c>
      <c r="N54" s="23">
        <f t="shared" si="49"/>
        <v>140</v>
      </c>
      <c r="O54" s="23">
        <f t="shared" si="49"/>
        <v>37.333333333333329</v>
      </c>
      <c r="P54" s="23">
        <f t="shared" si="49"/>
        <v>35</v>
      </c>
      <c r="Q54" s="23">
        <f t="shared" si="49"/>
        <v>24.34782608695652</v>
      </c>
      <c r="R54" s="23">
        <f t="shared" si="49"/>
        <v>560</v>
      </c>
      <c r="S54" s="23">
        <f t="shared" si="49"/>
        <v>560</v>
      </c>
      <c r="T54" s="23">
        <f t="shared" si="49"/>
        <v>560</v>
      </c>
      <c r="U54" s="23">
        <f t="shared" si="49"/>
        <v>560</v>
      </c>
      <c r="V54" s="23">
        <f t="shared" si="49"/>
        <v>560</v>
      </c>
      <c r="W54" s="23">
        <f t="shared" si="49"/>
        <v>560</v>
      </c>
      <c r="X54" s="23">
        <f t="shared" si="49"/>
        <v>560</v>
      </c>
      <c r="Y54" s="23">
        <f t="shared" si="49"/>
        <v>560</v>
      </c>
      <c r="Z54" s="23">
        <f t="shared" si="49"/>
        <v>560</v>
      </c>
      <c r="AA54" s="23">
        <f t="shared" si="49"/>
        <v>560</v>
      </c>
      <c r="AB54" s="23">
        <f t="shared" si="49"/>
        <v>560</v>
      </c>
    </row>
    <row r="55" spans="1:28" ht="15.75" customHeight="1" x14ac:dyDescent="0.3">
      <c r="A55" s="12">
        <f>RAW!$A$15</f>
        <v>409200</v>
      </c>
      <c r="B55" s="2"/>
      <c r="C55" s="24" t="s">
        <v>28</v>
      </c>
      <c r="D55" s="23">
        <f t="shared" si="40"/>
        <v>1121.0958904109589</v>
      </c>
      <c r="E55" s="2"/>
      <c r="F55" s="24" t="s">
        <v>28</v>
      </c>
      <c r="G55" s="23">
        <f t="shared" ref="G55:AB55" si="50">($A55/G$5)/365</f>
        <v>65.946817082997583</v>
      </c>
      <c r="H55" s="23">
        <f t="shared" si="50"/>
        <v>224.21917808219177</v>
      </c>
      <c r="I55" s="23">
        <f t="shared" si="50"/>
        <v>140.13698630136986</v>
      </c>
      <c r="J55" s="23">
        <f t="shared" si="50"/>
        <v>140.13698630136986</v>
      </c>
      <c r="K55" s="23">
        <f t="shared" si="50"/>
        <v>74.739726027397253</v>
      </c>
      <c r="L55" s="23">
        <f t="shared" si="50"/>
        <v>224.21917808219177</v>
      </c>
      <c r="M55" s="23">
        <f t="shared" si="50"/>
        <v>14.013698630136986</v>
      </c>
      <c r="N55" s="23">
        <f t="shared" si="50"/>
        <v>280.27397260273972</v>
      </c>
      <c r="O55" s="23">
        <f t="shared" si="50"/>
        <v>74.739726027397253</v>
      </c>
      <c r="P55" s="23">
        <f t="shared" si="50"/>
        <v>70.06849315068493</v>
      </c>
      <c r="Q55" s="23">
        <f t="shared" si="50"/>
        <v>48.743299583085175</v>
      </c>
      <c r="R55" s="23">
        <f t="shared" si="50"/>
        <v>1121.0958904109589</v>
      </c>
      <c r="S55" s="23">
        <f t="shared" si="50"/>
        <v>1121.0958904109589</v>
      </c>
      <c r="T55" s="23">
        <f t="shared" si="50"/>
        <v>1121.0958904109589</v>
      </c>
      <c r="U55" s="23">
        <f t="shared" si="50"/>
        <v>1121.0958904109589</v>
      </c>
      <c r="V55" s="23">
        <f t="shared" si="50"/>
        <v>1121.0958904109589</v>
      </c>
      <c r="W55" s="23">
        <f t="shared" si="50"/>
        <v>1121.0958904109589</v>
      </c>
      <c r="X55" s="23">
        <f t="shared" si="50"/>
        <v>1121.0958904109589</v>
      </c>
      <c r="Y55" s="23">
        <f t="shared" si="50"/>
        <v>1121.0958904109589</v>
      </c>
      <c r="Z55" s="23">
        <f t="shared" si="50"/>
        <v>1121.0958904109589</v>
      </c>
      <c r="AA55" s="23">
        <f t="shared" si="50"/>
        <v>1121.0958904109589</v>
      </c>
      <c r="AB55" s="23">
        <f t="shared" si="50"/>
        <v>1121.0958904109589</v>
      </c>
    </row>
    <row r="56" spans="1:28" ht="15.75" customHeight="1" x14ac:dyDescent="0.3">
      <c r="A56" s="12">
        <f>RAW!$A$16</f>
        <v>818800</v>
      </c>
      <c r="B56" s="2"/>
      <c r="C56" s="24" t="s">
        <v>29</v>
      </c>
      <c r="D56" s="23">
        <f t="shared" si="40"/>
        <v>2243.2876712328766</v>
      </c>
      <c r="E56" s="2"/>
      <c r="F56" s="24" t="s">
        <v>29</v>
      </c>
      <c r="G56" s="23">
        <f t="shared" ref="G56:AB56" si="51">($A56/G$5)/365</f>
        <v>131.95809830781627</v>
      </c>
      <c r="H56" s="23">
        <f t="shared" si="51"/>
        <v>448.65753424657532</v>
      </c>
      <c r="I56" s="23">
        <f t="shared" si="51"/>
        <v>280.41095890410958</v>
      </c>
      <c r="J56" s="23">
        <f t="shared" si="51"/>
        <v>280.41095890410958</v>
      </c>
      <c r="K56" s="23">
        <f t="shared" si="51"/>
        <v>149.55251141552512</v>
      </c>
      <c r="L56" s="23">
        <f t="shared" si="51"/>
        <v>448.65753424657532</v>
      </c>
      <c r="M56" s="23">
        <f t="shared" si="51"/>
        <v>28.041095890410958</v>
      </c>
      <c r="N56" s="23">
        <f t="shared" si="51"/>
        <v>560.82191780821915</v>
      </c>
      <c r="O56" s="23">
        <f t="shared" si="51"/>
        <v>149.55251141552512</v>
      </c>
      <c r="P56" s="23">
        <f t="shared" si="51"/>
        <v>140.20547945205479</v>
      </c>
      <c r="Q56" s="23">
        <f t="shared" si="51"/>
        <v>97.534246575342465</v>
      </c>
      <c r="R56" s="23">
        <f t="shared" si="51"/>
        <v>2243.2876712328766</v>
      </c>
      <c r="S56" s="23">
        <f t="shared" si="51"/>
        <v>2243.2876712328766</v>
      </c>
      <c r="T56" s="23">
        <f t="shared" si="51"/>
        <v>2243.2876712328766</v>
      </c>
      <c r="U56" s="23">
        <f t="shared" si="51"/>
        <v>2243.2876712328766</v>
      </c>
      <c r="V56" s="23">
        <f t="shared" si="51"/>
        <v>2243.2876712328766</v>
      </c>
      <c r="W56" s="23">
        <f t="shared" si="51"/>
        <v>2243.2876712328766</v>
      </c>
      <c r="X56" s="23">
        <f t="shared" si="51"/>
        <v>2243.2876712328766</v>
      </c>
      <c r="Y56" s="23">
        <f t="shared" si="51"/>
        <v>2243.2876712328766</v>
      </c>
      <c r="Z56" s="23">
        <f t="shared" si="51"/>
        <v>2243.2876712328766</v>
      </c>
      <c r="AA56" s="23">
        <f t="shared" si="51"/>
        <v>2243.2876712328766</v>
      </c>
      <c r="AB56" s="23">
        <f t="shared" si="51"/>
        <v>2243.2876712328766</v>
      </c>
    </row>
    <row r="57" spans="1:28" ht="15.75" customHeight="1" x14ac:dyDescent="0.3">
      <c r="A57" s="12">
        <f>RAW!$A$17</f>
        <v>1638000</v>
      </c>
      <c r="B57" s="2"/>
      <c r="C57" s="24" t="s">
        <v>30</v>
      </c>
      <c r="D57" s="23">
        <f t="shared" si="40"/>
        <v>4487.6712328767126</v>
      </c>
      <c r="E57" s="2"/>
      <c r="F57" s="24" t="s">
        <v>30</v>
      </c>
      <c r="G57" s="23">
        <f t="shared" ref="G57:AB57" si="52">($A57/G$5)/365</f>
        <v>263.98066075745368</v>
      </c>
      <c r="H57" s="23">
        <f t="shared" si="52"/>
        <v>897.53424657534242</v>
      </c>
      <c r="I57" s="23">
        <f t="shared" si="52"/>
        <v>560.95890410958907</v>
      </c>
      <c r="J57" s="23">
        <f t="shared" si="52"/>
        <v>560.95890410958907</v>
      </c>
      <c r="K57" s="23">
        <f t="shared" si="52"/>
        <v>299.17808219178085</v>
      </c>
      <c r="L57" s="23">
        <f t="shared" si="52"/>
        <v>897.53424657534242</v>
      </c>
      <c r="M57" s="23">
        <f t="shared" si="52"/>
        <v>56.095890410958901</v>
      </c>
      <c r="N57" s="23">
        <f t="shared" si="52"/>
        <v>1121.9178082191781</v>
      </c>
      <c r="O57" s="23">
        <f t="shared" si="52"/>
        <v>299.17808219178085</v>
      </c>
      <c r="P57" s="23">
        <f t="shared" si="52"/>
        <v>280.47945205479454</v>
      </c>
      <c r="Q57" s="23">
        <f t="shared" si="52"/>
        <v>195.11614055985706</v>
      </c>
      <c r="R57" s="23">
        <f t="shared" si="52"/>
        <v>4487.6712328767126</v>
      </c>
      <c r="S57" s="23">
        <f t="shared" si="52"/>
        <v>4487.6712328767126</v>
      </c>
      <c r="T57" s="23">
        <f t="shared" si="52"/>
        <v>4487.6712328767126</v>
      </c>
      <c r="U57" s="23">
        <f t="shared" si="52"/>
        <v>4487.6712328767126</v>
      </c>
      <c r="V57" s="23">
        <f t="shared" si="52"/>
        <v>4487.6712328767126</v>
      </c>
      <c r="W57" s="23">
        <f t="shared" si="52"/>
        <v>4487.6712328767126</v>
      </c>
      <c r="X57" s="23">
        <f t="shared" si="52"/>
        <v>4487.6712328767126</v>
      </c>
      <c r="Y57" s="23">
        <f t="shared" si="52"/>
        <v>4487.6712328767126</v>
      </c>
      <c r="Z57" s="23">
        <f t="shared" si="52"/>
        <v>4487.6712328767126</v>
      </c>
      <c r="AA57" s="23">
        <f t="shared" si="52"/>
        <v>4487.6712328767126</v>
      </c>
      <c r="AB57" s="23">
        <f t="shared" si="52"/>
        <v>4487.6712328767126</v>
      </c>
    </row>
    <row r="58" spans="1:28" ht="15.75" customHeight="1" x14ac:dyDescent="0.3">
      <c r="A58" s="12">
        <f>RAW!$A$18</f>
        <v>3276400</v>
      </c>
      <c r="B58" s="2"/>
      <c r="C58" s="24" t="s">
        <v>31</v>
      </c>
      <c r="D58" s="23">
        <f t="shared" si="40"/>
        <v>8976.4383561643845</v>
      </c>
      <c r="E58" s="2"/>
      <c r="F58" s="24" t="s">
        <v>31</v>
      </c>
      <c r="G58" s="23">
        <f t="shared" ref="G58:AB58" si="53">($A58/G$5)/365</f>
        <v>528.02578565672843</v>
      </c>
      <c r="H58" s="23">
        <f t="shared" si="53"/>
        <v>1795.2876712328766</v>
      </c>
      <c r="I58" s="23">
        <f t="shared" si="53"/>
        <v>1122.0547945205481</v>
      </c>
      <c r="J58" s="23">
        <f t="shared" si="53"/>
        <v>1122.0547945205481</v>
      </c>
      <c r="K58" s="23">
        <f t="shared" si="53"/>
        <v>598.42922374429224</v>
      </c>
      <c r="L58" s="23">
        <f t="shared" si="53"/>
        <v>1795.2876712328766</v>
      </c>
      <c r="M58" s="23">
        <f t="shared" si="53"/>
        <v>112.20547945205479</v>
      </c>
      <c r="N58" s="23">
        <f t="shared" si="53"/>
        <v>2244.1095890410961</v>
      </c>
      <c r="O58" s="23">
        <f t="shared" si="53"/>
        <v>598.42922374429224</v>
      </c>
      <c r="P58" s="23">
        <f t="shared" si="53"/>
        <v>561.02739726027403</v>
      </c>
      <c r="Q58" s="23">
        <f t="shared" si="53"/>
        <v>390.27992852888627</v>
      </c>
      <c r="R58" s="23">
        <f t="shared" si="53"/>
        <v>8976.4383561643845</v>
      </c>
      <c r="S58" s="23">
        <f t="shared" si="53"/>
        <v>8976.4383561643845</v>
      </c>
      <c r="T58" s="23">
        <f t="shared" si="53"/>
        <v>8976.4383561643845</v>
      </c>
      <c r="U58" s="23">
        <f t="shared" si="53"/>
        <v>8976.4383561643845</v>
      </c>
      <c r="V58" s="23">
        <f t="shared" si="53"/>
        <v>8976.4383561643845</v>
      </c>
      <c r="W58" s="23">
        <f t="shared" si="53"/>
        <v>8976.4383561643845</v>
      </c>
      <c r="X58" s="23">
        <f t="shared" si="53"/>
        <v>8976.4383561643845</v>
      </c>
      <c r="Y58" s="23">
        <f t="shared" si="53"/>
        <v>8976.4383561643845</v>
      </c>
      <c r="Z58" s="23">
        <f t="shared" si="53"/>
        <v>8976.4383561643845</v>
      </c>
      <c r="AA58" s="23">
        <f t="shared" si="53"/>
        <v>8976.4383561643845</v>
      </c>
      <c r="AB58" s="23">
        <f t="shared" si="53"/>
        <v>8976.4383561643845</v>
      </c>
    </row>
    <row r="59" spans="1:28" ht="15.75" customHeight="1" x14ac:dyDescent="0.3">
      <c r="A59" s="12">
        <f>RAW!$A$19</f>
        <v>6553200</v>
      </c>
      <c r="B59" s="2"/>
      <c r="C59" s="24" t="s">
        <v>32</v>
      </c>
      <c r="D59" s="23">
        <f t="shared" si="40"/>
        <v>17953.972602739726</v>
      </c>
      <c r="E59" s="2"/>
      <c r="F59" s="24" t="s">
        <v>32</v>
      </c>
      <c r="G59" s="23">
        <f t="shared" ref="G59:AB59" si="54">($A59/G$5)/365</f>
        <v>1056.1160354552778</v>
      </c>
      <c r="H59" s="23">
        <f t="shared" si="54"/>
        <v>3590.794520547945</v>
      </c>
      <c r="I59" s="23">
        <f t="shared" si="54"/>
        <v>2244.2465753424658</v>
      </c>
      <c r="J59" s="23">
        <f t="shared" si="54"/>
        <v>2244.2465753424658</v>
      </c>
      <c r="K59" s="23">
        <f t="shared" si="54"/>
        <v>1196.9315068493152</v>
      </c>
      <c r="L59" s="23">
        <f t="shared" si="54"/>
        <v>3590.794520547945</v>
      </c>
      <c r="M59" s="23">
        <f t="shared" si="54"/>
        <v>224.42465753424656</v>
      </c>
      <c r="N59" s="23">
        <f t="shared" si="54"/>
        <v>4488.4931506849316</v>
      </c>
      <c r="O59" s="23">
        <f t="shared" si="54"/>
        <v>1196.9315068493152</v>
      </c>
      <c r="P59" s="23">
        <f t="shared" si="54"/>
        <v>1122.1232876712329</v>
      </c>
      <c r="Q59" s="23">
        <f t="shared" si="54"/>
        <v>780.60750446694453</v>
      </c>
      <c r="R59" s="23">
        <f t="shared" si="54"/>
        <v>17953.972602739726</v>
      </c>
      <c r="S59" s="23">
        <f t="shared" si="54"/>
        <v>17953.972602739726</v>
      </c>
      <c r="T59" s="23">
        <f t="shared" si="54"/>
        <v>17953.972602739726</v>
      </c>
      <c r="U59" s="23">
        <f t="shared" si="54"/>
        <v>17953.972602739726</v>
      </c>
      <c r="V59" s="23">
        <f t="shared" si="54"/>
        <v>17953.972602739726</v>
      </c>
      <c r="W59" s="23">
        <f t="shared" si="54"/>
        <v>17953.972602739726</v>
      </c>
      <c r="X59" s="23">
        <f t="shared" si="54"/>
        <v>17953.972602739726</v>
      </c>
      <c r="Y59" s="23">
        <f t="shared" si="54"/>
        <v>17953.972602739726</v>
      </c>
      <c r="Z59" s="23">
        <f t="shared" si="54"/>
        <v>17953.972602739726</v>
      </c>
      <c r="AA59" s="23">
        <f t="shared" si="54"/>
        <v>17953.972602739726</v>
      </c>
      <c r="AB59" s="23">
        <f t="shared" si="54"/>
        <v>17953.972602739726</v>
      </c>
    </row>
    <row r="60" spans="1:28" ht="15.75" customHeight="1" x14ac:dyDescent="0.3">
      <c r="A60" s="12">
        <f>RAW!$A$20</f>
        <v>13106800</v>
      </c>
      <c r="B60" s="2"/>
      <c r="C60" s="24" t="s">
        <v>33</v>
      </c>
      <c r="D60" s="23">
        <f t="shared" si="40"/>
        <v>35909.04109589041</v>
      </c>
      <c r="E60" s="2"/>
      <c r="F60" s="24" t="s">
        <v>33</v>
      </c>
      <c r="G60" s="23">
        <f t="shared" ref="G60:AB60" si="55">($A60/G$5)/365</f>
        <v>2112.2965350523768</v>
      </c>
      <c r="H60" s="23">
        <f t="shared" si="55"/>
        <v>7181.8082191780823</v>
      </c>
      <c r="I60" s="23">
        <f t="shared" si="55"/>
        <v>4488.6301369863013</v>
      </c>
      <c r="J60" s="23">
        <f t="shared" si="55"/>
        <v>4488.6301369863013</v>
      </c>
      <c r="K60" s="23">
        <f t="shared" si="55"/>
        <v>2393.9360730593608</v>
      </c>
      <c r="L60" s="23">
        <f t="shared" si="55"/>
        <v>7181.8082191780823</v>
      </c>
      <c r="M60" s="23">
        <f t="shared" si="55"/>
        <v>448.86301369863014</v>
      </c>
      <c r="N60" s="23">
        <f t="shared" si="55"/>
        <v>8977.2602739726026</v>
      </c>
      <c r="O60" s="23">
        <f t="shared" si="55"/>
        <v>2393.9360730593608</v>
      </c>
      <c r="P60" s="23">
        <f t="shared" si="55"/>
        <v>2244.3150684931506</v>
      </c>
      <c r="Q60" s="23">
        <f t="shared" si="55"/>
        <v>1561.2626563430613</v>
      </c>
      <c r="R60" s="23">
        <f t="shared" si="55"/>
        <v>35909.04109589041</v>
      </c>
      <c r="S60" s="23">
        <f t="shared" si="55"/>
        <v>35909.04109589041</v>
      </c>
      <c r="T60" s="23">
        <f t="shared" si="55"/>
        <v>35909.04109589041</v>
      </c>
      <c r="U60" s="23">
        <f t="shared" si="55"/>
        <v>35909.04109589041</v>
      </c>
      <c r="V60" s="23">
        <f t="shared" si="55"/>
        <v>35909.04109589041</v>
      </c>
      <c r="W60" s="23">
        <f t="shared" si="55"/>
        <v>35909.04109589041</v>
      </c>
      <c r="X60" s="23">
        <f t="shared" si="55"/>
        <v>35909.04109589041</v>
      </c>
      <c r="Y60" s="23">
        <f t="shared" si="55"/>
        <v>35909.04109589041</v>
      </c>
      <c r="Z60" s="23">
        <f t="shared" si="55"/>
        <v>35909.04109589041</v>
      </c>
      <c r="AA60" s="23">
        <f t="shared" si="55"/>
        <v>35909.04109589041</v>
      </c>
      <c r="AB60" s="23">
        <f t="shared" si="55"/>
        <v>35909.04109589041</v>
      </c>
    </row>
    <row r="61" spans="1:28" ht="15.75" customHeight="1" x14ac:dyDescent="0.3">
      <c r="A61" s="12">
        <f>RAW!$A$21</f>
        <v>26214000</v>
      </c>
      <c r="B61" s="2"/>
      <c r="C61" s="24" t="s">
        <v>34</v>
      </c>
      <c r="D61" s="23">
        <f t="shared" si="40"/>
        <v>71819.178082191778</v>
      </c>
      <c r="E61" s="2"/>
      <c r="F61" s="24" t="s">
        <v>34</v>
      </c>
      <c r="G61" s="23">
        <f t="shared" ref="G61:AB61" si="56">($A61/G$5)/365</f>
        <v>4224.6575342465758</v>
      </c>
      <c r="H61" s="23">
        <f t="shared" si="56"/>
        <v>14363.835616438357</v>
      </c>
      <c r="I61" s="23">
        <f t="shared" si="56"/>
        <v>8977.3972602739723</v>
      </c>
      <c r="J61" s="23">
        <f t="shared" si="56"/>
        <v>8977.3972602739723</v>
      </c>
      <c r="K61" s="23">
        <f t="shared" si="56"/>
        <v>4787.9452054794519</v>
      </c>
      <c r="L61" s="23">
        <f t="shared" si="56"/>
        <v>14363.835616438357</v>
      </c>
      <c r="M61" s="23">
        <f t="shared" si="56"/>
        <v>897.7397260273973</v>
      </c>
      <c r="N61" s="23">
        <f t="shared" si="56"/>
        <v>17954.794520547945</v>
      </c>
      <c r="O61" s="23">
        <f t="shared" si="56"/>
        <v>4787.9452054794519</v>
      </c>
      <c r="P61" s="23">
        <f t="shared" si="56"/>
        <v>4488.6986301369861</v>
      </c>
      <c r="Q61" s="23">
        <f t="shared" si="56"/>
        <v>3122.572960095295</v>
      </c>
      <c r="R61" s="23">
        <f t="shared" si="56"/>
        <v>71819.178082191778</v>
      </c>
      <c r="S61" s="23">
        <f t="shared" si="56"/>
        <v>71819.178082191778</v>
      </c>
      <c r="T61" s="23">
        <f t="shared" si="56"/>
        <v>71819.178082191778</v>
      </c>
      <c r="U61" s="23">
        <f t="shared" si="56"/>
        <v>71819.178082191778</v>
      </c>
      <c r="V61" s="23">
        <f t="shared" si="56"/>
        <v>71819.178082191778</v>
      </c>
      <c r="W61" s="23">
        <f t="shared" si="56"/>
        <v>71819.178082191778</v>
      </c>
      <c r="X61" s="23">
        <f t="shared" si="56"/>
        <v>71819.178082191778</v>
      </c>
      <c r="Y61" s="23">
        <f t="shared" si="56"/>
        <v>71819.178082191778</v>
      </c>
      <c r="Z61" s="23">
        <f t="shared" si="56"/>
        <v>71819.178082191778</v>
      </c>
      <c r="AA61" s="23">
        <f t="shared" si="56"/>
        <v>71819.178082191778</v>
      </c>
      <c r="AB61" s="23">
        <f t="shared" si="56"/>
        <v>71819.178082191778</v>
      </c>
    </row>
    <row r="62" spans="1:28" ht="15.75" customHeight="1" x14ac:dyDescent="0.3">
      <c r="A62" s="12">
        <f>RAW!$A$22</f>
        <v>52428400</v>
      </c>
      <c r="B62" s="2"/>
      <c r="C62" s="24" t="s">
        <v>35</v>
      </c>
      <c r="D62" s="23">
        <f t="shared" si="40"/>
        <v>143639.45205479453</v>
      </c>
      <c r="E62" s="2"/>
      <c r="F62" s="24" t="s">
        <v>35</v>
      </c>
      <c r="G62" s="23">
        <f t="shared" ref="G62:AB62" si="57">($A62/G$5)/365</f>
        <v>8449.3795326349718</v>
      </c>
      <c r="H62" s="23">
        <f t="shared" si="57"/>
        <v>28727.890410958906</v>
      </c>
      <c r="I62" s="23">
        <f t="shared" si="57"/>
        <v>17954.931506849316</v>
      </c>
      <c r="J62" s="23">
        <f t="shared" si="57"/>
        <v>17954.931506849316</v>
      </c>
      <c r="K62" s="23">
        <f t="shared" si="57"/>
        <v>9575.9634703196334</v>
      </c>
      <c r="L62" s="23">
        <f t="shared" si="57"/>
        <v>28727.890410958906</v>
      </c>
      <c r="M62" s="23">
        <f t="shared" si="57"/>
        <v>1795.4931506849316</v>
      </c>
      <c r="N62" s="23">
        <f t="shared" si="57"/>
        <v>35909.863013698632</v>
      </c>
      <c r="O62" s="23">
        <f t="shared" si="57"/>
        <v>9575.9634703196334</v>
      </c>
      <c r="P62" s="23">
        <f t="shared" si="57"/>
        <v>8977.465753424658</v>
      </c>
      <c r="Q62" s="23">
        <f t="shared" si="57"/>
        <v>6245.193567599762</v>
      </c>
      <c r="R62" s="23">
        <f t="shared" si="57"/>
        <v>143639.45205479453</v>
      </c>
      <c r="S62" s="23">
        <f t="shared" si="57"/>
        <v>143639.45205479453</v>
      </c>
      <c r="T62" s="23">
        <f t="shared" si="57"/>
        <v>143639.45205479453</v>
      </c>
      <c r="U62" s="23">
        <f t="shared" si="57"/>
        <v>143639.45205479453</v>
      </c>
      <c r="V62" s="23">
        <f t="shared" si="57"/>
        <v>143639.45205479453</v>
      </c>
      <c r="W62" s="23">
        <f t="shared" si="57"/>
        <v>143639.45205479453</v>
      </c>
      <c r="X62" s="23">
        <f t="shared" si="57"/>
        <v>143639.45205479453</v>
      </c>
      <c r="Y62" s="23">
        <f t="shared" si="57"/>
        <v>143639.45205479453</v>
      </c>
      <c r="Z62" s="23">
        <f t="shared" si="57"/>
        <v>143639.45205479453</v>
      </c>
      <c r="AA62" s="23">
        <f t="shared" si="57"/>
        <v>143639.45205479453</v>
      </c>
      <c r="AB62" s="23">
        <f t="shared" si="57"/>
        <v>143639.45205479453</v>
      </c>
    </row>
    <row r="63" spans="1:28" ht="15.75" customHeight="1" x14ac:dyDescent="0.3">
      <c r="B63" s="2"/>
      <c r="E63" s="2"/>
    </row>
    <row r="64" spans="1:28" ht="15.75" customHeight="1" x14ac:dyDescent="0.3">
      <c r="B64" s="2"/>
      <c r="E64" s="2"/>
    </row>
    <row r="65" spans="2:5" ht="15.75" customHeight="1" x14ac:dyDescent="0.3">
      <c r="B65" s="2"/>
      <c r="E65" s="2"/>
    </row>
    <row r="66" spans="2:5" ht="15.75" customHeight="1" x14ac:dyDescent="0.3">
      <c r="B66" s="2"/>
      <c r="E66" s="2"/>
    </row>
    <row r="67" spans="2:5" ht="15.75" customHeight="1" x14ac:dyDescent="0.3">
      <c r="B67" s="2"/>
      <c r="E67" s="2"/>
    </row>
    <row r="68" spans="2:5" ht="15.75" customHeight="1" x14ac:dyDescent="0.3">
      <c r="B68" s="2"/>
      <c r="E68" s="2"/>
    </row>
    <row r="69" spans="2:5" ht="15.75" customHeight="1" x14ac:dyDescent="0.3">
      <c r="B69" s="2"/>
      <c r="E69" s="2"/>
    </row>
    <row r="70" spans="2:5" ht="15.75" customHeight="1" x14ac:dyDescent="0.3">
      <c r="B70" s="2"/>
      <c r="E70" s="2"/>
    </row>
    <row r="71" spans="2:5" ht="15.75" customHeight="1" x14ac:dyDescent="0.3">
      <c r="B71" s="2"/>
      <c r="E71" s="2"/>
    </row>
    <row r="72" spans="2:5" ht="15.75" customHeight="1" x14ac:dyDescent="0.3">
      <c r="B72" s="2"/>
      <c r="E72" s="2"/>
    </row>
    <row r="73" spans="2:5" ht="15.75" customHeight="1" x14ac:dyDescent="0.3">
      <c r="B73" s="2"/>
      <c r="E73" s="2"/>
    </row>
    <row r="74" spans="2:5" ht="15.75" customHeight="1" x14ac:dyDescent="0.3">
      <c r="B74" s="2"/>
      <c r="E74" s="2"/>
    </row>
    <row r="75" spans="2:5" ht="15.75" customHeight="1" x14ac:dyDescent="0.3">
      <c r="B75" s="2"/>
      <c r="E75" s="2"/>
    </row>
    <row r="76" spans="2:5" ht="15.75" customHeight="1" x14ac:dyDescent="0.3">
      <c r="B76" s="2"/>
      <c r="E76" s="2"/>
    </row>
    <row r="77" spans="2:5" ht="15.75" customHeight="1" x14ac:dyDescent="0.3">
      <c r="B77" s="2"/>
      <c r="E77" s="2"/>
    </row>
    <row r="78" spans="2:5" ht="15.75" customHeight="1" x14ac:dyDescent="0.3">
      <c r="B78" s="2"/>
      <c r="E78" s="2"/>
    </row>
    <row r="79" spans="2:5" ht="15.75" customHeight="1" x14ac:dyDescent="0.3">
      <c r="B79" s="2"/>
      <c r="E79" s="2"/>
    </row>
    <row r="80" spans="2:5" ht="15.75" customHeight="1" x14ac:dyDescent="0.3">
      <c r="B80" s="2"/>
      <c r="E80" s="2"/>
    </row>
    <row r="81" spans="2:5" ht="15.75" customHeight="1" x14ac:dyDescent="0.3">
      <c r="B81" s="2"/>
      <c r="E81" s="2"/>
    </row>
    <row r="82" spans="2:5" ht="15.75" customHeight="1" x14ac:dyDescent="0.3">
      <c r="B82" s="2"/>
      <c r="E82" s="2"/>
    </row>
    <row r="83" spans="2:5" ht="15.75" customHeight="1" x14ac:dyDescent="0.3">
      <c r="B83" s="2"/>
      <c r="E83" s="2"/>
    </row>
    <row r="84" spans="2:5" ht="15.75" customHeight="1" x14ac:dyDescent="0.3">
      <c r="B84" s="2"/>
      <c r="E84" s="2"/>
    </row>
    <row r="85" spans="2:5" ht="15.75" customHeight="1" x14ac:dyDescent="0.3">
      <c r="B85" s="2"/>
      <c r="E85" s="2"/>
    </row>
    <row r="86" spans="2:5" ht="15.75" customHeight="1" x14ac:dyDescent="0.3">
      <c r="B86" s="2"/>
      <c r="E86" s="2"/>
    </row>
    <row r="87" spans="2:5" ht="15.75" customHeight="1" x14ac:dyDescent="0.3">
      <c r="B87" s="2"/>
      <c r="E87" s="2"/>
    </row>
    <row r="88" spans="2:5" ht="15.75" customHeight="1" x14ac:dyDescent="0.3">
      <c r="B88" s="2"/>
      <c r="E88" s="2"/>
    </row>
    <row r="89" spans="2:5" ht="15.75" customHeight="1" x14ac:dyDescent="0.3">
      <c r="B89" s="2"/>
      <c r="E89" s="2"/>
    </row>
    <row r="90" spans="2:5" ht="15.75" customHeight="1" x14ac:dyDescent="0.3">
      <c r="B90" s="2"/>
      <c r="E90" s="2"/>
    </row>
    <row r="91" spans="2:5" ht="15.75" customHeight="1" x14ac:dyDescent="0.3">
      <c r="B91" s="2"/>
      <c r="E91" s="2"/>
    </row>
    <row r="92" spans="2:5" ht="15.75" customHeight="1" x14ac:dyDescent="0.3">
      <c r="B92" s="2"/>
      <c r="E92" s="2"/>
    </row>
    <row r="93" spans="2:5" ht="15.75" customHeight="1" x14ac:dyDescent="0.3">
      <c r="B93" s="2"/>
      <c r="E93" s="2"/>
    </row>
    <row r="94" spans="2:5" ht="15.75" customHeight="1" x14ac:dyDescent="0.3">
      <c r="B94" s="2"/>
      <c r="E94" s="2"/>
    </row>
    <row r="95" spans="2:5" ht="15.75" customHeight="1" x14ac:dyDescent="0.3">
      <c r="B95" s="2"/>
      <c r="E95" s="2"/>
    </row>
    <row r="96" spans="2:5" ht="15.75" customHeight="1" x14ac:dyDescent="0.3">
      <c r="B96" s="2"/>
      <c r="E96" s="2"/>
    </row>
    <row r="97" spans="2:5" ht="15.75" customHeight="1" x14ac:dyDescent="0.3">
      <c r="B97" s="2"/>
      <c r="E97" s="2"/>
    </row>
    <row r="98" spans="2:5" ht="15.75" customHeight="1" x14ac:dyDescent="0.3">
      <c r="B98" s="2"/>
      <c r="E98" s="2"/>
    </row>
    <row r="99" spans="2:5" ht="15.75" customHeight="1" x14ac:dyDescent="0.3">
      <c r="B99" s="2"/>
      <c r="E99" s="2"/>
    </row>
    <row r="100" spans="2:5" ht="15.75" customHeight="1" x14ac:dyDescent="0.3">
      <c r="B100" s="2"/>
      <c r="E100" s="2"/>
    </row>
    <row r="101" spans="2:5" ht="15.75" customHeight="1" x14ac:dyDescent="0.3">
      <c r="B101" s="2"/>
      <c r="E101" s="2"/>
    </row>
    <row r="102" spans="2:5" ht="15.75" customHeight="1" x14ac:dyDescent="0.3">
      <c r="B102" s="2"/>
      <c r="E102" s="2"/>
    </row>
    <row r="103" spans="2:5" ht="15.75" customHeight="1" x14ac:dyDescent="0.3">
      <c r="B103" s="2"/>
      <c r="E103" s="2"/>
    </row>
    <row r="104" spans="2:5" ht="15.75" customHeight="1" x14ac:dyDescent="0.3">
      <c r="B104" s="2"/>
      <c r="E104" s="2"/>
    </row>
    <row r="105" spans="2:5" ht="15.75" customHeight="1" x14ac:dyDescent="0.3">
      <c r="B105" s="2"/>
      <c r="E105" s="2"/>
    </row>
    <row r="106" spans="2:5" ht="15.75" customHeight="1" x14ac:dyDescent="0.3">
      <c r="B106" s="2"/>
      <c r="E106" s="2"/>
    </row>
    <row r="107" spans="2:5" ht="15.75" customHeight="1" x14ac:dyDescent="0.3">
      <c r="B107" s="2"/>
      <c r="E107" s="2"/>
    </row>
    <row r="108" spans="2:5" ht="15.75" customHeight="1" x14ac:dyDescent="0.3">
      <c r="B108" s="2"/>
      <c r="E108" s="2"/>
    </row>
    <row r="109" spans="2:5" ht="15.75" customHeight="1" x14ac:dyDescent="0.3">
      <c r="B109" s="2"/>
      <c r="E109" s="2"/>
    </row>
    <row r="110" spans="2:5" ht="15.75" customHeight="1" x14ac:dyDescent="0.3">
      <c r="B110" s="2"/>
      <c r="E110" s="2"/>
    </row>
    <row r="111" spans="2:5" ht="15.75" customHeight="1" x14ac:dyDescent="0.3">
      <c r="B111" s="2"/>
      <c r="E111" s="2"/>
    </row>
    <row r="112" spans="2:5" ht="15.75" customHeight="1" x14ac:dyDescent="0.3">
      <c r="B112" s="2"/>
      <c r="E112" s="2"/>
    </row>
    <row r="113" spans="2:5" ht="15.75" customHeight="1" x14ac:dyDescent="0.3">
      <c r="B113" s="2"/>
      <c r="E113" s="2"/>
    </row>
    <row r="114" spans="2:5" ht="15.75" customHeight="1" x14ac:dyDescent="0.3">
      <c r="B114" s="2"/>
      <c r="E114" s="2"/>
    </row>
    <row r="115" spans="2:5" ht="15.75" customHeight="1" x14ac:dyDescent="0.3">
      <c r="B115" s="2"/>
      <c r="E115" s="2"/>
    </row>
    <row r="116" spans="2:5" ht="15.75" customHeight="1" x14ac:dyDescent="0.3">
      <c r="B116" s="2"/>
      <c r="E116" s="2"/>
    </row>
    <row r="117" spans="2:5" ht="15.75" customHeight="1" x14ac:dyDescent="0.3">
      <c r="B117" s="2"/>
      <c r="E117" s="2"/>
    </row>
    <row r="118" spans="2:5" ht="15.75" customHeight="1" x14ac:dyDescent="0.3">
      <c r="B118" s="2"/>
      <c r="E118" s="2"/>
    </row>
    <row r="119" spans="2:5" ht="15.75" customHeight="1" x14ac:dyDescent="0.3">
      <c r="B119" s="2"/>
      <c r="E119" s="2"/>
    </row>
    <row r="120" spans="2:5" ht="15.75" customHeight="1" x14ac:dyDescent="0.3">
      <c r="B120" s="2"/>
      <c r="E120" s="2"/>
    </row>
    <row r="121" spans="2:5" ht="15.75" customHeight="1" x14ac:dyDescent="0.3">
      <c r="B121" s="2"/>
      <c r="E121" s="2"/>
    </row>
    <row r="122" spans="2:5" ht="15.75" customHeight="1" x14ac:dyDescent="0.3">
      <c r="B122" s="2"/>
      <c r="E122" s="2"/>
    </row>
    <row r="123" spans="2:5" ht="15.75" customHeight="1" x14ac:dyDescent="0.3">
      <c r="B123" s="2"/>
      <c r="E123" s="2"/>
    </row>
    <row r="124" spans="2:5" ht="15.75" customHeight="1" x14ac:dyDescent="0.3">
      <c r="B124" s="2"/>
      <c r="E124" s="2"/>
    </row>
    <row r="125" spans="2:5" ht="15.75" customHeight="1" x14ac:dyDescent="0.3">
      <c r="B125" s="2"/>
      <c r="E125" s="2"/>
    </row>
    <row r="126" spans="2:5" ht="15.75" customHeight="1" x14ac:dyDescent="0.3">
      <c r="B126" s="2"/>
      <c r="E126" s="2"/>
    </row>
    <row r="127" spans="2:5" ht="15.75" customHeight="1" x14ac:dyDescent="0.3">
      <c r="B127" s="2"/>
      <c r="E127" s="2"/>
    </row>
    <row r="128" spans="2:5" ht="15.75" customHeight="1" x14ac:dyDescent="0.3">
      <c r="B128" s="2"/>
      <c r="E128" s="2"/>
    </row>
    <row r="129" spans="2:5" ht="15.75" customHeight="1" x14ac:dyDescent="0.3">
      <c r="B129" s="2"/>
      <c r="E129" s="2"/>
    </row>
    <row r="130" spans="2:5" ht="15.75" customHeight="1" x14ac:dyDescent="0.3">
      <c r="B130" s="2"/>
      <c r="E130" s="2"/>
    </row>
    <row r="131" spans="2:5" ht="15.75" customHeight="1" x14ac:dyDescent="0.3">
      <c r="B131" s="2"/>
      <c r="E131" s="2"/>
    </row>
    <row r="132" spans="2:5" ht="15.75" customHeight="1" x14ac:dyDescent="0.3">
      <c r="B132" s="2"/>
      <c r="E132" s="2"/>
    </row>
    <row r="133" spans="2:5" ht="15.75" customHeight="1" x14ac:dyDescent="0.3">
      <c r="B133" s="2"/>
      <c r="E133" s="2"/>
    </row>
    <row r="134" spans="2:5" ht="15.75" customHeight="1" x14ac:dyDescent="0.3">
      <c r="B134" s="2"/>
      <c r="E134" s="2"/>
    </row>
    <row r="135" spans="2:5" ht="15.75" customHeight="1" x14ac:dyDescent="0.3">
      <c r="B135" s="2"/>
      <c r="E135" s="2"/>
    </row>
    <row r="136" spans="2:5" ht="15.75" customHeight="1" x14ac:dyDescent="0.3">
      <c r="B136" s="2"/>
      <c r="E136" s="2"/>
    </row>
    <row r="137" spans="2:5" ht="15.75" customHeight="1" x14ac:dyDescent="0.3">
      <c r="B137" s="2"/>
      <c r="E137" s="2"/>
    </row>
    <row r="138" spans="2:5" ht="15.75" customHeight="1" x14ac:dyDescent="0.3">
      <c r="B138" s="2"/>
      <c r="E138" s="2"/>
    </row>
    <row r="139" spans="2:5" ht="15.75" customHeight="1" x14ac:dyDescent="0.3">
      <c r="B139" s="2"/>
      <c r="E139" s="2"/>
    </row>
    <row r="140" spans="2:5" ht="15.75" customHeight="1" x14ac:dyDescent="0.3">
      <c r="B140" s="2"/>
      <c r="E140" s="2"/>
    </row>
    <row r="141" spans="2:5" ht="15.75" customHeight="1" x14ac:dyDescent="0.3">
      <c r="B141" s="2"/>
      <c r="E141" s="2"/>
    </row>
    <row r="142" spans="2:5" ht="15.75" customHeight="1" x14ac:dyDescent="0.3">
      <c r="B142" s="2"/>
      <c r="E142" s="2"/>
    </row>
    <row r="143" spans="2:5" ht="15.75" customHeight="1" x14ac:dyDescent="0.3">
      <c r="B143" s="2"/>
      <c r="E143" s="2"/>
    </row>
    <row r="144" spans="2:5" ht="15.75" customHeight="1" x14ac:dyDescent="0.3">
      <c r="B144" s="2"/>
      <c r="E144" s="2"/>
    </row>
    <row r="145" spans="2:5" ht="15.75" customHeight="1" x14ac:dyDescent="0.3">
      <c r="B145" s="2"/>
      <c r="E145" s="2"/>
    </row>
    <row r="146" spans="2:5" ht="15.75" customHeight="1" x14ac:dyDescent="0.3">
      <c r="B146" s="2"/>
      <c r="E146" s="2"/>
    </row>
    <row r="147" spans="2:5" ht="15.75" customHeight="1" x14ac:dyDescent="0.3">
      <c r="B147" s="2"/>
      <c r="E147" s="2"/>
    </row>
    <row r="148" spans="2:5" ht="15.75" customHeight="1" x14ac:dyDescent="0.3">
      <c r="B148" s="2"/>
      <c r="E148" s="2"/>
    </row>
    <row r="149" spans="2:5" ht="15.75" customHeight="1" x14ac:dyDescent="0.3">
      <c r="B149" s="2"/>
      <c r="E149" s="2"/>
    </row>
    <row r="150" spans="2:5" ht="15.75" customHeight="1" x14ac:dyDescent="0.3">
      <c r="B150" s="2"/>
      <c r="E150" s="2"/>
    </row>
    <row r="151" spans="2:5" ht="15.75" customHeight="1" x14ac:dyDescent="0.3">
      <c r="B151" s="2"/>
      <c r="E151" s="2"/>
    </row>
    <row r="152" spans="2:5" ht="15.75" customHeight="1" x14ac:dyDescent="0.3">
      <c r="B152" s="2"/>
      <c r="E152" s="2"/>
    </row>
    <row r="153" spans="2:5" ht="15.75" customHeight="1" x14ac:dyDescent="0.3">
      <c r="B153" s="2"/>
      <c r="E153" s="2"/>
    </row>
    <row r="154" spans="2:5" ht="15.75" customHeight="1" x14ac:dyDescent="0.3">
      <c r="B154" s="2"/>
      <c r="E154" s="2"/>
    </row>
    <row r="155" spans="2:5" ht="15.75" customHeight="1" x14ac:dyDescent="0.3">
      <c r="B155" s="2"/>
      <c r="E155" s="2"/>
    </row>
    <row r="156" spans="2:5" ht="15.75" customHeight="1" x14ac:dyDescent="0.3">
      <c r="B156" s="2"/>
      <c r="E156" s="2"/>
    </row>
    <row r="157" spans="2:5" ht="15.75" customHeight="1" x14ac:dyDescent="0.3">
      <c r="B157" s="2"/>
      <c r="E157" s="2"/>
    </row>
    <row r="158" spans="2:5" ht="15.75" customHeight="1" x14ac:dyDescent="0.3">
      <c r="B158" s="2"/>
      <c r="E158" s="2"/>
    </row>
    <row r="159" spans="2:5" ht="15.75" customHeight="1" x14ac:dyDescent="0.3">
      <c r="B159" s="2"/>
      <c r="E159" s="2"/>
    </row>
    <row r="160" spans="2:5" ht="15.75" customHeight="1" x14ac:dyDescent="0.3">
      <c r="B160" s="2"/>
      <c r="E160" s="2"/>
    </row>
    <row r="161" spans="2:5" ht="15.75" customHeight="1" x14ac:dyDescent="0.3">
      <c r="B161" s="2"/>
      <c r="E161" s="2"/>
    </row>
    <row r="162" spans="2:5" ht="15.75" customHeight="1" x14ac:dyDescent="0.3">
      <c r="B162" s="2"/>
      <c r="E162" s="2"/>
    </row>
    <row r="163" spans="2:5" ht="15.75" customHeight="1" x14ac:dyDescent="0.3">
      <c r="B163" s="2"/>
      <c r="E163" s="2"/>
    </row>
    <row r="164" spans="2:5" ht="15.75" customHeight="1" x14ac:dyDescent="0.3">
      <c r="B164" s="2"/>
      <c r="E164" s="2"/>
    </row>
    <row r="165" spans="2:5" ht="15.75" customHeight="1" x14ac:dyDescent="0.3">
      <c r="B165" s="2"/>
      <c r="E165" s="2"/>
    </row>
    <row r="166" spans="2:5" ht="15.75" customHeight="1" x14ac:dyDescent="0.3">
      <c r="B166" s="2"/>
      <c r="E166" s="2"/>
    </row>
    <row r="167" spans="2:5" ht="15.75" customHeight="1" x14ac:dyDescent="0.3">
      <c r="B167" s="2"/>
      <c r="E167" s="2"/>
    </row>
    <row r="168" spans="2:5" ht="15.75" customHeight="1" x14ac:dyDescent="0.3">
      <c r="B168" s="2"/>
      <c r="E168" s="2"/>
    </row>
    <row r="169" spans="2:5" ht="15.75" customHeight="1" x14ac:dyDescent="0.3">
      <c r="B169" s="2"/>
      <c r="E169" s="2"/>
    </row>
    <row r="170" spans="2:5" ht="15.75" customHeight="1" x14ac:dyDescent="0.3">
      <c r="B170" s="2"/>
      <c r="E170" s="2"/>
    </row>
    <row r="171" spans="2:5" ht="15.75" customHeight="1" x14ac:dyDescent="0.3">
      <c r="B171" s="2"/>
      <c r="E171" s="2"/>
    </row>
    <row r="172" spans="2:5" ht="15.75" customHeight="1" x14ac:dyDescent="0.3">
      <c r="B172" s="2"/>
      <c r="E172" s="2"/>
    </row>
    <row r="173" spans="2:5" ht="15.75" customHeight="1" x14ac:dyDescent="0.3">
      <c r="B173" s="2"/>
      <c r="E173" s="2"/>
    </row>
    <row r="174" spans="2:5" ht="15.75" customHeight="1" x14ac:dyDescent="0.3">
      <c r="B174" s="2"/>
      <c r="E174" s="2"/>
    </row>
    <row r="175" spans="2:5" ht="15.75" customHeight="1" x14ac:dyDescent="0.3">
      <c r="B175" s="2"/>
      <c r="E175" s="2"/>
    </row>
    <row r="176" spans="2:5" ht="15.75" customHeight="1" x14ac:dyDescent="0.3">
      <c r="B176" s="2"/>
      <c r="E176" s="2"/>
    </row>
    <row r="177" spans="2:5" ht="15.75" customHeight="1" x14ac:dyDescent="0.3">
      <c r="B177" s="2"/>
      <c r="E177" s="2"/>
    </row>
    <row r="178" spans="2:5" ht="15.75" customHeight="1" x14ac:dyDescent="0.3">
      <c r="B178" s="2"/>
      <c r="E178" s="2"/>
    </row>
    <row r="179" spans="2:5" ht="15.75" customHeight="1" x14ac:dyDescent="0.3">
      <c r="B179" s="2"/>
      <c r="E179" s="2"/>
    </row>
    <row r="180" spans="2:5" ht="15.75" customHeight="1" x14ac:dyDescent="0.3">
      <c r="B180" s="2"/>
      <c r="E180" s="2"/>
    </row>
    <row r="181" spans="2:5" ht="15.75" customHeight="1" x14ac:dyDescent="0.3">
      <c r="B181" s="2"/>
      <c r="E181" s="2"/>
    </row>
    <row r="182" spans="2:5" ht="15.75" customHeight="1" x14ac:dyDescent="0.3">
      <c r="B182" s="2"/>
      <c r="E182" s="2"/>
    </row>
    <row r="183" spans="2:5" ht="15.75" customHeight="1" x14ac:dyDescent="0.3">
      <c r="B183" s="2"/>
      <c r="E183" s="2"/>
    </row>
    <row r="184" spans="2:5" ht="15.75" customHeight="1" x14ac:dyDescent="0.3">
      <c r="B184" s="2"/>
      <c r="E184" s="2"/>
    </row>
    <row r="185" spans="2:5" ht="15.75" customHeight="1" x14ac:dyDescent="0.3">
      <c r="B185" s="2"/>
      <c r="E185" s="2"/>
    </row>
    <row r="186" spans="2:5" ht="15.75" customHeight="1" x14ac:dyDescent="0.3">
      <c r="B186" s="2"/>
      <c r="E186" s="2"/>
    </row>
    <row r="187" spans="2:5" ht="15.75" customHeight="1" x14ac:dyDescent="0.3">
      <c r="B187" s="2"/>
      <c r="E187" s="2"/>
    </row>
    <row r="188" spans="2:5" ht="15.75" customHeight="1" x14ac:dyDescent="0.3">
      <c r="B188" s="2"/>
      <c r="E188" s="2"/>
    </row>
    <row r="189" spans="2:5" ht="15.75" customHeight="1" x14ac:dyDescent="0.3">
      <c r="B189" s="2"/>
      <c r="E189" s="2"/>
    </row>
    <row r="190" spans="2:5" ht="15.75" customHeight="1" x14ac:dyDescent="0.3">
      <c r="B190" s="2"/>
      <c r="E190" s="2"/>
    </row>
    <row r="191" spans="2:5" ht="15.75" customHeight="1" x14ac:dyDescent="0.3">
      <c r="B191" s="2"/>
      <c r="E191" s="2"/>
    </row>
    <row r="192" spans="2:5" ht="15.75" customHeight="1" x14ac:dyDescent="0.3">
      <c r="B192" s="2"/>
      <c r="E192" s="2"/>
    </row>
    <row r="193" spans="2:5" ht="15.75" customHeight="1" x14ac:dyDescent="0.3">
      <c r="B193" s="2"/>
      <c r="E193" s="2"/>
    </row>
    <row r="194" spans="2:5" ht="15.75" customHeight="1" x14ac:dyDescent="0.3">
      <c r="B194" s="2"/>
      <c r="E194" s="2"/>
    </row>
    <row r="195" spans="2:5" ht="15.75" customHeight="1" x14ac:dyDescent="0.3">
      <c r="B195" s="2"/>
      <c r="E195" s="2"/>
    </row>
    <row r="196" spans="2:5" ht="15.75" customHeight="1" x14ac:dyDescent="0.3">
      <c r="B196" s="2"/>
      <c r="E196" s="2"/>
    </row>
    <row r="197" spans="2:5" ht="15.75" customHeight="1" x14ac:dyDescent="0.3">
      <c r="B197" s="2"/>
      <c r="E197" s="2"/>
    </row>
    <row r="198" spans="2:5" ht="15.75" customHeight="1" x14ac:dyDescent="0.3">
      <c r="B198" s="2"/>
      <c r="E198" s="2"/>
    </row>
    <row r="199" spans="2:5" ht="15.75" customHeight="1" x14ac:dyDescent="0.3">
      <c r="B199" s="2"/>
      <c r="E199" s="2"/>
    </row>
    <row r="200" spans="2:5" ht="15.75" customHeight="1" x14ac:dyDescent="0.3">
      <c r="B200" s="2"/>
      <c r="E200" s="2"/>
    </row>
    <row r="201" spans="2:5" ht="15.75" customHeight="1" x14ac:dyDescent="0.3">
      <c r="B201" s="2"/>
      <c r="E201" s="2"/>
    </row>
    <row r="202" spans="2:5" ht="15.75" customHeight="1" x14ac:dyDescent="0.3">
      <c r="B202" s="2"/>
      <c r="E202" s="2"/>
    </row>
    <row r="203" spans="2:5" ht="15.75" customHeight="1" x14ac:dyDescent="0.3">
      <c r="B203" s="2"/>
      <c r="E203" s="2"/>
    </row>
    <row r="204" spans="2:5" ht="15.75" customHeight="1" x14ac:dyDescent="0.3">
      <c r="B204" s="2"/>
      <c r="E204" s="2"/>
    </row>
    <row r="205" spans="2:5" ht="15.75" customHeight="1" x14ac:dyDescent="0.3">
      <c r="B205" s="2"/>
      <c r="E205" s="2"/>
    </row>
    <row r="206" spans="2:5" ht="15.75" customHeight="1" x14ac:dyDescent="0.3">
      <c r="B206" s="2"/>
      <c r="E206" s="2"/>
    </row>
    <row r="207" spans="2:5" ht="15.75" customHeight="1" x14ac:dyDescent="0.3">
      <c r="B207" s="2"/>
      <c r="E207" s="2"/>
    </row>
    <row r="208" spans="2:5" ht="15.75" customHeight="1" x14ac:dyDescent="0.3">
      <c r="B208" s="2"/>
      <c r="E208" s="2"/>
    </row>
    <row r="209" spans="2:5" ht="15.75" customHeight="1" x14ac:dyDescent="0.3">
      <c r="B209" s="2"/>
      <c r="E209" s="2"/>
    </row>
    <row r="210" spans="2:5" ht="15.75" customHeight="1" x14ac:dyDescent="0.3">
      <c r="B210" s="2"/>
      <c r="E210" s="2"/>
    </row>
    <row r="211" spans="2:5" ht="15.75" customHeight="1" x14ac:dyDescent="0.3">
      <c r="B211" s="2"/>
      <c r="E211" s="2"/>
    </row>
    <row r="212" spans="2:5" ht="15.75" customHeight="1" x14ac:dyDescent="0.3">
      <c r="B212" s="2"/>
      <c r="E212" s="2"/>
    </row>
    <row r="213" spans="2:5" ht="15.75" customHeight="1" x14ac:dyDescent="0.3">
      <c r="B213" s="2"/>
      <c r="E213" s="2"/>
    </row>
    <row r="214" spans="2:5" ht="15.75" customHeight="1" x14ac:dyDescent="0.3">
      <c r="B214" s="2"/>
      <c r="E214" s="2"/>
    </row>
    <row r="215" spans="2:5" ht="15.75" customHeight="1" x14ac:dyDescent="0.3">
      <c r="B215" s="2"/>
      <c r="E215" s="2"/>
    </row>
    <row r="216" spans="2:5" ht="15.75" customHeight="1" x14ac:dyDescent="0.3">
      <c r="B216" s="2"/>
      <c r="E216" s="2"/>
    </row>
    <row r="217" spans="2:5" ht="15.75" customHeight="1" x14ac:dyDescent="0.3">
      <c r="B217" s="2"/>
      <c r="E217" s="2"/>
    </row>
    <row r="218" spans="2:5" ht="15.75" customHeight="1" x14ac:dyDescent="0.3">
      <c r="B218" s="2"/>
      <c r="E218" s="2"/>
    </row>
    <row r="219" spans="2:5" ht="15.75" customHeight="1" x14ac:dyDescent="0.3">
      <c r="B219" s="2"/>
      <c r="E219" s="2"/>
    </row>
    <row r="220" spans="2:5" ht="15.75" customHeight="1" x14ac:dyDescent="0.3">
      <c r="B220" s="2"/>
      <c r="E220" s="2"/>
    </row>
    <row r="221" spans="2:5" ht="15.75" customHeight="1" x14ac:dyDescent="0.3">
      <c r="B221" s="2"/>
      <c r="E221" s="2"/>
    </row>
    <row r="222" spans="2:5" ht="15.75" customHeight="1" x14ac:dyDescent="0.3">
      <c r="B222" s="2"/>
      <c r="E222" s="2"/>
    </row>
    <row r="223" spans="2:5" ht="15.75" customHeight="1" x14ac:dyDescent="0.3">
      <c r="B223" s="2"/>
      <c r="E223" s="2"/>
    </row>
    <row r="224" spans="2:5" ht="15.75" customHeight="1" x14ac:dyDescent="0.3">
      <c r="B224" s="2"/>
      <c r="E224" s="2"/>
    </row>
    <row r="225" spans="2:5" ht="15.75" customHeight="1" x14ac:dyDescent="0.3">
      <c r="B225" s="2"/>
      <c r="E225" s="2"/>
    </row>
    <row r="226" spans="2:5" ht="15.75" customHeight="1" x14ac:dyDescent="0.3">
      <c r="B226" s="2"/>
      <c r="E226" s="2"/>
    </row>
    <row r="227" spans="2:5" ht="15.75" customHeight="1" x14ac:dyDescent="0.3">
      <c r="B227" s="2"/>
      <c r="E227" s="2"/>
    </row>
    <row r="228" spans="2:5" ht="15.75" customHeight="1" x14ac:dyDescent="0.3">
      <c r="B228" s="2"/>
      <c r="E228" s="2"/>
    </row>
    <row r="229" spans="2:5" ht="15.75" customHeight="1" x14ac:dyDescent="0.3">
      <c r="B229" s="2"/>
      <c r="E229" s="2"/>
    </row>
    <row r="230" spans="2:5" ht="15.75" customHeight="1" x14ac:dyDescent="0.3">
      <c r="B230" s="2"/>
      <c r="E230" s="2"/>
    </row>
    <row r="231" spans="2:5" ht="15.75" customHeight="1" x14ac:dyDescent="0.3">
      <c r="B231" s="2"/>
      <c r="E231" s="2"/>
    </row>
    <row r="232" spans="2:5" ht="15.75" customHeight="1" x14ac:dyDescent="0.3">
      <c r="B232" s="2"/>
      <c r="E232" s="2"/>
    </row>
    <row r="233" spans="2:5" ht="15.75" customHeight="1" x14ac:dyDescent="0.3">
      <c r="B233" s="2"/>
      <c r="E233" s="2"/>
    </row>
    <row r="234" spans="2:5" ht="15.75" customHeight="1" x14ac:dyDescent="0.3">
      <c r="B234" s="2"/>
      <c r="E234" s="2"/>
    </row>
    <row r="235" spans="2:5" ht="15.75" customHeight="1" x14ac:dyDescent="0.3">
      <c r="B235" s="2"/>
      <c r="E235" s="2"/>
    </row>
    <row r="236" spans="2:5" ht="15.75" customHeight="1" x14ac:dyDescent="0.3">
      <c r="B236" s="2"/>
      <c r="E236" s="2"/>
    </row>
    <row r="237" spans="2:5" ht="15.75" customHeight="1" x14ac:dyDescent="0.3">
      <c r="B237" s="2"/>
      <c r="E237" s="2"/>
    </row>
    <row r="238" spans="2:5" ht="15.75" customHeight="1" x14ac:dyDescent="0.3">
      <c r="B238" s="2"/>
      <c r="E238" s="2"/>
    </row>
    <row r="239" spans="2:5" ht="15.75" customHeight="1" x14ac:dyDescent="0.3">
      <c r="B239" s="2"/>
      <c r="E239" s="2"/>
    </row>
    <row r="240" spans="2:5" ht="15.75" customHeight="1" x14ac:dyDescent="0.3">
      <c r="B240" s="2"/>
      <c r="E240" s="2"/>
    </row>
    <row r="241" spans="2:5" ht="15.75" customHeight="1" x14ac:dyDescent="0.3">
      <c r="B241" s="2"/>
      <c r="E241" s="2"/>
    </row>
    <row r="242" spans="2:5" ht="15.75" customHeight="1" x14ac:dyDescent="0.3">
      <c r="B242" s="2"/>
      <c r="E242" s="2"/>
    </row>
    <row r="243" spans="2:5" ht="15.75" customHeight="1" x14ac:dyDescent="0.3">
      <c r="B243" s="2"/>
      <c r="E243" s="2"/>
    </row>
    <row r="244" spans="2:5" ht="15.75" customHeight="1" x14ac:dyDescent="0.3">
      <c r="B244" s="2"/>
      <c r="E244" s="2"/>
    </row>
    <row r="245" spans="2:5" ht="15.75" customHeight="1" x14ac:dyDescent="0.3">
      <c r="B245" s="2"/>
      <c r="E245" s="2"/>
    </row>
    <row r="246" spans="2:5" ht="15.75" customHeight="1" x14ac:dyDescent="0.3">
      <c r="B246" s="2"/>
      <c r="E246" s="2"/>
    </row>
    <row r="247" spans="2:5" ht="15.75" customHeight="1" x14ac:dyDescent="0.3">
      <c r="B247" s="2"/>
      <c r="E247" s="2"/>
    </row>
    <row r="248" spans="2:5" ht="15.75" customHeight="1" x14ac:dyDescent="0.3">
      <c r="B248" s="2"/>
      <c r="E248" s="2"/>
    </row>
    <row r="249" spans="2:5" ht="15.75" customHeight="1" x14ac:dyDescent="0.3">
      <c r="B249" s="2"/>
      <c r="E249" s="2"/>
    </row>
    <row r="250" spans="2:5" ht="15.75" customHeight="1" x14ac:dyDescent="0.3">
      <c r="B250" s="2"/>
      <c r="E250" s="2"/>
    </row>
    <row r="251" spans="2:5" ht="15.75" customHeight="1" x14ac:dyDescent="0.3">
      <c r="B251" s="2"/>
      <c r="E251" s="2"/>
    </row>
    <row r="252" spans="2:5" ht="15.75" customHeight="1" x14ac:dyDescent="0.3">
      <c r="B252" s="2"/>
      <c r="E252" s="2"/>
    </row>
    <row r="253" spans="2:5" ht="15.75" customHeight="1" x14ac:dyDescent="0.3">
      <c r="B253" s="2"/>
      <c r="E253" s="2"/>
    </row>
    <row r="254" spans="2:5" ht="15.75" customHeight="1" x14ac:dyDescent="0.3">
      <c r="B254" s="2"/>
      <c r="E254" s="2"/>
    </row>
    <row r="255" spans="2:5" ht="15.75" customHeight="1" x14ac:dyDescent="0.3">
      <c r="B255" s="2"/>
      <c r="E255" s="2"/>
    </row>
    <row r="256" spans="2:5" ht="15.75" customHeight="1" x14ac:dyDescent="0.3">
      <c r="B256" s="2"/>
      <c r="E256" s="2"/>
    </row>
    <row r="257" spans="2:5" ht="15.75" customHeight="1" x14ac:dyDescent="0.3">
      <c r="B257" s="2"/>
      <c r="E257" s="2"/>
    </row>
    <row r="258" spans="2:5" ht="15.75" customHeight="1" x14ac:dyDescent="0.3">
      <c r="B258" s="2"/>
      <c r="E258" s="2"/>
    </row>
    <row r="259" spans="2:5" ht="15.75" customHeight="1" x14ac:dyDescent="0.3">
      <c r="B259" s="2"/>
      <c r="E259" s="2"/>
    </row>
    <row r="260" spans="2:5" ht="15.75" customHeight="1" x14ac:dyDescent="0.3">
      <c r="B260" s="2"/>
      <c r="E260" s="2"/>
    </row>
    <row r="261" spans="2:5" ht="15.75" customHeight="1" x14ac:dyDescent="0.3">
      <c r="B261" s="2"/>
      <c r="E261" s="2"/>
    </row>
    <row r="262" spans="2:5" ht="15.75" customHeight="1" x14ac:dyDescent="0.3">
      <c r="B262" s="2"/>
      <c r="E262" s="2"/>
    </row>
    <row r="263" spans="2:5" ht="15.75" customHeight="1" x14ac:dyDescent="0.3"/>
    <row r="264" spans="2:5" ht="15.75" customHeight="1" x14ac:dyDescent="0.3"/>
    <row r="265" spans="2:5" ht="15.75" customHeight="1" x14ac:dyDescent="0.3"/>
    <row r="266" spans="2:5" ht="15.75" customHeight="1" x14ac:dyDescent="0.3"/>
    <row r="267" spans="2:5" ht="15.75" customHeight="1" x14ac:dyDescent="0.3"/>
    <row r="268" spans="2:5" ht="15.75" customHeight="1" x14ac:dyDescent="0.3"/>
    <row r="269" spans="2:5" ht="15.75" customHeight="1" x14ac:dyDescent="0.3"/>
    <row r="270" spans="2:5" ht="15.75" customHeight="1" x14ac:dyDescent="0.3"/>
    <row r="271" spans="2:5" ht="15.75" customHeight="1" x14ac:dyDescent="0.3"/>
    <row r="272" spans="2:5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C44:D44"/>
    <mergeCell ref="G44:AB44"/>
    <mergeCell ref="C1:D1"/>
    <mergeCell ref="G1:AB1"/>
    <mergeCell ref="A2:A5"/>
    <mergeCell ref="C6:D6"/>
    <mergeCell ref="G6:AB6"/>
    <mergeCell ref="C25:D25"/>
    <mergeCell ref="G25:AB25"/>
  </mergeCells>
  <conditionalFormatting sqref="D8:D24">
    <cfRule type="cellIs" dxfId="354" priority="22" operator="greaterThanOrEqual">
      <formula>$D$4</formula>
    </cfRule>
    <cfRule type="cellIs" dxfId="353" priority="24" operator="between">
      <formula>$D$3</formula>
      <formula>$D$4</formula>
    </cfRule>
    <cfRule type="cellIs" dxfId="352" priority="23" operator="lessThanOrEqual">
      <formula>$D$2</formula>
    </cfRule>
  </conditionalFormatting>
  <conditionalFormatting sqref="D27:D43 G27:AB43">
    <cfRule type="cellIs" dxfId="351" priority="21" operator="greaterThanOrEqual">
      <formula>365</formula>
    </cfRule>
  </conditionalFormatting>
  <conditionalFormatting sqref="D46:D62 G46:AB62">
    <cfRule type="cellIs" dxfId="350" priority="20" operator="lessThanOrEqual">
      <formula>1</formula>
    </cfRule>
  </conditionalFormatting>
  <conditionalFormatting sqref="G8:G24">
    <cfRule type="cellIs" dxfId="349" priority="1" operator="greaterThanOrEqual">
      <formula>$G$4</formula>
    </cfRule>
    <cfRule type="cellIs" dxfId="348" priority="19" operator="lessThanOrEqual">
      <formula>$G$2</formula>
    </cfRule>
    <cfRule type="cellIs" dxfId="347" priority="10" operator="between">
      <formula>$G$3</formula>
      <formula>$G$4</formula>
    </cfRule>
  </conditionalFormatting>
  <conditionalFormatting sqref="H8:H24">
    <cfRule type="cellIs" dxfId="346" priority="2" operator="greaterThanOrEqual">
      <formula>$H$4</formula>
    </cfRule>
    <cfRule type="cellIs" dxfId="345" priority="11" operator="between">
      <formula>$H$3</formula>
      <formula>$H$4</formula>
    </cfRule>
    <cfRule type="cellIs" dxfId="344" priority="26" operator="lessThanOrEqual">
      <formula>$H$2</formula>
    </cfRule>
  </conditionalFormatting>
  <conditionalFormatting sqref="I8:I24">
    <cfRule type="cellIs" dxfId="343" priority="3" operator="greaterThanOrEqual">
      <formula>$I$4</formula>
    </cfRule>
    <cfRule type="cellIs" dxfId="342" priority="12" operator="between">
      <formula>I$3</formula>
      <formula>I$4</formula>
    </cfRule>
    <cfRule type="cellIs" dxfId="341" priority="27" operator="lessThanOrEqual">
      <formula>$I$2</formula>
    </cfRule>
  </conditionalFormatting>
  <conditionalFormatting sqref="J8:J24">
    <cfRule type="cellIs" dxfId="340" priority="4" operator="greaterThanOrEqual">
      <formula>$J$4</formula>
    </cfRule>
    <cfRule type="cellIs" dxfId="339" priority="13" operator="between">
      <formula>$J$3</formula>
      <formula>$J$4</formula>
    </cfRule>
    <cfRule type="cellIs" dxfId="338" priority="28" operator="lessThanOrEqual">
      <formula>$J$2</formula>
    </cfRule>
  </conditionalFormatting>
  <conditionalFormatting sqref="K8:K24">
    <cfRule type="cellIs" dxfId="337" priority="5" operator="greaterThanOrEqual">
      <formula>$K$4</formula>
    </cfRule>
    <cfRule type="cellIs" dxfId="336" priority="14" operator="between">
      <formula>$K$3</formula>
      <formula>$K$4</formula>
    </cfRule>
    <cfRule type="cellIs" dxfId="335" priority="29" operator="lessThanOrEqual">
      <formula>$K$2</formula>
    </cfRule>
  </conditionalFormatting>
  <conditionalFormatting sqref="L8:L24">
    <cfRule type="cellIs" dxfId="334" priority="6" operator="greaterThanOrEqual">
      <formula>$L$4</formula>
    </cfRule>
    <cfRule type="cellIs" dxfId="333" priority="15" operator="between">
      <formula>$L$3</formula>
      <formula>$L$4</formula>
    </cfRule>
    <cfRule type="cellIs" dxfId="332" priority="30" operator="lessThanOrEqual">
      <formula>$L$2</formula>
    </cfRule>
  </conditionalFormatting>
  <conditionalFormatting sqref="M8:M24">
    <cfRule type="cellIs" dxfId="331" priority="7" operator="greaterThanOrEqual">
      <formula>$M$4</formula>
    </cfRule>
    <cfRule type="cellIs" dxfId="330" priority="16" operator="between">
      <formula>$M$3</formula>
      <formula>$M$4</formula>
    </cfRule>
    <cfRule type="cellIs" dxfId="329" priority="31" operator="lessThanOrEqual">
      <formula>$M$2</formula>
    </cfRule>
  </conditionalFormatting>
  <conditionalFormatting sqref="N8:N24">
    <cfRule type="cellIs" dxfId="328" priority="8" operator="greaterThanOrEqual">
      <formula>$N$4</formula>
    </cfRule>
    <cfRule type="cellIs" dxfId="327" priority="17" operator="between">
      <formula>$N$3</formula>
      <formula>$N$4</formula>
    </cfRule>
    <cfRule type="cellIs" dxfId="326" priority="32" operator="lessThanOrEqual">
      <formula>$N$2</formula>
    </cfRule>
  </conditionalFormatting>
  <conditionalFormatting sqref="O8:O24">
    <cfRule type="cellIs" dxfId="325" priority="18" operator="between">
      <formula>$O$3</formula>
      <formula>$O$4</formula>
    </cfRule>
    <cfRule type="cellIs" dxfId="324" priority="9" operator="greaterThanOrEqual">
      <formula>$O$4</formula>
    </cfRule>
    <cfRule type="cellIs" dxfId="323" priority="33" operator="lessThanOrEqual">
      <formula>$O$2</formula>
    </cfRule>
  </conditionalFormatting>
  <conditionalFormatting sqref="P7:P24">
    <cfRule type="cellIs" dxfId="322" priority="46" operator="between">
      <formula>$P$3</formula>
      <formula>$P$4</formula>
    </cfRule>
  </conditionalFormatting>
  <conditionalFormatting sqref="P8:P24">
    <cfRule type="cellIs" dxfId="321" priority="25" operator="lessThanOrEqual">
      <formula>$P$2</formula>
    </cfRule>
    <cfRule type="cellIs" dxfId="320" priority="59" operator="greaterThanOrEqual">
      <formula>$P$4</formula>
    </cfRule>
  </conditionalFormatting>
  <conditionalFormatting sqref="Q8:Q24">
    <cfRule type="cellIs" dxfId="319" priority="34" operator="lessThanOrEqual">
      <formula>$Q$2</formula>
    </cfRule>
    <cfRule type="cellIs" dxfId="318" priority="47" operator="between">
      <formula>$Q$3</formula>
      <formula>$Q$4</formula>
    </cfRule>
    <cfRule type="cellIs" dxfId="317" priority="60" operator="greaterThanOrEqual">
      <formula>$Q$4</formula>
    </cfRule>
  </conditionalFormatting>
  <conditionalFormatting sqref="R8:R24">
    <cfRule type="cellIs" dxfId="316" priority="48" operator="between">
      <formula>$R$3</formula>
      <formula>$R$4</formula>
    </cfRule>
    <cfRule type="cellIs" dxfId="315" priority="35" operator="lessThanOrEqual">
      <formula>$R$2</formula>
    </cfRule>
    <cfRule type="cellIs" dxfId="314" priority="61" operator="greaterThanOrEqual">
      <formula>$R$4</formula>
    </cfRule>
  </conditionalFormatting>
  <conditionalFormatting sqref="S8:S24">
    <cfRule type="cellIs" dxfId="313" priority="49" operator="between">
      <formula>$S$3</formula>
      <formula>$S$4</formula>
    </cfRule>
    <cfRule type="cellIs" dxfId="312" priority="36" operator="lessThanOrEqual">
      <formula>$S$2</formula>
    </cfRule>
    <cfRule type="cellIs" dxfId="311" priority="62" operator="greaterThanOrEqual">
      <formula>$S$4</formula>
    </cfRule>
  </conditionalFormatting>
  <conditionalFormatting sqref="T8:T24">
    <cfRule type="cellIs" dxfId="310" priority="37" operator="lessThanOrEqual">
      <formula>$T$2</formula>
    </cfRule>
    <cfRule type="cellIs" dxfId="309" priority="50" operator="between">
      <formula>$T$3</formula>
      <formula>$T$4</formula>
    </cfRule>
    <cfRule type="cellIs" dxfId="308" priority="63" operator="greaterThanOrEqual">
      <formula>$T$4</formula>
    </cfRule>
  </conditionalFormatting>
  <conditionalFormatting sqref="U8:U24">
    <cfRule type="cellIs" dxfId="307" priority="38" operator="lessThanOrEqual">
      <formula>$U$2</formula>
    </cfRule>
    <cfRule type="cellIs" dxfId="306" priority="51" operator="between">
      <formula>$U$3</formula>
      <formula>$U$4</formula>
    </cfRule>
    <cfRule type="cellIs" dxfId="305" priority="64" operator="greaterThanOrEqual">
      <formula>$U$4</formula>
    </cfRule>
  </conditionalFormatting>
  <conditionalFormatting sqref="V8:V24">
    <cfRule type="cellIs" dxfId="304" priority="39" operator="lessThanOrEqual">
      <formula>$V$2</formula>
    </cfRule>
    <cfRule type="cellIs" dxfId="303" priority="52" operator="between">
      <formula>$V$3</formula>
      <formula>$V$4</formula>
    </cfRule>
    <cfRule type="cellIs" dxfId="302" priority="65" operator="greaterThanOrEqual">
      <formula>$V$4</formula>
    </cfRule>
  </conditionalFormatting>
  <conditionalFormatting sqref="W8:W24">
    <cfRule type="cellIs" dxfId="301" priority="40" operator="lessThanOrEqual">
      <formula>$W$2</formula>
    </cfRule>
    <cfRule type="cellIs" dxfId="300" priority="53" operator="between">
      <formula>$W$3</formula>
      <formula>$W$4</formula>
    </cfRule>
    <cfRule type="cellIs" dxfId="299" priority="66" operator="greaterThanOrEqual">
      <formula>$W$4</formula>
    </cfRule>
  </conditionalFormatting>
  <conditionalFormatting sqref="X8:X24">
    <cfRule type="cellIs" dxfId="298" priority="54" operator="between">
      <formula>$X$3</formula>
      <formula>$X$4</formula>
    </cfRule>
    <cfRule type="cellIs" dxfId="297" priority="41" operator="lessThanOrEqual">
      <formula>$X$2</formula>
    </cfRule>
    <cfRule type="cellIs" dxfId="296" priority="67" operator="greaterThanOrEqual">
      <formula>$X$4</formula>
    </cfRule>
  </conditionalFormatting>
  <conditionalFormatting sqref="Y8:Y24">
    <cfRule type="cellIs" dxfId="295" priority="42" operator="lessThanOrEqual">
      <formula>$Y$2</formula>
    </cfRule>
    <cfRule type="cellIs" dxfId="294" priority="55" operator="between">
      <formula>$Y$3</formula>
      <formula>$Y$4</formula>
    </cfRule>
    <cfRule type="cellIs" dxfId="293" priority="68" operator="greaterThanOrEqual">
      <formula>$Y$4</formula>
    </cfRule>
  </conditionalFormatting>
  <conditionalFormatting sqref="Z8:Z24">
    <cfRule type="cellIs" dxfId="292" priority="56" operator="between">
      <formula>$Z$3</formula>
      <formula>$Z$4</formula>
    </cfRule>
    <cfRule type="cellIs" dxfId="291" priority="43" operator="lessThanOrEqual">
      <formula>$Z$2</formula>
    </cfRule>
    <cfRule type="cellIs" dxfId="290" priority="69" operator="greaterThanOrEqual">
      <formula>$Z$4</formula>
    </cfRule>
  </conditionalFormatting>
  <conditionalFormatting sqref="AA8:AA24">
    <cfRule type="cellIs" dxfId="289" priority="57" operator="between">
      <formula>$AA$3</formula>
      <formula>$AA$4</formula>
    </cfRule>
    <cfRule type="cellIs" dxfId="288" priority="44" operator="lessThanOrEqual">
      <formula>$AA$2</formula>
    </cfRule>
    <cfRule type="cellIs" dxfId="287" priority="70" operator="greaterThanOrEqual">
      <formula>$AA$4</formula>
    </cfRule>
  </conditionalFormatting>
  <conditionalFormatting sqref="AB8:AB24">
    <cfRule type="cellIs" dxfId="286" priority="45" operator="lessThanOrEqual">
      <formula>$AB$2</formula>
    </cfRule>
    <cfRule type="cellIs" dxfId="285" priority="58" operator="between">
      <formula>$AB$3</formula>
      <formula>$AB$4</formula>
    </cfRule>
    <cfRule type="cellIs" dxfId="284" priority="71" operator="greaterThanOrEqual">
      <formula>$AB$4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1000"/>
  <sheetViews>
    <sheetView workbookViewId="0">
      <selection activeCell="A46" sqref="A46:A62"/>
    </sheetView>
  </sheetViews>
  <sheetFormatPr defaultColWidth="12.61328125" defaultRowHeight="15" customHeight="1" x14ac:dyDescent="0.3"/>
  <cols>
    <col min="1" max="1" width="10.4609375" customWidth="1"/>
    <col min="2" max="2" width="2.3828125" customWidth="1"/>
    <col min="3" max="3" width="10.4609375" customWidth="1"/>
    <col min="4" max="4" width="12.61328125" customWidth="1"/>
    <col min="5" max="5" width="2.3828125" customWidth="1"/>
    <col min="6" max="6" width="10.4609375" customWidth="1"/>
    <col min="9" max="10" width="14.61328125" customWidth="1"/>
  </cols>
  <sheetData>
    <row r="1" spans="1:28" ht="15.75" customHeight="1" x14ac:dyDescent="0.3">
      <c r="A1" s="1"/>
      <c r="B1" s="2"/>
      <c r="C1" s="32" t="s">
        <v>0</v>
      </c>
      <c r="D1" s="30"/>
      <c r="E1" s="2"/>
      <c r="F1" s="3"/>
      <c r="G1" s="32" t="s">
        <v>1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ht="15.75" customHeight="1" x14ac:dyDescent="0.3">
      <c r="A2" s="33" t="s">
        <v>2</v>
      </c>
      <c r="B2" s="2"/>
      <c r="C2" s="4" t="s">
        <v>3</v>
      </c>
      <c r="D2" s="5">
        <f>D3/12</f>
        <v>1.893939393939394E-2</v>
      </c>
      <c r="E2" s="2"/>
      <c r="F2" s="4" t="s">
        <v>3</v>
      </c>
      <c r="G2" s="5">
        <f t="shared" ref="G2:AB2" si="0">G3/12</f>
        <v>1.893939393939394E-2</v>
      </c>
      <c r="H2" s="5">
        <f t="shared" si="0"/>
        <v>1.893939393939394E-2</v>
      </c>
      <c r="I2" s="5">
        <f t="shared" si="0"/>
        <v>1.893939393939394E-2</v>
      </c>
      <c r="J2" s="5">
        <f t="shared" si="0"/>
        <v>1.893939393939394E-2</v>
      </c>
      <c r="K2" s="5">
        <f t="shared" si="0"/>
        <v>1.893939393939394E-2</v>
      </c>
      <c r="L2" s="5">
        <f t="shared" si="0"/>
        <v>1.893939393939394E-2</v>
      </c>
      <c r="M2" s="5">
        <f t="shared" si="0"/>
        <v>1.893939393939394E-2</v>
      </c>
      <c r="N2" s="5">
        <f t="shared" si="0"/>
        <v>1.893939393939394E-2</v>
      </c>
      <c r="O2" s="5">
        <f t="shared" si="0"/>
        <v>1.893939393939394E-2</v>
      </c>
      <c r="P2" s="5">
        <f t="shared" si="0"/>
        <v>1.893939393939394E-2</v>
      </c>
      <c r="Q2" s="5">
        <f t="shared" si="0"/>
        <v>1.893939393939394E-2</v>
      </c>
      <c r="R2" s="5">
        <f t="shared" si="0"/>
        <v>1.893939393939394E-2</v>
      </c>
      <c r="S2" s="5">
        <f t="shared" si="0"/>
        <v>1.893939393939394E-2</v>
      </c>
      <c r="T2" s="5">
        <f t="shared" si="0"/>
        <v>1.893939393939394E-2</v>
      </c>
      <c r="U2" s="5">
        <f t="shared" si="0"/>
        <v>1.893939393939394E-2</v>
      </c>
      <c r="V2" s="5">
        <f t="shared" si="0"/>
        <v>1.893939393939394E-2</v>
      </c>
      <c r="W2" s="5">
        <f t="shared" si="0"/>
        <v>1.893939393939394E-2</v>
      </c>
      <c r="X2" s="5">
        <f t="shared" si="0"/>
        <v>1.893939393939394E-2</v>
      </c>
      <c r="Y2" s="5">
        <f t="shared" si="0"/>
        <v>1.893939393939394E-2</v>
      </c>
      <c r="Z2" s="5">
        <f t="shared" si="0"/>
        <v>1.893939393939394E-2</v>
      </c>
      <c r="AA2" s="5">
        <f t="shared" si="0"/>
        <v>1.893939393939394E-2</v>
      </c>
      <c r="AB2" s="5">
        <f t="shared" si="0"/>
        <v>1.893939393939394E-2</v>
      </c>
    </row>
    <row r="3" spans="1:28" ht="15.75" customHeight="1" x14ac:dyDescent="0.3">
      <c r="A3" s="30"/>
      <c r="B3" s="2"/>
      <c r="C3" s="4" t="s">
        <v>4</v>
      </c>
      <c r="D3" s="5">
        <f>D4/4.4</f>
        <v>0.22727272727272727</v>
      </c>
      <c r="E3" s="2"/>
      <c r="F3" s="4" t="s">
        <v>4</v>
      </c>
      <c r="G3" s="5">
        <f t="shared" ref="G3:AB3" si="1">G4/4.4</f>
        <v>0.22727272727272727</v>
      </c>
      <c r="H3" s="5">
        <f t="shared" si="1"/>
        <v>0.22727272727272727</v>
      </c>
      <c r="I3" s="5">
        <f t="shared" si="1"/>
        <v>0.22727272727272727</v>
      </c>
      <c r="J3" s="5">
        <f t="shared" si="1"/>
        <v>0.22727272727272727</v>
      </c>
      <c r="K3" s="5">
        <f t="shared" si="1"/>
        <v>0.22727272727272727</v>
      </c>
      <c r="L3" s="5">
        <f t="shared" si="1"/>
        <v>0.22727272727272727</v>
      </c>
      <c r="M3" s="5">
        <f t="shared" si="1"/>
        <v>0.22727272727272727</v>
      </c>
      <c r="N3" s="5">
        <f t="shared" si="1"/>
        <v>0.22727272727272727</v>
      </c>
      <c r="O3" s="5">
        <f t="shared" si="1"/>
        <v>0.22727272727272727</v>
      </c>
      <c r="P3" s="5">
        <f t="shared" si="1"/>
        <v>0.22727272727272727</v>
      </c>
      <c r="Q3" s="5">
        <f t="shared" si="1"/>
        <v>0.22727272727272727</v>
      </c>
      <c r="R3" s="5">
        <f t="shared" si="1"/>
        <v>0.22727272727272727</v>
      </c>
      <c r="S3" s="5">
        <f t="shared" si="1"/>
        <v>0.22727272727272727</v>
      </c>
      <c r="T3" s="5">
        <f t="shared" si="1"/>
        <v>0.22727272727272727</v>
      </c>
      <c r="U3" s="5">
        <f t="shared" si="1"/>
        <v>0.22727272727272727</v>
      </c>
      <c r="V3" s="5">
        <f t="shared" si="1"/>
        <v>0.22727272727272727</v>
      </c>
      <c r="W3" s="5">
        <f t="shared" si="1"/>
        <v>0.22727272727272727</v>
      </c>
      <c r="X3" s="5">
        <f t="shared" si="1"/>
        <v>0.22727272727272727</v>
      </c>
      <c r="Y3" s="5">
        <f t="shared" si="1"/>
        <v>0.22727272727272727</v>
      </c>
      <c r="Z3" s="5">
        <f t="shared" si="1"/>
        <v>0.22727272727272727</v>
      </c>
      <c r="AA3" s="5">
        <f t="shared" si="1"/>
        <v>0.22727272727272727</v>
      </c>
      <c r="AB3" s="5">
        <f t="shared" si="1"/>
        <v>0.22727272727272727</v>
      </c>
    </row>
    <row r="4" spans="1:28" ht="15.75" customHeight="1" x14ac:dyDescent="0.3">
      <c r="A4" s="30"/>
      <c r="B4" s="2"/>
      <c r="C4" s="4" t="s">
        <v>5</v>
      </c>
      <c r="D4" s="6">
        <v>1</v>
      </c>
      <c r="E4" s="2"/>
      <c r="F4" s="4" t="s">
        <v>5</v>
      </c>
      <c r="G4" s="25">
        <v>1</v>
      </c>
      <c r="H4" s="26">
        <v>1</v>
      </c>
      <c r="I4" s="26">
        <v>1</v>
      </c>
      <c r="J4" s="26">
        <v>1</v>
      </c>
      <c r="K4" s="25">
        <v>1</v>
      </c>
      <c r="L4" s="26">
        <v>1</v>
      </c>
      <c r="M4" s="26">
        <v>1</v>
      </c>
      <c r="N4" s="26">
        <v>1</v>
      </c>
      <c r="O4" s="25">
        <v>1</v>
      </c>
      <c r="P4" s="26">
        <v>1</v>
      </c>
      <c r="Q4" s="26">
        <v>1</v>
      </c>
      <c r="R4" s="25">
        <v>1</v>
      </c>
      <c r="S4" s="26">
        <v>1</v>
      </c>
      <c r="T4" s="26">
        <v>1</v>
      </c>
      <c r="U4" s="26">
        <v>1</v>
      </c>
      <c r="V4" s="25">
        <v>1</v>
      </c>
      <c r="W4" s="26">
        <v>1</v>
      </c>
      <c r="X4" s="25">
        <v>1</v>
      </c>
      <c r="Y4" s="25">
        <v>1</v>
      </c>
      <c r="Z4" s="26">
        <v>1</v>
      </c>
      <c r="AA4" s="26">
        <v>1</v>
      </c>
      <c r="AB4" s="26">
        <v>1</v>
      </c>
    </row>
    <row r="5" spans="1:28" ht="25.5" customHeight="1" x14ac:dyDescent="0.3">
      <c r="A5" s="30"/>
      <c r="B5" s="2"/>
      <c r="C5" s="7" t="s">
        <v>6</v>
      </c>
      <c r="D5" s="8">
        <v>1</v>
      </c>
      <c r="E5" s="2"/>
      <c r="F5" s="7" t="s">
        <v>6</v>
      </c>
      <c r="G5" s="27">
        <v>1</v>
      </c>
      <c r="H5" s="28">
        <v>1</v>
      </c>
      <c r="I5" s="28">
        <v>1</v>
      </c>
      <c r="J5" s="28">
        <v>1</v>
      </c>
      <c r="K5" s="27">
        <v>1</v>
      </c>
      <c r="L5" s="28">
        <v>1</v>
      </c>
      <c r="M5" s="28">
        <v>1</v>
      </c>
      <c r="N5" s="28">
        <v>1</v>
      </c>
      <c r="O5" s="27">
        <v>1</v>
      </c>
      <c r="P5" s="28">
        <v>1</v>
      </c>
      <c r="Q5" s="28">
        <v>1</v>
      </c>
      <c r="R5" s="27">
        <v>1</v>
      </c>
      <c r="S5" s="28">
        <v>1</v>
      </c>
      <c r="T5" s="28">
        <v>1</v>
      </c>
      <c r="U5" s="28">
        <v>1</v>
      </c>
      <c r="V5" s="27">
        <v>1</v>
      </c>
      <c r="W5" s="28">
        <v>1</v>
      </c>
      <c r="X5" s="27">
        <v>1</v>
      </c>
      <c r="Y5" s="27">
        <v>1</v>
      </c>
      <c r="Z5" s="28">
        <v>1</v>
      </c>
      <c r="AA5" s="28">
        <v>1</v>
      </c>
      <c r="AB5" s="28">
        <v>1</v>
      </c>
    </row>
    <row r="6" spans="1:28" ht="15.75" customHeight="1" x14ac:dyDescent="0.3">
      <c r="A6" s="3"/>
      <c r="B6" s="2"/>
      <c r="C6" s="29"/>
      <c r="D6" s="30"/>
      <c r="E6" s="2"/>
      <c r="F6" s="3"/>
      <c r="G6" s="31" t="s">
        <v>7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spans="1:28" ht="15.75" customHeight="1" x14ac:dyDescent="0.3">
      <c r="A7" s="9" t="s">
        <v>8</v>
      </c>
      <c r="B7" s="2"/>
      <c r="C7" s="10" t="s">
        <v>9</v>
      </c>
      <c r="D7" s="10" t="s">
        <v>10</v>
      </c>
      <c r="E7" s="2"/>
      <c r="F7" s="10" t="s">
        <v>9</v>
      </c>
      <c r="G7" s="10" t="s">
        <v>78</v>
      </c>
      <c r="H7" s="10" t="s">
        <v>79</v>
      </c>
      <c r="I7" s="10"/>
      <c r="J7" s="10"/>
      <c r="K7" s="10"/>
      <c r="L7" s="10"/>
      <c r="M7" s="10"/>
      <c r="N7" s="10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5.75" customHeight="1" x14ac:dyDescent="0.3">
      <c r="A8" s="12">
        <f>RAW!$A$6</f>
        <v>400</v>
      </c>
      <c r="B8" s="2"/>
      <c r="C8" s="13" t="s">
        <v>19</v>
      </c>
      <c r="D8" s="14">
        <f t="shared" ref="D8:D24" si="2">($A8/D$5)/365</f>
        <v>1.095890410958904</v>
      </c>
      <c r="E8" s="2"/>
      <c r="F8" s="13" t="s">
        <v>19</v>
      </c>
      <c r="G8" s="14">
        <f t="shared" ref="G8:AB8" si="3">($A8/G$5)/365</f>
        <v>1.095890410958904</v>
      </c>
      <c r="H8" s="14">
        <f t="shared" si="3"/>
        <v>1.095890410958904</v>
      </c>
      <c r="I8" s="14">
        <f t="shared" si="3"/>
        <v>1.095890410958904</v>
      </c>
      <c r="J8" s="14">
        <f t="shared" si="3"/>
        <v>1.095890410958904</v>
      </c>
      <c r="K8" s="14">
        <f t="shared" si="3"/>
        <v>1.095890410958904</v>
      </c>
      <c r="L8" s="14">
        <f t="shared" si="3"/>
        <v>1.095890410958904</v>
      </c>
      <c r="M8" s="14">
        <f t="shared" si="3"/>
        <v>1.095890410958904</v>
      </c>
      <c r="N8" s="14">
        <f t="shared" si="3"/>
        <v>1.095890410958904</v>
      </c>
      <c r="O8" s="15">
        <f t="shared" si="3"/>
        <v>1.095890410958904</v>
      </c>
      <c r="P8" s="16">
        <f t="shared" si="3"/>
        <v>1.095890410958904</v>
      </c>
      <c r="Q8" s="16">
        <f t="shared" si="3"/>
        <v>1.095890410958904</v>
      </c>
      <c r="R8" s="16">
        <f t="shared" si="3"/>
        <v>1.095890410958904</v>
      </c>
      <c r="S8" s="16">
        <f t="shared" si="3"/>
        <v>1.095890410958904</v>
      </c>
      <c r="T8" s="16">
        <f t="shared" si="3"/>
        <v>1.095890410958904</v>
      </c>
      <c r="U8" s="16">
        <f t="shared" si="3"/>
        <v>1.095890410958904</v>
      </c>
      <c r="V8" s="16">
        <f t="shared" si="3"/>
        <v>1.095890410958904</v>
      </c>
      <c r="W8" s="16">
        <f t="shared" si="3"/>
        <v>1.095890410958904</v>
      </c>
      <c r="X8" s="16">
        <f t="shared" si="3"/>
        <v>1.095890410958904</v>
      </c>
      <c r="Y8" s="16">
        <f t="shared" si="3"/>
        <v>1.095890410958904</v>
      </c>
      <c r="Z8" s="16">
        <f t="shared" si="3"/>
        <v>1.095890410958904</v>
      </c>
      <c r="AA8" s="16">
        <f t="shared" si="3"/>
        <v>1.095890410958904</v>
      </c>
      <c r="AB8" s="16">
        <f t="shared" si="3"/>
        <v>1.095890410958904</v>
      </c>
    </row>
    <row r="9" spans="1:28" ht="15.75" customHeight="1" x14ac:dyDescent="0.3">
      <c r="A9" s="12">
        <f>RAW!$A$7</f>
        <v>1200</v>
      </c>
      <c r="B9" s="2"/>
      <c r="C9" s="17" t="s">
        <v>20</v>
      </c>
      <c r="D9" s="14">
        <f t="shared" si="2"/>
        <v>3.2876712328767121</v>
      </c>
      <c r="E9" s="2"/>
      <c r="F9" s="17" t="s">
        <v>20</v>
      </c>
      <c r="G9" s="14">
        <f t="shared" ref="G9:AB9" si="4">($A9/G$5)/365</f>
        <v>3.2876712328767121</v>
      </c>
      <c r="H9" s="14">
        <f t="shared" si="4"/>
        <v>3.2876712328767121</v>
      </c>
      <c r="I9" s="14">
        <f t="shared" si="4"/>
        <v>3.2876712328767121</v>
      </c>
      <c r="J9" s="14">
        <f t="shared" si="4"/>
        <v>3.2876712328767121</v>
      </c>
      <c r="K9" s="14">
        <f t="shared" si="4"/>
        <v>3.2876712328767121</v>
      </c>
      <c r="L9" s="14">
        <f t="shared" si="4"/>
        <v>3.2876712328767121</v>
      </c>
      <c r="M9" s="14">
        <f t="shared" si="4"/>
        <v>3.2876712328767121</v>
      </c>
      <c r="N9" s="14">
        <f t="shared" si="4"/>
        <v>3.2876712328767121</v>
      </c>
      <c r="O9" s="15">
        <f t="shared" si="4"/>
        <v>3.2876712328767121</v>
      </c>
      <c r="P9" s="16">
        <f t="shared" si="4"/>
        <v>3.2876712328767121</v>
      </c>
      <c r="Q9" s="16">
        <f t="shared" si="4"/>
        <v>3.2876712328767121</v>
      </c>
      <c r="R9" s="16">
        <f t="shared" si="4"/>
        <v>3.2876712328767121</v>
      </c>
      <c r="S9" s="16">
        <f t="shared" si="4"/>
        <v>3.2876712328767121</v>
      </c>
      <c r="T9" s="16">
        <f t="shared" si="4"/>
        <v>3.2876712328767121</v>
      </c>
      <c r="U9" s="16">
        <f t="shared" si="4"/>
        <v>3.2876712328767121</v>
      </c>
      <c r="V9" s="16">
        <f t="shared" si="4"/>
        <v>3.2876712328767121</v>
      </c>
      <c r="W9" s="16">
        <f t="shared" si="4"/>
        <v>3.2876712328767121</v>
      </c>
      <c r="X9" s="16">
        <f t="shared" si="4"/>
        <v>3.2876712328767121</v>
      </c>
      <c r="Y9" s="16">
        <f t="shared" si="4"/>
        <v>3.2876712328767121</v>
      </c>
      <c r="Z9" s="16">
        <f t="shared" si="4"/>
        <v>3.2876712328767121</v>
      </c>
      <c r="AA9" s="16">
        <f t="shared" si="4"/>
        <v>3.2876712328767121</v>
      </c>
      <c r="AB9" s="16">
        <f t="shared" si="4"/>
        <v>3.2876712328767121</v>
      </c>
    </row>
    <row r="10" spans="1:28" ht="15.75" customHeight="1" x14ac:dyDescent="0.3">
      <c r="A10" s="12">
        <f>RAW!$A$8</f>
        <v>2800</v>
      </c>
      <c r="B10" s="2"/>
      <c r="C10" s="17" t="s">
        <v>21</v>
      </c>
      <c r="D10" s="14">
        <f t="shared" si="2"/>
        <v>7.6712328767123283</v>
      </c>
      <c r="E10" s="2"/>
      <c r="F10" s="17" t="s">
        <v>21</v>
      </c>
      <c r="G10" s="14">
        <f t="shared" ref="G10:AB10" si="5">($A10/G$5)/365</f>
        <v>7.6712328767123283</v>
      </c>
      <c r="H10" s="14">
        <f t="shared" si="5"/>
        <v>7.6712328767123283</v>
      </c>
      <c r="I10" s="14">
        <f t="shared" si="5"/>
        <v>7.6712328767123283</v>
      </c>
      <c r="J10" s="14">
        <f t="shared" si="5"/>
        <v>7.6712328767123283</v>
      </c>
      <c r="K10" s="14">
        <f t="shared" si="5"/>
        <v>7.6712328767123283</v>
      </c>
      <c r="L10" s="14">
        <f t="shared" si="5"/>
        <v>7.6712328767123283</v>
      </c>
      <c r="M10" s="14">
        <f t="shared" si="5"/>
        <v>7.6712328767123283</v>
      </c>
      <c r="N10" s="14">
        <f t="shared" si="5"/>
        <v>7.6712328767123283</v>
      </c>
      <c r="O10" s="15">
        <f t="shared" si="5"/>
        <v>7.6712328767123283</v>
      </c>
      <c r="P10" s="16">
        <f t="shared" si="5"/>
        <v>7.6712328767123283</v>
      </c>
      <c r="Q10" s="16">
        <f t="shared" si="5"/>
        <v>7.6712328767123283</v>
      </c>
      <c r="R10" s="16">
        <f t="shared" si="5"/>
        <v>7.6712328767123283</v>
      </c>
      <c r="S10" s="16">
        <f t="shared" si="5"/>
        <v>7.6712328767123283</v>
      </c>
      <c r="T10" s="16">
        <f t="shared" si="5"/>
        <v>7.6712328767123283</v>
      </c>
      <c r="U10" s="16">
        <f t="shared" si="5"/>
        <v>7.6712328767123283</v>
      </c>
      <c r="V10" s="16">
        <f t="shared" si="5"/>
        <v>7.6712328767123283</v>
      </c>
      <c r="W10" s="16">
        <f t="shared" si="5"/>
        <v>7.6712328767123283</v>
      </c>
      <c r="X10" s="16">
        <f t="shared" si="5"/>
        <v>7.6712328767123283</v>
      </c>
      <c r="Y10" s="16">
        <f t="shared" si="5"/>
        <v>7.6712328767123283</v>
      </c>
      <c r="Z10" s="16">
        <f t="shared" si="5"/>
        <v>7.6712328767123283</v>
      </c>
      <c r="AA10" s="16">
        <f t="shared" si="5"/>
        <v>7.6712328767123283</v>
      </c>
      <c r="AB10" s="16">
        <f t="shared" si="5"/>
        <v>7.6712328767123283</v>
      </c>
    </row>
    <row r="11" spans="1:28" ht="15.75" customHeight="1" x14ac:dyDescent="0.3">
      <c r="A11" s="12">
        <f>RAW!$A$9</f>
        <v>6000</v>
      </c>
      <c r="B11" s="2"/>
      <c r="C11" s="17" t="s">
        <v>22</v>
      </c>
      <c r="D11" s="14">
        <f t="shared" si="2"/>
        <v>16.438356164383563</v>
      </c>
      <c r="E11" s="2"/>
      <c r="F11" s="17" t="s">
        <v>22</v>
      </c>
      <c r="G11" s="14">
        <f t="shared" ref="G11:AB11" si="6">($A11/G$5)/365</f>
        <v>16.438356164383563</v>
      </c>
      <c r="H11" s="14">
        <f t="shared" si="6"/>
        <v>16.438356164383563</v>
      </c>
      <c r="I11" s="14">
        <f t="shared" si="6"/>
        <v>16.438356164383563</v>
      </c>
      <c r="J11" s="14">
        <f t="shared" si="6"/>
        <v>16.438356164383563</v>
      </c>
      <c r="K11" s="14">
        <f t="shared" si="6"/>
        <v>16.438356164383563</v>
      </c>
      <c r="L11" s="14">
        <f t="shared" si="6"/>
        <v>16.438356164383563</v>
      </c>
      <c r="M11" s="14">
        <f t="shared" si="6"/>
        <v>16.438356164383563</v>
      </c>
      <c r="N11" s="14">
        <f t="shared" si="6"/>
        <v>16.438356164383563</v>
      </c>
      <c r="O11" s="15">
        <f t="shared" si="6"/>
        <v>16.438356164383563</v>
      </c>
      <c r="P11" s="16">
        <f t="shared" si="6"/>
        <v>16.438356164383563</v>
      </c>
      <c r="Q11" s="16">
        <f t="shared" si="6"/>
        <v>16.438356164383563</v>
      </c>
      <c r="R11" s="16">
        <f t="shared" si="6"/>
        <v>16.438356164383563</v>
      </c>
      <c r="S11" s="16">
        <f t="shared" si="6"/>
        <v>16.438356164383563</v>
      </c>
      <c r="T11" s="16">
        <f t="shared" si="6"/>
        <v>16.438356164383563</v>
      </c>
      <c r="U11" s="16">
        <f t="shared" si="6"/>
        <v>16.438356164383563</v>
      </c>
      <c r="V11" s="16">
        <f t="shared" si="6"/>
        <v>16.438356164383563</v>
      </c>
      <c r="W11" s="16">
        <f t="shared" si="6"/>
        <v>16.438356164383563</v>
      </c>
      <c r="X11" s="16">
        <f t="shared" si="6"/>
        <v>16.438356164383563</v>
      </c>
      <c r="Y11" s="16">
        <f t="shared" si="6"/>
        <v>16.438356164383563</v>
      </c>
      <c r="Z11" s="16">
        <f t="shared" si="6"/>
        <v>16.438356164383563</v>
      </c>
      <c r="AA11" s="16">
        <f t="shared" si="6"/>
        <v>16.438356164383563</v>
      </c>
      <c r="AB11" s="16">
        <f t="shared" si="6"/>
        <v>16.438356164383563</v>
      </c>
    </row>
    <row r="12" spans="1:28" ht="15.75" customHeight="1" x14ac:dyDescent="0.3">
      <c r="A12" s="12">
        <f>RAW!$A$10</f>
        <v>12400</v>
      </c>
      <c r="B12" s="2"/>
      <c r="C12" s="17" t="s">
        <v>23</v>
      </c>
      <c r="D12" s="14">
        <f t="shared" si="2"/>
        <v>33.972602739726028</v>
      </c>
      <c r="E12" s="2"/>
      <c r="F12" s="17" t="s">
        <v>23</v>
      </c>
      <c r="G12" s="14">
        <f t="shared" ref="G12:AB12" si="7">($A12/G$5)/365</f>
        <v>33.972602739726028</v>
      </c>
      <c r="H12" s="14">
        <f t="shared" si="7"/>
        <v>33.972602739726028</v>
      </c>
      <c r="I12" s="14">
        <f t="shared" si="7"/>
        <v>33.972602739726028</v>
      </c>
      <c r="J12" s="14">
        <f t="shared" si="7"/>
        <v>33.972602739726028</v>
      </c>
      <c r="K12" s="14">
        <f t="shared" si="7"/>
        <v>33.972602739726028</v>
      </c>
      <c r="L12" s="14">
        <f t="shared" si="7"/>
        <v>33.972602739726028</v>
      </c>
      <c r="M12" s="14">
        <f t="shared" si="7"/>
        <v>33.972602739726028</v>
      </c>
      <c r="N12" s="14">
        <f t="shared" si="7"/>
        <v>33.972602739726028</v>
      </c>
      <c r="O12" s="15">
        <f t="shared" si="7"/>
        <v>33.972602739726028</v>
      </c>
      <c r="P12" s="16">
        <f t="shared" si="7"/>
        <v>33.972602739726028</v>
      </c>
      <c r="Q12" s="16">
        <f t="shared" si="7"/>
        <v>33.972602739726028</v>
      </c>
      <c r="R12" s="16">
        <f t="shared" si="7"/>
        <v>33.972602739726028</v>
      </c>
      <c r="S12" s="16">
        <f t="shared" si="7"/>
        <v>33.972602739726028</v>
      </c>
      <c r="T12" s="16">
        <f t="shared" si="7"/>
        <v>33.972602739726028</v>
      </c>
      <c r="U12" s="16">
        <f t="shared" si="7"/>
        <v>33.972602739726028</v>
      </c>
      <c r="V12" s="16">
        <f t="shared" si="7"/>
        <v>33.972602739726028</v>
      </c>
      <c r="W12" s="16">
        <f t="shared" si="7"/>
        <v>33.972602739726028</v>
      </c>
      <c r="X12" s="16">
        <f t="shared" si="7"/>
        <v>33.972602739726028</v>
      </c>
      <c r="Y12" s="16">
        <f t="shared" si="7"/>
        <v>33.972602739726028</v>
      </c>
      <c r="Z12" s="16">
        <f t="shared" si="7"/>
        <v>33.972602739726028</v>
      </c>
      <c r="AA12" s="16">
        <f t="shared" si="7"/>
        <v>33.972602739726028</v>
      </c>
      <c r="AB12" s="16">
        <f t="shared" si="7"/>
        <v>33.972602739726028</v>
      </c>
    </row>
    <row r="13" spans="1:28" ht="15.75" customHeight="1" x14ac:dyDescent="0.3">
      <c r="A13" s="12">
        <f>RAW!$A$11</f>
        <v>25200</v>
      </c>
      <c r="B13" s="2"/>
      <c r="C13" s="17" t="s">
        <v>24</v>
      </c>
      <c r="D13" s="14">
        <f t="shared" si="2"/>
        <v>69.041095890410958</v>
      </c>
      <c r="E13" s="2"/>
      <c r="F13" s="17" t="s">
        <v>24</v>
      </c>
      <c r="G13" s="14">
        <f t="shared" ref="G13:AB13" si="8">($A13/G$5)/365</f>
        <v>69.041095890410958</v>
      </c>
      <c r="H13" s="14">
        <f t="shared" si="8"/>
        <v>69.041095890410958</v>
      </c>
      <c r="I13" s="14">
        <f t="shared" si="8"/>
        <v>69.041095890410958</v>
      </c>
      <c r="J13" s="14">
        <f t="shared" si="8"/>
        <v>69.041095890410958</v>
      </c>
      <c r="K13" s="14">
        <f t="shared" si="8"/>
        <v>69.041095890410958</v>
      </c>
      <c r="L13" s="14">
        <f t="shared" si="8"/>
        <v>69.041095890410958</v>
      </c>
      <c r="M13" s="14">
        <f t="shared" si="8"/>
        <v>69.041095890410958</v>
      </c>
      <c r="N13" s="14">
        <f t="shared" si="8"/>
        <v>69.041095890410958</v>
      </c>
      <c r="O13" s="15">
        <f t="shared" si="8"/>
        <v>69.041095890410958</v>
      </c>
      <c r="P13" s="16">
        <f t="shared" si="8"/>
        <v>69.041095890410958</v>
      </c>
      <c r="Q13" s="16">
        <f t="shared" si="8"/>
        <v>69.041095890410958</v>
      </c>
      <c r="R13" s="16">
        <f t="shared" si="8"/>
        <v>69.041095890410958</v>
      </c>
      <c r="S13" s="16">
        <f t="shared" si="8"/>
        <v>69.041095890410958</v>
      </c>
      <c r="T13" s="16">
        <f t="shared" si="8"/>
        <v>69.041095890410958</v>
      </c>
      <c r="U13" s="16">
        <f t="shared" si="8"/>
        <v>69.041095890410958</v>
      </c>
      <c r="V13" s="16">
        <f t="shared" si="8"/>
        <v>69.041095890410958</v>
      </c>
      <c r="W13" s="16">
        <f t="shared" si="8"/>
        <v>69.041095890410958</v>
      </c>
      <c r="X13" s="16">
        <f t="shared" si="8"/>
        <v>69.041095890410958</v>
      </c>
      <c r="Y13" s="16">
        <f t="shared" si="8"/>
        <v>69.041095890410958</v>
      </c>
      <c r="Z13" s="16">
        <f t="shared" si="8"/>
        <v>69.041095890410958</v>
      </c>
      <c r="AA13" s="16">
        <f t="shared" si="8"/>
        <v>69.041095890410958</v>
      </c>
      <c r="AB13" s="16">
        <f t="shared" si="8"/>
        <v>69.041095890410958</v>
      </c>
    </row>
    <row r="14" spans="1:28" ht="15.75" customHeight="1" x14ac:dyDescent="0.3">
      <c r="A14" s="12">
        <f>RAW!$A$12</f>
        <v>50800</v>
      </c>
      <c r="B14" s="2"/>
      <c r="C14" s="17" t="s">
        <v>25</v>
      </c>
      <c r="D14" s="14">
        <f t="shared" si="2"/>
        <v>139.17808219178082</v>
      </c>
      <c r="E14" s="2"/>
      <c r="F14" s="17" t="s">
        <v>25</v>
      </c>
      <c r="G14" s="14">
        <f t="shared" ref="G14:AB14" si="9">($A14/G$5)/365</f>
        <v>139.17808219178082</v>
      </c>
      <c r="H14" s="14">
        <f t="shared" si="9"/>
        <v>139.17808219178082</v>
      </c>
      <c r="I14" s="14">
        <f t="shared" si="9"/>
        <v>139.17808219178082</v>
      </c>
      <c r="J14" s="14">
        <f t="shared" si="9"/>
        <v>139.17808219178082</v>
      </c>
      <c r="K14" s="14">
        <f t="shared" si="9"/>
        <v>139.17808219178082</v>
      </c>
      <c r="L14" s="14">
        <f t="shared" si="9"/>
        <v>139.17808219178082</v>
      </c>
      <c r="M14" s="14">
        <f t="shared" si="9"/>
        <v>139.17808219178082</v>
      </c>
      <c r="N14" s="14">
        <f t="shared" si="9"/>
        <v>139.17808219178082</v>
      </c>
      <c r="O14" s="15">
        <f t="shared" si="9"/>
        <v>139.17808219178082</v>
      </c>
      <c r="P14" s="16">
        <f t="shared" si="9"/>
        <v>139.17808219178082</v>
      </c>
      <c r="Q14" s="16">
        <f t="shared" si="9"/>
        <v>139.17808219178082</v>
      </c>
      <c r="R14" s="16">
        <f t="shared" si="9"/>
        <v>139.17808219178082</v>
      </c>
      <c r="S14" s="16">
        <f t="shared" si="9"/>
        <v>139.17808219178082</v>
      </c>
      <c r="T14" s="16">
        <f t="shared" si="9"/>
        <v>139.17808219178082</v>
      </c>
      <c r="U14" s="16">
        <f t="shared" si="9"/>
        <v>139.17808219178082</v>
      </c>
      <c r="V14" s="16">
        <f t="shared" si="9"/>
        <v>139.17808219178082</v>
      </c>
      <c r="W14" s="16">
        <f t="shared" si="9"/>
        <v>139.17808219178082</v>
      </c>
      <c r="X14" s="16">
        <f t="shared" si="9"/>
        <v>139.17808219178082</v>
      </c>
      <c r="Y14" s="16">
        <f t="shared" si="9"/>
        <v>139.17808219178082</v>
      </c>
      <c r="Z14" s="16">
        <f t="shared" si="9"/>
        <v>139.17808219178082</v>
      </c>
      <c r="AA14" s="16">
        <f t="shared" si="9"/>
        <v>139.17808219178082</v>
      </c>
      <c r="AB14" s="16">
        <f t="shared" si="9"/>
        <v>139.17808219178082</v>
      </c>
    </row>
    <row r="15" spans="1:28" ht="15.75" customHeight="1" x14ac:dyDescent="0.3">
      <c r="A15" s="12">
        <f>RAW!$A$13</f>
        <v>102000</v>
      </c>
      <c r="B15" s="2"/>
      <c r="C15" s="17" t="s">
        <v>26</v>
      </c>
      <c r="D15" s="14">
        <f t="shared" si="2"/>
        <v>279.45205479452056</v>
      </c>
      <c r="E15" s="2"/>
      <c r="F15" s="17" t="s">
        <v>26</v>
      </c>
      <c r="G15" s="14">
        <f t="shared" ref="G15:AB15" si="10">($A15/G$5)/365</f>
        <v>279.45205479452056</v>
      </c>
      <c r="H15" s="14">
        <f t="shared" si="10"/>
        <v>279.45205479452056</v>
      </c>
      <c r="I15" s="14">
        <f t="shared" si="10"/>
        <v>279.45205479452056</v>
      </c>
      <c r="J15" s="14">
        <f t="shared" si="10"/>
        <v>279.45205479452056</v>
      </c>
      <c r="K15" s="14">
        <f t="shared" si="10"/>
        <v>279.45205479452056</v>
      </c>
      <c r="L15" s="14">
        <f t="shared" si="10"/>
        <v>279.45205479452056</v>
      </c>
      <c r="M15" s="14">
        <f t="shared" si="10"/>
        <v>279.45205479452056</v>
      </c>
      <c r="N15" s="14">
        <f t="shared" si="10"/>
        <v>279.45205479452056</v>
      </c>
      <c r="O15" s="15">
        <f t="shared" si="10"/>
        <v>279.45205479452056</v>
      </c>
      <c r="P15" s="16">
        <f t="shared" si="10"/>
        <v>279.45205479452056</v>
      </c>
      <c r="Q15" s="16">
        <f t="shared" si="10"/>
        <v>279.45205479452056</v>
      </c>
      <c r="R15" s="16">
        <f t="shared" si="10"/>
        <v>279.45205479452056</v>
      </c>
      <c r="S15" s="16">
        <f t="shared" si="10"/>
        <v>279.45205479452056</v>
      </c>
      <c r="T15" s="16">
        <f t="shared" si="10"/>
        <v>279.45205479452056</v>
      </c>
      <c r="U15" s="16">
        <f t="shared" si="10"/>
        <v>279.45205479452056</v>
      </c>
      <c r="V15" s="16">
        <f t="shared" si="10"/>
        <v>279.45205479452056</v>
      </c>
      <c r="W15" s="16">
        <f t="shared" si="10"/>
        <v>279.45205479452056</v>
      </c>
      <c r="X15" s="16">
        <f t="shared" si="10"/>
        <v>279.45205479452056</v>
      </c>
      <c r="Y15" s="16">
        <f t="shared" si="10"/>
        <v>279.45205479452056</v>
      </c>
      <c r="Z15" s="16">
        <f t="shared" si="10"/>
        <v>279.45205479452056</v>
      </c>
      <c r="AA15" s="16">
        <f t="shared" si="10"/>
        <v>279.45205479452056</v>
      </c>
      <c r="AB15" s="16">
        <f t="shared" si="10"/>
        <v>279.45205479452056</v>
      </c>
    </row>
    <row r="16" spans="1:28" ht="15.75" customHeight="1" x14ac:dyDescent="0.3">
      <c r="A16" s="12">
        <f>RAW!$A$14</f>
        <v>204400</v>
      </c>
      <c r="B16" s="2"/>
      <c r="C16" s="17" t="s">
        <v>27</v>
      </c>
      <c r="D16" s="14">
        <f t="shared" si="2"/>
        <v>560</v>
      </c>
      <c r="E16" s="2"/>
      <c r="F16" s="17" t="s">
        <v>27</v>
      </c>
      <c r="G16" s="14">
        <f t="shared" ref="G16:AB16" si="11">($A16/G$5)/365</f>
        <v>560</v>
      </c>
      <c r="H16" s="14">
        <f t="shared" si="11"/>
        <v>560</v>
      </c>
      <c r="I16" s="14">
        <f t="shared" si="11"/>
        <v>560</v>
      </c>
      <c r="J16" s="14">
        <f t="shared" si="11"/>
        <v>560</v>
      </c>
      <c r="K16" s="14">
        <f t="shared" si="11"/>
        <v>560</v>
      </c>
      <c r="L16" s="14">
        <f t="shared" si="11"/>
        <v>560</v>
      </c>
      <c r="M16" s="14">
        <f t="shared" si="11"/>
        <v>560</v>
      </c>
      <c r="N16" s="14">
        <f t="shared" si="11"/>
        <v>560</v>
      </c>
      <c r="O16" s="15">
        <f t="shared" si="11"/>
        <v>560</v>
      </c>
      <c r="P16" s="16">
        <f t="shared" si="11"/>
        <v>560</v>
      </c>
      <c r="Q16" s="16">
        <f t="shared" si="11"/>
        <v>560</v>
      </c>
      <c r="R16" s="16">
        <f t="shared" si="11"/>
        <v>560</v>
      </c>
      <c r="S16" s="16">
        <f t="shared" si="11"/>
        <v>560</v>
      </c>
      <c r="T16" s="16">
        <f t="shared" si="11"/>
        <v>560</v>
      </c>
      <c r="U16" s="16">
        <f t="shared" si="11"/>
        <v>560</v>
      </c>
      <c r="V16" s="16">
        <f t="shared" si="11"/>
        <v>560</v>
      </c>
      <c r="W16" s="16">
        <f t="shared" si="11"/>
        <v>560</v>
      </c>
      <c r="X16" s="16">
        <f t="shared" si="11"/>
        <v>560</v>
      </c>
      <c r="Y16" s="16">
        <f t="shared" si="11"/>
        <v>560</v>
      </c>
      <c r="Z16" s="16">
        <f t="shared" si="11"/>
        <v>560</v>
      </c>
      <c r="AA16" s="16">
        <f t="shared" si="11"/>
        <v>560</v>
      </c>
      <c r="AB16" s="16">
        <f t="shared" si="11"/>
        <v>560</v>
      </c>
    </row>
    <row r="17" spans="1:28" ht="15.75" customHeight="1" x14ac:dyDescent="0.3">
      <c r="A17" s="12">
        <f>RAW!$A$15</f>
        <v>409200</v>
      </c>
      <c r="B17" s="2"/>
      <c r="C17" s="17" t="s">
        <v>28</v>
      </c>
      <c r="D17" s="14">
        <f t="shared" si="2"/>
        <v>1121.0958904109589</v>
      </c>
      <c r="E17" s="2"/>
      <c r="F17" s="17" t="s">
        <v>28</v>
      </c>
      <c r="G17" s="14">
        <f t="shared" ref="G17:AB17" si="12">($A17/G$5)/365</f>
        <v>1121.0958904109589</v>
      </c>
      <c r="H17" s="14">
        <f t="shared" si="12"/>
        <v>1121.0958904109589</v>
      </c>
      <c r="I17" s="14">
        <f t="shared" si="12"/>
        <v>1121.0958904109589</v>
      </c>
      <c r="J17" s="14">
        <f t="shared" si="12"/>
        <v>1121.0958904109589</v>
      </c>
      <c r="K17" s="14">
        <f t="shared" si="12"/>
        <v>1121.0958904109589</v>
      </c>
      <c r="L17" s="14">
        <f t="shared" si="12"/>
        <v>1121.0958904109589</v>
      </c>
      <c r="M17" s="14">
        <f t="shared" si="12"/>
        <v>1121.0958904109589</v>
      </c>
      <c r="N17" s="14">
        <f t="shared" si="12"/>
        <v>1121.0958904109589</v>
      </c>
      <c r="O17" s="15">
        <f t="shared" si="12"/>
        <v>1121.0958904109589</v>
      </c>
      <c r="P17" s="16">
        <f t="shared" si="12"/>
        <v>1121.0958904109589</v>
      </c>
      <c r="Q17" s="16">
        <f t="shared" si="12"/>
        <v>1121.0958904109589</v>
      </c>
      <c r="R17" s="16">
        <f t="shared" si="12"/>
        <v>1121.0958904109589</v>
      </c>
      <c r="S17" s="16">
        <f t="shared" si="12"/>
        <v>1121.0958904109589</v>
      </c>
      <c r="T17" s="16">
        <f t="shared" si="12"/>
        <v>1121.0958904109589</v>
      </c>
      <c r="U17" s="16">
        <f t="shared" si="12"/>
        <v>1121.0958904109589</v>
      </c>
      <c r="V17" s="16">
        <f t="shared" si="12"/>
        <v>1121.0958904109589</v>
      </c>
      <c r="W17" s="16">
        <f t="shared" si="12"/>
        <v>1121.0958904109589</v>
      </c>
      <c r="X17" s="16">
        <f t="shared" si="12"/>
        <v>1121.0958904109589</v>
      </c>
      <c r="Y17" s="16">
        <f t="shared" si="12"/>
        <v>1121.0958904109589</v>
      </c>
      <c r="Z17" s="16">
        <f t="shared" si="12"/>
        <v>1121.0958904109589</v>
      </c>
      <c r="AA17" s="16">
        <f t="shared" si="12"/>
        <v>1121.0958904109589</v>
      </c>
      <c r="AB17" s="16">
        <f t="shared" si="12"/>
        <v>1121.0958904109589</v>
      </c>
    </row>
    <row r="18" spans="1:28" ht="15.75" customHeight="1" x14ac:dyDescent="0.3">
      <c r="A18" s="12">
        <f>RAW!$A$16</f>
        <v>818800</v>
      </c>
      <c r="B18" s="2"/>
      <c r="C18" s="17" t="s">
        <v>29</v>
      </c>
      <c r="D18" s="14">
        <f t="shared" si="2"/>
        <v>2243.2876712328766</v>
      </c>
      <c r="E18" s="2"/>
      <c r="F18" s="17" t="s">
        <v>29</v>
      </c>
      <c r="G18" s="14">
        <f t="shared" ref="G18:AB18" si="13">($A18/G$5)/365</f>
        <v>2243.2876712328766</v>
      </c>
      <c r="H18" s="14">
        <f t="shared" si="13"/>
        <v>2243.2876712328766</v>
      </c>
      <c r="I18" s="14">
        <f t="shared" si="13"/>
        <v>2243.2876712328766</v>
      </c>
      <c r="J18" s="14">
        <f t="shared" si="13"/>
        <v>2243.2876712328766</v>
      </c>
      <c r="K18" s="14">
        <f t="shared" si="13"/>
        <v>2243.2876712328766</v>
      </c>
      <c r="L18" s="14">
        <f t="shared" si="13"/>
        <v>2243.2876712328766</v>
      </c>
      <c r="M18" s="14">
        <f t="shared" si="13"/>
        <v>2243.2876712328766</v>
      </c>
      <c r="N18" s="14">
        <f t="shared" si="13"/>
        <v>2243.2876712328766</v>
      </c>
      <c r="O18" s="15">
        <f t="shared" si="13"/>
        <v>2243.2876712328766</v>
      </c>
      <c r="P18" s="16">
        <f t="shared" si="13"/>
        <v>2243.2876712328766</v>
      </c>
      <c r="Q18" s="16">
        <f t="shared" si="13"/>
        <v>2243.2876712328766</v>
      </c>
      <c r="R18" s="16">
        <f t="shared" si="13"/>
        <v>2243.2876712328766</v>
      </c>
      <c r="S18" s="16">
        <f t="shared" si="13"/>
        <v>2243.2876712328766</v>
      </c>
      <c r="T18" s="16">
        <f t="shared" si="13"/>
        <v>2243.2876712328766</v>
      </c>
      <c r="U18" s="16">
        <f t="shared" si="13"/>
        <v>2243.2876712328766</v>
      </c>
      <c r="V18" s="16">
        <f t="shared" si="13"/>
        <v>2243.2876712328766</v>
      </c>
      <c r="W18" s="16">
        <f t="shared" si="13"/>
        <v>2243.2876712328766</v>
      </c>
      <c r="X18" s="16">
        <f t="shared" si="13"/>
        <v>2243.2876712328766</v>
      </c>
      <c r="Y18" s="16">
        <f t="shared" si="13"/>
        <v>2243.2876712328766</v>
      </c>
      <c r="Z18" s="16">
        <f t="shared" si="13"/>
        <v>2243.2876712328766</v>
      </c>
      <c r="AA18" s="16">
        <f t="shared" si="13"/>
        <v>2243.2876712328766</v>
      </c>
      <c r="AB18" s="16">
        <f t="shared" si="13"/>
        <v>2243.2876712328766</v>
      </c>
    </row>
    <row r="19" spans="1:28" ht="15.75" customHeight="1" x14ac:dyDescent="0.3">
      <c r="A19" s="12">
        <f>RAW!$A$17</f>
        <v>1638000</v>
      </c>
      <c r="B19" s="2"/>
      <c r="C19" s="17" t="s">
        <v>30</v>
      </c>
      <c r="D19" s="14">
        <f t="shared" si="2"/>
        <v>4487.6712328767126</v>
      </c>
      <c r="E19" s="2"/>
      <c r="F19" s="17" t="s">
        <v>30</v>
      </c>
      <c r="G19" s="14">
        <f t="shared" ref="G19:AB19" si="14">($A19/G$5)/365</f>
        <v>4487.6712328767126</v>
      </c>
      <c r="H19" s="14">
        <f t="shared" si="14"/>
        <v>4487.6712328767126</v>
      </c>
      <c r="I19" s="14">
        <f t="shared" si="14"/>
        <v>4487.6712328767126</v>
      </c>
      <c r="J19" s="14">
        <f t="shared" si="14"/>
        <v>4487.6712328767126</v>
      </c>
      <c r="K19" s="14">
        <f t="shared" si="14"/>
        <v>4487.6712328767126</v>
      </c>
      <c r="L19" s="14">
        <f t="shared" si="14"/>
        <v>4487.6712328767126</v>
      </c>
      <c r="M19" s="14">
        <f t="shared" si="14"/>
        <v>4487.6712328767126</v>
      </c>
      <c r="N19" s="14">
        <f t="shared" si="14"/>
        <v>4487.6712328767126</v>
      </c>
      <c r="O19" s="15">
        <f t="shared" si="14"/>
        <v>4487.6712328767126</v>
      </c>
      <c r="P19" s="16">
        <f t="shared" si="14"/>
        <v>4487.6712328767126</v>
      </c>
      <c r="Q19" s="16">
        <f t="shared" si="14"/>
        <v>4487.6712328767126</v>
      </c>
      <c r="R19" s="16">
        <f t="shared" si="14"/>
        <v>4487.6712328767126</v>
      </c>
      <c r="S19" s="16">
        <f t="shared" si="14"/>
        <v>4487.6712328767126</v>
      </c>
      <c r="T19" s="16">
        <f t="shared" si="14"/>
        <v>4487.6712328767126</v>
      </c>
      <c r="U19" s="16">
        <f t="shared" si="14"/>
        <v>4487.6712328767126</v>
      </c>
      <c r="V19" s="16">
        <f t="shared" si="14"/>
        <v>4487.6712328767126</v>
      </c>
      <c r="W19" s="16">
        <f t="shared" si="14"/>
        <v>4487.6712328767126</v>
      </c>
      <c r="X19" s="16">
        <f t="shared" si="14"/>
        <v>4487.6712328767126</v>
      </c>
      <c r="Y19" s="16">
        <f t="shared" si="14"/>
        <v>4487.6712328767126</v>
      </c>
      <c r="Z19" s="16">
        <f t="shared" si="14"/>
        <v>4487.6712328767126</v>
      </c>
      <c r="AA19" s="16">
        <f t="shared" si="14"/>
        <v>4487.6712328767126</v>
      </c>
      <c r="AB19" s="16">
        <f t="shared" si="14"/>
        <v>4487.6712328767126</v>
      </c>
    </row>
    <row r="20" spans="1:28" ht="15.75" customHeight="1" x14ac:dyDescent="0.3">
      <c r="A20" s="12">
        <f>RAW!$A$18</f>
        <v>3276400</v>
      </c>
      <c r="B20" s="2"/>
      <c r="C20" s="17" t="s">
        <v>31</v>
      </c>
      <c r="D20" s="14">
        <f t="shared" si="2"/>
        <v>8976.4383561643845</v>
      </c>
      <c r="E20" s="2"/>
      <c r="F20" s="17" t="s">
        <v>31</v>
      </c>
      <c r="G20" s="14">
        <f t="shared" ref="G20:AB20" si="15">($A20/G$5)/365</f>
        <v>8976.4383561643845</v>
      </c>
      <c r="H20" s="14">
        <f t="shared" si="15"/>
        <v>8976.4383561643845</v>
      </c>
      <c r="I20" s="14">
        <f t="shared" si="15"/>
        <v>8976.4383561643845</v>
      </c>
      <c r="J20" s="14">
        <f t="shared" si="15"/>
        <v>8976.4383561643845</v>
      </c>
      <c r="K20" s="14">
        <f t="shared" si="15"/>
        <v>8976.4383561643845</v>
      </c>
      <c r="L20" s="14">
        <f t="shared" si="15"/>
        <v>8976.4383561643845</v>
      </c>
      <c r="M20" s="14">
        <f t="shared" si="15"/>
        <v>8976.4383561643845</v>
      </c>
      <c r="N20" s="14">
        <f t="shared" si="15"/>
        <v>8976.4383561643845</v>
      </c>
      <c r="O20" s="15">
        <f t="shared" si="15"/>
        <v>8976.4383561643845</v>
      </c>
      <c r="P20" s="16">
        <f t="shared" si="15"/>
        <v>8976.4383561643845</v>
      </c>
      <c r="Q20" s="16">
        <f t="shared" si="15"/>
        <v>8976.4383561643845</v>
      </c>
      <c r="R20" s="16">
        <f t="shared" si="15"/>
        <v>8976.4383561643845</v>
      </c>
      <c r="S20" s="16">
        <f t="shared" si="15"/>
        <v>8976.4383561643845</v>
      </c>
      <c r="T20" s="16">
        <f t="shared" si="15"/>
        <v>8976.4383561643845</v>
      </c>
      <c r="U20" s="16">
        <f t="shared" si="15"/>
        <v>8976.4383561643845</v>
      </c>
      <c r="V20" s="16">
        <f t="shared" si="15"/>
        <v>8976.4383561643845</v>
      </c>
      <c r="W20" s="16">
        <f t="shared" si="15"/>
        <v>8976.4383561643845</v>
      </c>
      <c r="X20" s="16">
        <f t="shared" si="15"/>
        <v>8976.4383561643845</v>
      </c>
      <c r="Y20" s="16">
        <f t="shared" si="15"/>
        <v>8976.4383561643845</v>
      </c>
      <c r="Z20" s="16">
        <f t="shared" si="15"/>
        <v>8976.4383561643845</v>
      </c>
      <c r="AA20" s="16">
        <f t="shared" si="15"/>
        <v>8976.4383561643845</v>
      </c>
      <c r="AB20" s="16">
        <f t="shared" si="15"/>
        <v>8976.4383561643845</v>
      </c>
    </row>
    <row r="21" spans="1:28" ht="15.75" customHeight="1" x14ac:dyDescent="0.3">
      <c r="A21" s="12">
        <f>RAW!$A$19</f>
        <v>6553200</v>
      </c>
      <c r="B21" s="2"/>
      <c r="C21" s="17" t="s">
        <v>32</v>
      </c>
      <c r="D21" s="14">
        <f t="shared" si="2"/>
        <v>17953.972602739726</v>
      </c>
      <c r="E21" s="2"/>
      <c r="F21" s="17" t="s">
        <v>32</v>
      </c>
      <c r="G21" s="14">
        <f t="shared" ref="G21:AB21" si="16">($A21/G$5)/365</f>
        <v>17953.972602739726</v>
      </c>
      <c r="H21" s="14">
        <f t="shared" si="16"/>
        <v>17953.972602739726</v>
      </c>
      <c r="I21" s="14">
        <f t="shared" si="16"/>
        <v>17953.972602739726</v>
      </c>
      <c r="J21" s="14">
        <f t="shared" si="16"/>
        <v>17953.972602739726</v>
      </c>
      <c r="K21" s="14">
        <f t="shared" si="16"/>
        <v>17953.972602739726</v>
      </c>
      <c r="L21" s="14">
        <f t="shared" si="16"/>
        <v>17953.972602739726</v>
      </c>
      <c r="M21" s="14">
        <f t="shared" si="16"/>
        <v>17953.972602739726</v>
      </c>
      <c r="N21" s="14">
        <f t="shared" si="16"/>
        <v>17953.972602739726</v>
      </c>
      <c r="O21" s="15">
        <f t="shared" si="16"/>
        <v>17953.972602739726</v>
      </c>
      <c r="P21" s="16">
        <f t="shared" si="16"/>
        <v>17953.972602739726</v>
      </c>
      <c r="Q21" s="16">
        <f t="shared" si="16"/>
        <v>17953.972602739726</v>
      </c>
      <c r="R21" s="16">
        <f t="shared" si="16"/>
        <v>17953.972602739726</v>
      </c>
      <c r="S21" s="16">
        <f t="shared" si="16"/>
        <v>17953.972602739726</v>
      </c>
      <c r="T21" s="16">
        <f t="shared" si="16"/>
        <v>17953.972602739726</v>
      </c>
      <c r="U21" s="16">
        <f t="shared" si="16"/>
        <v>17953.972602739726</v>
      </c>
      <c r="V21" s="16">
        <f t="shared" si="16"/>
        <v>17953.972602739726</v>
      </c>
      <c r="W21" s="16">
        <f t="shared" si="16"/>
        <v>17953.972602739726</v>
      </c>
      <c r="X21" s="16">
        <f t="shared" si="16"/>
        <v>17953.972602739726</v>
      </c>
      <c r="Y21" s="16">
        <f t="shared" si="16"/>
        <v>17953.972602739726</v>
      </c>
      <c r="Z21" s="16">
        <f t="shared" si="16"/>
        <v>17953.972602739726</v>
      </c>
      <c r="AA21" s="16">
        <f t="shared" si="16"/>
        <v>17953.972602739726</v>
      </c>
      <c r="AB21" s="16">
        <f t="shared" si="16"/>
        <v>17953.972602739726</v>
      </c>
    </row>
    <row r="22" spans="1:28" ht="15.75" customHeight="1" x14ac:dyDescent="0.3">
      <c r="A22" s="12">
        <f>RAW!$A$20</f>
        <v>13106800</v>
      </c>
      <c r="B22" s="2"/>
      <c r="C22" s="17" t="s">
        <v>33</v>
      </c>
      <c r="D22" s="14">
        <f t="shared" si="2"/>
        <v>35909.04109589041</v>
      </c>
      <c r="E22" s="2"/>
      <c r="F22" s="17" t="s">
        <v>33</v>
      </c>
      <c r="G22" s="14">
        <f t="shared" ref="G22:AB22" si="17">($A22/G$5)/365</f>
        <v>35909.04109589041</v>
      </c>
      <c r="H22" s="14">
        <f t="shared" si="17"/>
        <v>35909.04109589041</v>
      </c>
      <c r="I22" s="14">
        <f t="shared" si="17"/>
        <v>35909.04109589041</v>
      </c>
      <c r="J22" s="14">
        <f t="shared" si="17"/>
        <v>35909.04109589041</v>
      </c>
      <c r="K22" s="14">
        <f t="shared" si="17"/>
        <v>35909.04109589041</v>
      </c>
      <c r="L22" s="14">
        <f t="shared" si="17"/>
        <v>35909.04109589041</v>
      </c>
      <c r="M22" s="14">
        <f t="shared" si="17"/>
        <v>35909.04109589041</v>
      </c>
      <c r="N22" s="14">
        <f t="shared" si="17"/>
        <v>35909.04109589041</v>
      </c>
      <c r="O22" s="15">
        <f t="shared" si="17"/>
        <v>35909.04109589041</v>
      </c>
      <c r="P22" s="16">
        <f t="shared" si="17"/>
        <v>35909.04109589041</v>
      </c>
      <c r="Q22" s="16">
        <f t="shared" si="17"/>
        <v>35909.04109589041</v>
      </c>
      <c r="R22" s="16">
        <f t="shared" si="17"/>
        <v>35909.04109589041</v>
      </c>
      <c r="S22" s="16">
        <f t="shared" si="17"/>
        <v>35909.04109589041</v>
      </c>
      <c r="T22" s="16">
        <f t="shared" si="17"/>
        <v>35909.04109589041</v>
      </c>
      <c r="U22" s="16">
        <f t="shared" si="17"/>
        <v>35909.04109589041</v>
      </c>
      <c r="V22" s="16">
        <f t="shared" si="17"/>
        <v>35909.04109589041</v>
      </c>
      <c r="W22" s="16">
        <f t="shared" si="17"/>
        <v>35909.04109589041</v>
      </c>
      <c r="X22" s="16">
        <f t="shared" si="17"/>
        <v>35909.04109589041</v>
      </c>
      <c r="Y22" s="16">
        <f t="shared" si="17"/>
        <v>35909.04109589041</v>
      </c>
      <c r="Z22" s="16">
        <f t="shared" si="17"/>
        <v>35909.04109589041</v>
      </c>
      <c r="AA22" s="16">
        <f t="shared" si="17"/>
        <v>35909.04109589041</v>
      </c>
      <c r="AB22" s="16">
        <f t="shared" si="17"/>
        <v>35909.04109589041</v>
      </c>
    </row>
    <row r="23" spans="1:28" ht="15.75" customHeight="1" x14ac:dyDescent="0.3">
      <c r="A23" s="12">
        <f>RAW!$A$21</f>
        <v>26214000</v>
      </c>
      <c r="B23" s="2"/>
      <c r="C23" s="17" t="s">
        <v>34</v>
      </c>
      <c r="D23" s="14">
        <f t="shared" si="2"/>
        <v>71819.178082191778</v>
      </c>
      <c r="E23" s="2"/>
      <c r="F23" s="17" t="s">
        <v>34</v>
      </c>
      <c r="G23" s="14">
        <f t="shared" ref="G23:AB23" si="18">($A23/G$5)/365</f>
        <v>71819.178082191778</v>
      </c>
      <c r="H23" s="14">
        <f t="shared" si="18"/>
        <v>71819.178082191778</v>
      </c>
      <c r="I23" s="14">
        <f t="shared" si="18"/>
        <v>71819.178082191778</v>
      </c>
      <c r="J23" s="14">
        <f t="shared" si="18"/>
        <v>71819.178082191778</v>
      </c>
      <c r="K23" s="14">
        <f t="shared" si="18"/>
        <v>71819.178082191778</v>
      </c>
      <c r="L23" s="14">
        <f t="shared" si="18"/>
        <v>71819.178082191778</v>
      </c>
      <c r="M23" s="14">
        <f t="shared" si="18"/>
        <v>71819.178082191778</v>
      </c>
      <c r="N23" s="14">
        <f t="shared" si="18"/>
        <v>71819.178082191778</v>
      </c>
      <c r="O23" s="15">
        <f t="shared" si="18"/>
        <v>71819.178082191778</v>
      </c>
      <c r="P23" s="16">
        <f t="shared" si="18"/>
        <v>71819.178082191778</v>
      </c>
      <c r="Q23" s="16">
        <f t="shared" si="18"/>
        <v>71819.178082191778</v>
      </c>
      <c r="R23" s="16">
        <f t="shared" si="18"/>
        <v>71819.178082191778</v>
      </c>
      <c r="S23" s="16">
        <f t="shared" si="18"/>
        <v>71819.178082191778</v>
      </c>
      <c r="T23" s="16">
        <f t="shared" si="18"/>
        <v>71819.178082191778</v>
      </c>
      <c r="U23" s="16">
        <f t="shared" si="18"/>
        <v>71819.178082191778</v>
      </c>
      <c r="V23" s="16">
        <f t="shared" si="18"/>
        <v>71819.178082191778</v>
      </c>
      <c r="W23" s="16">
        <f t="shared" si="18"/>
        <v>71819.178082191778</v>
      </c>
      <c r="X23" s="16">
        <f t="shared" si="18"/>
        <v>71819.178082191778</v>
      </c>
      <c r="Y23" s="16">
        <f t="shared" si="18"/>
        <v>71819.178082191778</v>
      </c>
      <c r="Z23" s="16">
        <f t="shared" si="18"/>
        <v>71819.178082191778</v>
      </c>
      <c r="AA23" s="16">
        <f t="shared" si="18"/>
        <v>71819.178082191778</v>
      </c>
      <c r="AB23" s="16">
        <f t="shared" si="18"/>
        <v>71819.178082191778</v>
      </c>
    </row>
    <row r="24" spans="1:28" ht="15.75" customHeight="1" x14ac:dyDescent="0.3">
      <c r="A24" s="12">
        <f>RAW!$A$22</f>
        <v>52428400</v>
      </c>
      <c r="B24" s="2"/>
      <c r="C24" s="17" t="s">
        <v>35</v>
      </c>
      <c r="D24" s="14">
        <f t="shared" si="2"/>
        <v>143639.45205479453</v>
      </c>
      <c r="E24" s="2"/>
      <c r="F24" s="17" t="s">
        <v>35</v>
      </c>
      <c r="G24" s="14">
        <f t="shared" ref="G24:AB24" si="19">($A24/G$5)/365</f>
        <v>143639.45205479453</v>
      </c>
      <c r="H24" s="14">
        <f t="shared" si="19"/>
        <v>143639.45205479453</v>
      </c>
      <c r="I24" s="14">
        <f t="shared" si="19"/>
        <v>143639.45205479453</v>
      </c>
      <c r="J24" s="14">
        <f t="shared" si="19"/>
        <v>143639.45205479453</v>
      </c>
      <c r="K24" s="14">
        <f t="shared" si="19"/>
        <v>143639.45205479453</v>
      </c>
      <c r="L24" s="14">
        <f t="shared" si="19"/>
        <v>143639.45205479453</v>
      </c>
      <c r="M24" s="14">
        <f t="shared" si="19"/>
        <v>143639.45205479453</v>
      </c>
      <c r="N24" s="14">
        <f t="shared" si="19"/>
        <v>143639.45205479453</v>
      </c>
      <c r="O24" s="15">
        <f t="shared" si="19"/>
        <v>143639.45205479453</v>
      </c>
      <c r="P24" s="16">
        <f t="shared" si="19"/>
        <v>143639.45205479453</v>
      </c>
      <c r="Q24" s="16">
        <f t="shared" si="19"/>
        <v>143639.45205479453</v>
      </c>
      <c r="R24" s="16">
        <f t="shared" si="19"/>
        <v>143639.45205479453</v>
      </c>
      <c r="S24" s="16">
        <f t="shared" si="19"/>
        <v>143639.45205479453</v>
      </c>
      <c r="T24" s="16">
        <f t="shared" si="19"/>
        <v>143639.45205479453</v>
      </c>
      <c r="U24" s="16">
        <f t="shared" si="19"/>
        <v>143639.45205479453</v>
      </c>
      <c r="V24" s="16">
        <f t="shared" si="19"/>
        <v>143639.45205479453</v>
      </c>
      <c r="W24" s="16">
        <f t="shared" si="19"/>
        <v>143639.45205479453</v>
      </c>
      <c r="X24" s="16">
        <f t="shared" si="19"/>
        <v>143639.45205479453</v>
      </c>
      <c r="Y24" s="16">
        <f t="shared" si="19"/>
        <v>143639.45205479453</v>
      </c>
      <c r="Z24" s="16">
        <f t="shared" si="19"/>
        <v>143639.45205479453</v>
      </c>
      <c r="AA24" s="16">
        <f t="shared" si="19"/>
        <v>143639.45205479453</v>
      </c>
      <c r="AB24" s="16">
        <f t="shared" si="19"/>
        <v>143639.45205479453</v>
      </c>
    </row>
    <row r="25" spans="1:28" ht="15.75" customHeight="1" x14ac:dyDescent="0.3">
      <c r="A25" s="3"/>
      <c r="B25" s="2"/>
      <c r="C25" s="29"/>
      <c r="D25" s="30"/>
      <c r="E25" s="2"/>
      <c r="F25" s="3"/>
      <c r="G25" s="31" t="s">
        <v>36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28" ht="15.75" customHeight="1" x14ac:dyDescent="0.3">
      <c r="A26" s="19" t="s">
        <v>37</v>
      </c>
      <c r="B26" s="2"/>
      <c r="C26" s="10" t="s">
        <v>9</v>
      </c>
      <c r="D26" s="10" t="s">
        <v>10</v>
      </c>
      <c r="E26" s="2"/>
      <c r="F26" s="20" t="s">
        <v>9</v>
      </c>
      <c r="G26" s="11" t="str">
        <f t="shared" ref="G26:AB26" si="20">G7</f>
        <v>Itanema</v>
      </c>
      <c r="H26" s="11" t="str">
        <f t="shared" si="20"/>
        <v>Sinoi</v>
      </c>
      <c r="I26" s="11">
        <f t="shared" si="20"/>
        <v>0</v>
      </c>
      <c r="J26" s="11">
        <f t="shared" si="20"/>
        <v>0</v>
      </c>
      <c r="K26" s="11">
        <f t="shared" si="20"/>
        <v>0</v>
      </c>
      <c r="L26" s="11">
        <f t="shared" si="20"/>
        <v>0</v>
      </c>
      <c r="M26" s="11">
        <f t="shared" si="20"/>
        <v>0</v>
      </c>
      <c r="N26" s="11">
        <f t="shared" si="20"/>
        <v>0</v>
      </c>
      <c r="O26" s="11">
        <f t="shared" si="20"/>
        <v>0</v>
      </c>
      <c r="P26" s="11">
        <f t="shared" si="20"/>
        <v>0</v>
      </c>
      <c r="Q26" s="11">
        <f t="shared" si="20"/>
        <v>0</v>
      </c>
      <c r="R26" s="11">
        <f t="shared" si="20"/>
        <v>0</v>
      </c>
      <c r="S26" s="11">
        <f t="shared" si="20"/>
        <v>0</v>
      </c>
      <c r="T26" s="11">
        <f t="shared" si="20"/>
        <v>0</v>
      </c>
      <c r="U26" s="11">
        <f t="shared" si="20"/>
        <v>0</v>
      </c>
      <c r="V26" s="11">
        <f t="shared" si="20"/>
        <v>0</v>
      </c>
      <c r="W26" s="11">
        <f t="shared" si="20"/>
        <v>0</v>
      </c>
      <c r="X26" s="11">
        <f t="shared" si="20"/>
        <v>0</v>
      </c>
      <c r="Y26" s="11">
        <f t="shared" si="20"/>
        <v>0</v>
      </c>
      <c r="Z26" s="11">
        <f t="shared" si="20"/>
        <v>0</v>
      </c>
      <c r="AA26" s="11">
        <f t="shared" si="20"/>
        <v>0</v>
      </c>
      <c r="AB26" s="11">
        <f t="shared" si="20"/>
        <v>0</v>
      </c>
    </row>
    <row r="27" spans="1:28" ht="15.75" customHeight="1" x14ac:dyDescent="0.3">
      <c r="A27" s="12">
        <f>RAW!$A$6</f>
        <v>400</v>
      </c>
      <c r="B27" s="2"/>
      <c r="C27" s="21" t="s">
        <v>19</v>
      </c>
      <c r="D27" s="22">
        <f t="shared" ref="D27:D43" si="21">$A27/D$5</f>
        <v>400</v>
      </c>
      <c r="E27" s="2"/>
      <c r="F27" s="21" t="s">
        <v>19</v>
      </c>
      <c r="G27" s="23">
        <f t="shared" ref="G27:AB27" si="22">$A27/G$5</f>
        <v>400</v>
      </c>
      <c r="H27" s="23">
        <f t="shared" si="22"/>
        <v>400</v>
      </c>
      <c r="I27" s="23">
        <f t="shared" si="22"/>
        <v>400</v>
      </c>
      <c r="J27" s="23">
        <f t="shared" si="22"/>
        <v>400</v>
      </c>
      <c r="K27" s="23">
        <f t="shared" si="22"/>
        <v>400</v>
      </c>
      <c r="L27" s="23">
        <f t="shared" si="22"/>
        <v>400</v>
      </c>
      <c r="M27" s="23">
        <f t="shared" si="22"/>
        <v>400</v>
      </c>
      <c r="N27" s="23">
        <f t="shared" si="22"/>
        <v>400</v>
      </c>
      <c r="O27" s="23">
        <f t="shared" si="22"/>
        <v>400</v>
      </c>
      <c r="P27" s="23">
        <f t="shared" si="22"/>
        <v>400</v>
      </c>
      <c r="Q27" s="23">
        <f t="shared" si="22"/>
        <v>400</v>
      </c>
      <c r="R27" s="23">
        <f t="shared" si="22"/>
        <v>400</v>
      </c>
      <c r="S27" s="23">
        <f t="shared" si="22"/>
        <v>400</v>
      </c>
      <c r="T27" s="23">
        <f t="shared" si="22"/>
        <v>400</v>
      </c>
      <c r="U27" s="23">
        <f t="shared" si="22"/>
        <v>400</v>
      </c>
      <c r="V27" s="23">
        <f t="shared" si="22"/>
        <v>400</v>
      </c>
      <c r="W27" s="23">
        <f t="shared" si="22"/>
        <v>400</v>
      </c>
      <c r="X27" s="23">
        <f t="shared" si="22"/>
        <v>400</v>
      </c>
      <c r="Y27" s="23">
        <f t="shared" si="22"/>
        <v>400</v>
      </c>
      <c r="Z27" s="23">
        <f t="shared" si="22"/>
        <v>400</v>
      </c>
      <c r="AA27" s="23">
        <f t="shared" si="22"/>
        <v>400</v>
      </c>
      <c r="AB27" s="23">
        <f t="shared" si="22"/>
        <v>400</v>
      </c>
    </row>
    <row r="28" spans="1:28" ht="15.75" customHeight="1" x14ac:dyDescent="0.3">
      <c r="A28" s="12">
        <f>RAW!$A$7</f>
        <v>1200</v>
      </c>
      <c r="B28" s="2"/>
      <c r="C28" s="24" t="s">
        <v>20</v>
      </c>
      <c r="D28" s="23">
        <f t="shared" si="21"/>
        <v>1200</v>
      </c>
      <c r="E28" s="2"/>
      <c r="F28" s="24" t="s">
        <v>20</v>
      </c>
      <c r="G28" s="23">
        <f t="shared" ref="G28:AB28" si="23">$A28/G$5</f>
        <v>1200</v>
      </c>
      <c r="H28" s="23">
        <f t="shared" si="23"/>
        <v>1200</v>
      </c>
      <c r="I28" s="23">
        <f t="shared" si="23"/>
        <v>1200</v>
      </c>
      <c r="J28" s="23">
        <f t="shared" si="23"/>
        <v>1200</v>
      </c>
      <c r="K28" s="23">
        <f t="shared" si="23"/>
        <v>1200</v>
      </c>
      <c r="L28" s="23">
        <f t="shared" si="23"/>
        <v>1200</v>
      </c>
      <c r="M28" s="23">
        <f t="shared" si="23"/>
        <v>1200</v>
      </c>
      <c r="N28" s="23">
        <f t="shared" si="23"/>
        <v>1200</v>
      </c>
      <c r="O28" s="23">
        <f t="shared" si="23"/>
        <v>1200</v>
      </c>
      <c r="P28" s="23">
        <f t="shared" si="23"/>
        <v>1200</v>
      </c>
      <c r="Q28" s="23">
        <f t="shared" si="23"/>
        <v>1200</v>
      </c>
      <c r="R28" s="23">
        <f t="shared" si="23"/>
        <v>1200</v>
      </c>
      <c r="S28" s="23">
        <f t="shared" si="23"/>
        <v>1200</v>
      </c>
      <c r="T28" s="23">
        <f t="shared" si="23"/>
        <v>1200</v>
      </c>
      <c r="U28" s="23">
        <f t="shared" si="23"/>
        <v>1200</v>
      </c>
      <c r="V28" s="23">
        <f t="shared" si="23"/>
        <v>1200</v>
      </c>
      <c r="W28" s="23">
        <f t="shared" si="23"/>
        <v>1200</v>
      </c>
      <c r="X28" s="23">
        <f t="shared" si="23"/>
        <v>1200</v>
      </c>
      <c r="Y28" s="23">
        <f t="shared" si="23"/>
        <v>1200</v>
      </c>
      <c r="Z28" s="23">
        <f t="shared" si="23"/>
        <v>1200</v>
      </c>
      <c r="AA28" s="23">
        <f t="shared" si="23"/>
        <v>1200</v>
      </c>
      <c r="AB28" s="23">
        <f t="shared" si="23"/>
        <v>1200</v>
      </c>
    </row>
    <row r="29" spans="1:28" ht="15.75" customHeight="1" x14ac:dyDescent="0.3">
      <c r="A29" s="12">
        <f>RAW!$A$8</f>
        <v>2800</v>
      </c>
      <c r="B29" s="2"/>
      <c r="C29" s="24" t="s">
        <v>21</v>
      </c>
      <c r="D29" s="23">
        <f t="shared" si="21"/>
        <v>2800</v>
      </c>
      <c r="E29" s="2"/>
      <c r="F29" s="24" t="s">
        <v>21</v>
      </c>
      <c r="G29" s="23">
        <f t="shared" ref="G29:AB29" si="24">$A29/G$5</f>
        <v>2800</v>
      </c>
      <c r="H29" s="23">
        <f t="shared" si="24"/>
        <v>2800</v>
      </c>
      <c r="I29" s="23">
        <f t="shared" si="24"/>
        <v>2800</v>
      </c>
      <c r="J29" s="23">
        <f t="shared" si="24"/>
        <v>2800</v>
      </c>
      <c r="K29" s="23">
        <f t="shared" si="24"/>
        <v>2800</v>
      </c>
      <c r="L29" s="23">
        <f t="shared" si="24"/>
        <v>2800</v>
      </c>
      <c r="M29" s="23">
        <f t="shared" si="24"/>
        <v>2800</v>
      </c>
      <c r="N29" s="23">
        <f t="shared" si="24"/>
        <v>2800</v>
      </c>
      <c r="O29" s="23">
        <f t="shared" si="24"/>
        <v>2800</v>
      </c>
      <c r="P29" s="23">
        <f t="shared" si="24"/>
        <v>2800</v>
      </c>
      <c r="Q29" s="23">
        <f t="shared" si="24"/>
        <v>2800</v>
      </c>
      <c r="R29" s="23">
        <f t="shared" si="24"/>
        <v>2800</v>
      </c>
      <c r="S29" s="23">
        <f t="shared" si="24"/>
        <v>2800</v>
      </c>
      <c r="T29" s="23">
        <f t="shared" si="24"/>
        <v>2800</v>
      </c>
      <c r="U29" s="23">
        <f t="shared" si="24"/>
        <v>2800</v>
      </c>
      <c r="V29" s="23">
        <f t="shared" si="24"/>
        <v>2800</v>
      </c>
      <c r="W29" s="23">
        <f t="shared" si="24"/>
        <v>2800</v>
      </c>
      <c r="X29" s="23">
        <f t="shared" si="24"/>
        <v>2800</v>
      </c>
      <c r="Y29" s="23">
        <f t="shared" si="24"/>
        <v>2800</v>
      </c>
      <c r="Z29" s="23">
        <f t="shared" si="24"/>
        <v>2800</v>
      </c>
      <c r="AA29" s="23">
        <f t="shared" si="24"/>
        <v>2800</v>
      </c>
      <c r="AB29" s="23">
        <f t="shared" si="24"/>
        <v>2800</v>
      </c>
    </row>
    <row r="30" spans="1:28" ht="15.75" customHeight="1" x14ac:dyDescent="0.3">
      <c r="A30" s="12">
        <f>RAW!$A$9</f>
        <v>6000</v>
      </c>
      <c r="B30" s="2"/>
      <c r="C30" s="24" t="s">
        <v>22</v>
      </c>
      <c r="D30" s="23">
        <f t="shared" si="21"/>
        <v>6000</v>
      </c>
      <c r="E30" s="2"/>
      <c r="F30" s="24" t="s">
        <v>22</v>
      </c>
      <c r="G30" s="23">
        <f t="shared" ref="G30:AB30" si="25">$A30/G$5</f>
        <v>6000</v>
      </c>
      <c r="H30" s="23">
        <f t="shared" si="25"/>
        <v>6000</v>
      </c>
      <c r="I30" s="23">
        <f t="shared" si="25"/>
        <v>6000</v>
      </c>
      <c r="J30" s="23">
        <f t="shared" si="25"/>
        <v>6000</v>
      </c>
      <c r="K30" s="23">
        <f t="shared" si="25"/>
        <v>6000</v>
      </c>
      <c r="L30" s="23">
        <f t="shared" si="25"/>
        <v>6000</v>
      </c>
      <c r="M30" s="23">
        <f t="shared" si="25"/>
        <v>6000</v>
      </c>
      <c r="N30" s="23">
        <f t="shared" si="25"/>
        <v>6000</v>
      </c>
      <c r="O30" s="23">
        <f t="shared" si="25"/>
        <v>6000</v>
      </c>
      <c r="P30" s="23">
        <f t="shared" si="25"/>
        <v>6000</v>
      </c>
      <c r="Q30" s="23">
        <f t="shared" si="25"/>
        <v>6000</v>
      </c>
      <c r="R30" s="23">
        <f t="shared" si="25"/>
        <v>6000</v>
      </c>
      <c r="S30" s="23">
        <f t="shared" si="25"/>
        <v>6000</v>
      </c>
      <c r="T30" s="23">
        <f t="shared" si="25"/>
        <v>6000</v>
      </c>
      <c r="U30" s="23">
        <f t="shared" si="25"/>
        <v>6000</v>
      </c>
      <c r="V30" s="23">
        <f t="shared" si="25"/>
        <v>6000</v>
      </c>
      <c r="W30" s="23">
        <f t="shared" si="25"/>
        <v>6000</v>
      </c>
      <c r="X30" s="23">
        <f t="shared" si="25"/>
        <v>6000</v>
      </c>
      <c r="Y30" s="23">
        <f t="shared" si="25"/>
        <v>6000</v>
      </c>
      <c r="Z30" s="23">
        <f t="shared" si="25"/>
        <v>6000</v>
      </c>
      <c r="AA30" s="23">
        <f t="shared" si="25"/>
        <v>6000</v>
      </c>
      <c r="AB30" s="23">
        <f t="shared" si="25"/>
        <v>6000</v>
      </c>
    </row>
    <row r="31" spans="1:28" ht="15.75" customHeight="1" x14ac:dyDescent="0.3">
      <c r="A31" s="12">
        <f>RAW!$A$10</f>
        <v>12400</v>
      </c>
      <c r="B31" s="2"/>
      <c r="C31" s="24" t="s">
        <v>23</v>
      </c>
      <c r="D31" s="23">
        <f t="shared" si="21"/>
        <v>12400</v>
      </c>
      <c r="E31" s="2"/>
      <c r="F31" s="24" t="s">
        <v>23</v>
      </c>
      <c r="G31" s="23">
        <f t="shared" ref="G31:AB31" si="26">$A31/G$5</f>
        <v>12400</v>
      </c>
      <c r="H31" s="23">
        <f t="shared" si="26"/>
        <v>12400</v>
      </c>
      <c r="I31" s="23">
        <f t="shared" si="26"/>
        <v>12400</v>
      </c>
      <c r="J31" s="23">
        <f t="shared" si="26"/>
        <v>12400</v>
      </c>
      <c r="K31" s="23">
        <f t="shared" si="26"/>
        <v>12400</v>
      </c>
      <c r="L31" s="23">
        <f t="shared" si="26"/>
        <v>12400</v>
      </c>
      <c r="M31" s="23">
        <f t="shared" si="26"/>
        <v>12400</v>
      </c>
      <c r="N31" s="23">
        <f t="shared" si="26"/>
        <v>12400</v>
      </c>
      <c r="O31" s="23">
        <f t="shared" si="26"/>
        <v>12400</v>
      </c>
      <c r="P31" s="23">
        <f t="shared" si="26"/>
        <v>12400</v>
      </c>
      <c r="Q31" s="23">
        <f t="shared" si="26"/>
        <v>12400</v>
      </c>
      <c r="R31" s="23">
        <f t="shared" si="26"/>
        <v>12400</v>
      </c>
      <c r="S31" s="23">
        <f t="shared" si="26"/>
        <v>12400</v>
      </c>
      <c r="T31" s="23">
        <f t="shared" si="26"/>
        <v>12400</v>
      </c>
      <c r="U31" s="23">
        <f t="shared" si="26"/>
        <v>12400</v>
      </c>
      <c r="V31" s="23">
        <f t="shared" si="26"/>
        <v>12400</v>
      </c>
      <c r="W31" s="23">
        <f t="shared" si="26"/>
        <v>12400</v>
      </c>
      <c r="X31" s="23">
        <f t="shared" si="26"/>
        <v>12400</v>
      </c>
      <c r="Y31" s="23">
        <f t="shared" si="26"/>
        <v>12400</v>
      </c>
      <c r="Z31" s="23">
        <f t="shared" si="26"/>
        <v>12400</v>
      </c>
      <c r="AA31" s="23">
        <f t="shared" si="26"/>
        <v>12400</v>
      </c>
      <c r="AB31" s="23">
        <f t="shared" si="26"/>
        <v>12400</v>
      </c>
    </row>
    <row r="32" spans="1:28" ht="15.75" customHeight="1" x14ac:dyDescent="0.3">
      <c r="A32" s="12">
        <f>RAW!$A$11</f>
        <v>25200</v>
      </c>
      <c r="B32" s="2"/>
      <c r="C32" s="24" t="s">
        <v>24</v>
      </c>
      <c r="D32" s="23">
        <f t="shared" si="21"/>
        <v>25200</v>
      </c>
      <c r="E32" s="2"/>
      <c r="F32" s="24" t="s">
        <v>24</v>
      </c>
      <c r="G32" s="23">
        <f t="shared" ref="G32:AB32" si="27">$A32/G$5</f>
        <v>25200</v>
      </c>
      <c r="H32" s="23">
        <f t="shared" si="27"/>
        <v>25200</v>
      </c>
      <c r="I32" s="23">
        <f t="shared" si="27"/>
        <v>25200</v>
      </c>
      <c r="J32" s="23">
        <f t="shared" si="27"/>
        <v>25200</v>
      </c>
      <c r="K32" s="23">
        <f t="shared" si="27"/>
        <v>25200</v>
      </c>
      <c r="L32" s="23">
        <f t="shared" si="27"/>
        <v>25200</v>
      </c>
      <c r="M32" s="23">
        <f t="shared" si="27"/>
        <v>25200</v>
      </c>
      <c r="N32" s="23">
        <f t="shared" si="27"/>
        <v>25200</v>
      </c>
      <c r="O32" s="23">
        <f t="shared" si="27"/>
        <v>25200</v>
      </c>
      <c r="P32" s="23">
        <f t="shared" si="27"/>
        <v>25200</v>
      </c>
      <c r="Q32" s="23">
        <f t="shared" si="27"/>
        <v>25200</v>
      </c>
      <c r="R32" s="23">
        <f t="shared" si="27"/>
        <v>25200</v>
      </c>
      <c r="S32" s="23">
        <f t="shared" si="27"/>
        <v>25200</v>
      </c>
      <c r="T32" s="23">
        <f t="shared" si="27"/>
        <v>25200</v>
      </c>
      <c r="U32" s="23">
        <f t="shared" si="27"/>
        <v>25200</v>
      </c>
      <c r="V32" s="23">
        <f t="shared" si="27"/>
        <v>25200</v>
      </c>
      <c r="W32" s="23">
        <f t="shared" si="27"/>
        <v>25200</v>
      </c>
      <c r="X32" s="23">
        <f t="shared" si="27"/>
        <v>25200</v>
      </c>
      <c r="Y32" s="23">
        <f t="shared" si="27"/>
        <v>25200</v>
      </c>
      <c r="Z32" s="23">
        <f t="shared" si="27"/>
        <v>25200</v>
      </c>
      <c r="AA32" s="23">
        <f t="shared" si="27"/>
        <v>25200</v>
      </c>
      <c r="AB32" s="23">
        <f t="shared" si="27"/>
        <v>25200</v>
      </c>
    </row>
    <row r="33" spans="1:28" ht="15.75" customHeight="1" x14ac:dyDescent="0.3">
      <c r="A33" s="12">
        <f>RAW!$A$12</f>
        <v>50800</v>
      </c>
      <c r="B33" s="2"/>
      <c r="C33" s="24" t="s">
        <v>25</v>
      </c>
      <c r="D33" s="23">
        <f t="shared" si="21"/>
        <v>50800</v>
      </c>
      <c r="E33" s="2"/>
      <c r="F33" s="24" t="s">
        <v>25</v>
      </c>
      <c r="G33" s="23">
        <f t="shared" ref="G33:AB33" si="28">$A33/G$5</f>
        <v>50800</v>
      </c>
      <c r="H33" s="23">
        <f t="shared" si="28"/>
        <v>50800</v>
      </c>
      <c r="I33" s="23">
        <f t="shared" si="28"/>
        <v>50800</v>
      </c>
      <c r="J33" s="23">
        <f t="shared" si="28"/>
        <v>50800</v>
      </c>
      <c r="K33" s="23">
        <f t="shared" si="28"/>
        <v>50800</v>
      </c>
      <c r="L33" s="23">
        <f t="shared" si="28"/>
        <v>50800</v>
      </c>
      <c r="M33" s="23">
        <f t="shared" si="28"/>
        <v>50800</v>
      </c>
      <c r="N33" s="23">
        <f t="shared" si="28"/>
        <v>50800</v>
      </c>
      <c r="O33" s="23">
        <f t="shared" si="28"/>
        <v>50800</v>
      </c>
      <c r="P33" s="23">
        <f t="shared" si="28"/>
        <v>50800</v>
      </c>
      <c r="Q33" s="23">
        <f t="shared" si="28"/>
        <v>50800</v>
      </c>
      <c r="R33" s="23">
        <f t="shared" si="28"/>
        <v>50800</v>
      </c>
      <c r="S33" s="23">
        <f t="shared" si="28"/>
        <v>50800</v>
      </c>
      <c r="T33" s="23">
        <f t="shared" si="28"/>
        <v>50800</v>
      </c>
      <c r="U33" s="23">
        <f t="shared" si="28"/>
        <v>50800</v>
      </c>
      <c r="V33" s="23">
        <f t="shared" si="28"/>
        <v>50800</v>
      </c>
      <c r="W33" s="23">
        <f t="shared" si="28"/>
        <v>50800</v>
      </c>
      <c r="X33" s="23">
        <f t="shared" si="28"/>
        <v>50800</v>
      </c>
      <c r="Y33" s="23">
        <f t="shared" si="28"/>
        <v>50800</v>
      </c>
      <c r="Z33" s="23">
        <f t="shared" si="28"/>
        <v>50800</v>
      </c>
      <c r="AA33" s="23">
        <f t="shared" si="28"/>
        <v>50800</v>
      </c>
      <c r="AB33" s="23">
        <f t="shared" si="28"/>
        <v>50800</v>
      </c>
    </row>
    <row r="34" spans="1:28" ht="15.75" customHeight="1" x14ac:dyDescent="0.3">
      <c r="A34" s="12">
        <f>RAW!$A$13</f>
        <v>102000</v>
      </c>
      <c r="B34" s="2"/>
      <c r="C34" s="24" t="s">
        <v>26</v>
      </c>
      <c r="D34" s="23">
        <f t="shared" si="21"/>
        <v>102000</v>
      </c>
      <c r="E34" s="2"/>
      <c r="F34" s="24" t="s">
        <v>26</v>
      </c>
      <c r="G34" s="23">
        <f t="shared" ref="G34:AB34" si="29">$A34/G$5</f>
        <v>102000</v>
      </c>
      <c r="H34" s="23">
        <f t="shared" si="29"/>
        <v>102000</v>
      </c>
      <c r="I34" s="23">
        <f t="shared" si="29"/>
        <v>102000</v>
      </c>
      <c r="J34" s="23">
        <f t="shared" si="29"/>
        <v>102000</v>
      </c>
      <c r="K34" s="23">
        <f t="shared" si="29"/>
        <v>102000</v>
      </c>
      <c r="L34" s="23">
        <f t="shared" si="29"/>
        <v>102000</v>
      </c>
      <c r="M34" s="23">
        <f t="shared" si="29"/>
        <v>102000</v>
      </c>
      <c r="N34" s="23">
        <f t="shared" si="29"/>
        <v>102000</v>
      </c>
      <c r="O34" s="23">
        <f t="shared" si="29"/>
        <v>102000</v>
      </c>
      <c r="P34" s="23">
        <f t="shared" si="29"/>
        <v>102000</v>
      </c>
      <c r="Q34" s="23">
        <f t="shared" si="29"/>
        <v>102000</v>
      </c>
      <c r="R34" s="23">
        <f t="shared" si="29"/>
        <v>102000</v>
      </c>
      <c r="S34" s="23">
        <f t="shared" si="29"/>
        <v>102000</v>
      </c>
      <c r="T34" s="23">
        <f t="shared" si="29"/>
        <v>102000</v>
      </c>
      <c r="U34" s="23">
        <f t="shared" si="29"/>
        <v>102000</v>
      </c>
      <c r="V34" s="23">
        <f t="shared" si="29"/>
        <v>102000</v>
      </c>
      <c r="W34" s="23">
        <f t="shared" si="29"/>
        <v>102000</v>
      </c>
      <c r="X34" s="23">
        <f t="shared" si="29"/>
        <v>102000</v>
      </c>
      <c r="Y34" s="23">
        <f t="shared" si="29"/>
        <v>102000</v>
      </c>
      <c r="Z34" s="23">
        <f t="shared" si="29"/>
        <v>102000</v>
      </c>
      <c r="AA34" s="23">
        <f t="shared" si="29"/>
        <v>102000</v>
      </c>
      <c r="AB34" s="23">
        <f t="shared" si="29"/>
        <v>102000</v>
      </c>
    </row>
    <row r="35" spans="1:28" ht="15.75" customHeight="1" x14ac:dyDescent="0.3">
      <c r="A35" s="12">
        <f>RAW!$A$14</f>
        <v>204400</v>
      </c>
      <c r="B35" s="2"/>
      <c r="C35" s="24" t="s">
        <v>27</v>
      </c>
      <c r="D35" s="23">
        <f t="shared" si="21"/>
        <v>204400</v>
      </c>
      <c r="E35" s="2"/>
      <c r="F35" s="24" t="s">
        <v>27</v>
      </c>
      <c r="G35" s="23">
        <f t="shared" ref="G35:AB35" si="30">$A35/G$5</f>
        <v>204400</v>
      </c>
      <c r="H35" s="23">
        <f t="shared" si="30"/>
        <v>204400</v>
      </c>
      <c r="I35" s="23">
        <f t="shared" si="30"/>
        <v>204400</v>
      </c>
      <c r="J35" s="23">
        <f t="shared" si="30"/>
        <v>204400</v>
      </c>
      <c r="K35" s="23">
        <f t="shared" si="30"/>
        <v>204400</v>
      </c>
      <c r="L35" s="23">
        <f t="shared" si="30"/>
        <v>204400</v>
      </c>
      <c r="M35" s="23">
        <f t="shared" si="30"/>
        <v>204400</v>
      </c>
      <c r="N35" s="23">
        <f t="shared" si="30"/>
        <v>204400</v>
      </c>
      <c r="O35" s="23">
        <f t="shared" si="30"/>
        <v>204400</v>
      </c>
      <c r="P35" s="23">
        <f t="shared" si="30"/>
        <v>204400</v>
      </c>
      <c r="Q35" s="23">
        <f t="shared" si="30"/>
        <v>204400</v>
      </c>
      <c r="R35" s="23">
        <f t="shared" si="30"/>
        <v>204400</v>
      </c>
      <c r="S35" s="23">
        <f t="shared" si="30"/>
        <v>204400</v>
      </c>
      <c r="T35" s="23">
        <f t="shared" si="30"/>
        <v>204400</v>
      </c>
      <c r="U35" s="23">
        <f t="shared" si="30"/>
        <v>204400</v>
      </c>
      <c r="V35" s="23">
        <f t="shared" si="30"/>
        <v>204400</v>
      </c>
      <c r="W35" s="23">
        <f t="shared" si="30"/>
        <v>204400</v>
      </c>
      <c r="X35" s="23">
        <f t="shared" si="30"/>
        <v>204400</v>
      </c>
      <c r="Y35" s="23">
        <f t="shared" si="30"/>
        <v>204400</v>
      </c>
      <c r="Z35" s="23">
        <f t="shared" si="30"/>
        <v>204400</v>
      </c>
      <c r="AA35" s="23">
        <f t="shared" si="30"/>
        <v>204400</v>
      </c>
      <c r="AB35" s="23">
        <f t="shared" si="30"/>
        <v>204400</v>
      </c>
    </row>
    <row r="36" spans="1:28" ht="15.75" customHeight="1" x14ac:dyDescent="0.3">
      <c r="A36" s="12">
        <f>RAW!$A$15</f>
        <v>409200</v>
      </c>
      <c r="B36" s="2"/>
      <c r="C36" s="24" t="s">
        <v>28</v>
      </c>
      <c r="D36" s="23">
        <f t="shared" si="21"/>
        <v>409200</v>
      </c>
      <c r="E36" s="2"/>
      <c r="F36" s="24" t="s">
        <v>28</v>
      </c>
      <c r="G36" s="23">
        <f t="shared" ref="G36:AB36" si="31">$A36/G$5</f>
        <v>409200</v>
      </c>
      <c r="H36" s="23">
        <f t="shared" si="31"/>
        <v>409200</v>
      </c>
      <c r="I36" s="23">
        <f t="shared" si="31"/>
        <v>409200</v>
      </c>
      <c r="J36" s="23">
        <f t="shared" si="31"/>
        <v>409200</v>
      </c>
      <c r="K36" s="23">
        <f t="shared" si="31"/>
        <v>409200</v>
      </c>
      <c r="L36" s="23">
        <f t="shared" si="31"/>
        <v>409200</v>
      </c>
      <c r="M36" s="23">
        <f t="shared" si="31"/>
        <v>409200</v>
      </c>
      <c r="N36" s="23">
        <f t="shared" si="31"/>
        <v>409200</v>
      </c>
      <c r="O36" s="23">
        <f t="shared" si="31"/>
        <v>409200</v>
      </c>
      <c r="P36" s="23">
        <f t="shared" si="31"/>
        <v>409200</v>
      </c>
      <c r="Q36" s="23">
        <f t="shared" si="31"/>
        <v>409200</v>
      </c>
      <c r="R36" s="23">
        <f t="shared" si="31"/>
        <v>409200</v>
      </c>
      <c r="S36" s="23">
        <f t="shared" si="31"/>
        <v>409200</v>
      </c>
      <c r="T36" s="23">
        <f t="shared" si="31"/>
        <v>409200</v>
      </c>
      <c r="U36" s="23">
        <f t="shared" si="31"/>
        <v>409200</v>
      </c>
      <c r="V36" s="23">
        <f t="shared" si="31"/>
        <v>409200</v>
      </c>
      <c r="W36" s="23">
        <f t="shared" si="31"/>
        <v>409200</v>
      </c>
      <c r="X36" s="23">
        <f t="shared" si="31"/>
        <v>409200</v>
      </c>
      <c r="Y36" s="23">
        <f t="shared" si="31"/>
        <v>409200</v>
      </c>
      <c r="Z36" s="23">
        <f t="shared" si="31"/>
        <v>409200</v>
      </c>
      <c r="AA36" s="23">
        <f t="shared" si="31"/>
        <v>409200</v>
      </c>
      <c r="AB36" s="23">
        <f t="shared" si="31"/>
        <v>409200</v>
      </c>
    </row>
    <row r="37" spans="1:28" ht="15.75" customHeight="1" x14ac:dyDescent="0.3">
      <c r="A37" s="12">
        <f>RAW!$A$16</f>
        <v>818800</v>
      </c>
      <c r="B37" s="2"/>
      <c r="C37" s="24" t="s">
        <v>29</v>
      </c>
      <c r="D37" s="23">
        <f t="shared" si="21"/>
        <v>818800</v>
      </c>
      <c r="E37" s="2"/>
      <c r="F37" s="24" t="s">
        <v>29</v>
      </c>
      <c r="G37" s="23">
        <f t="shared" ref="G37:AB37" si="32">$A37/G$5</f>
        <v>818800</v>
      </c>
      <c r="H37" s="23">
        <f t="shared" si="32"/>
        <v>818800</v>
      </c>
      <c r="I37" s="23">
        <f t="shared" si="32"/>
        <v>818800</v>
      </c>
      <c r="J37" s="23">
        <f t="shared" si="32"/>
        <v>818800</v>
      </c>
      <c r="K37" s="23">
        <f t="shared" si="32"/>
        <v>818800</v>
      </c>
      <c r="L37" s="23">
        <f t="shared" si="32"/>
        <v>818800</v>
      </c>
      <c r="M37" s="23">
        <f t="shared" si="32"/>
        <v>818800</v>
      </c>
      <c r="N37" s="23">
        <f t="shared" si="32"/>
        <v>818800</v>
      </c>
      <c r="O37" s="23">
        <f t="shared" si="32"/>
        <v>818800</v>
      </c>
      <c r="P37" s="23">
        <f t="shared" si="32"/>
        <v>818800</v>
      </c>
      <c r="Q37" s="23">
        <f t="shared" si="32"/>
        <v>818800</v>
      </c>
      <c r="R37" s="23">
        <f t="shared" si="32"/>
        <v>818800</v>
      </c>
      <c r="S37" s="23">
        <f t="shared" si="32"/>
        <v>818800</v>
      </c>
      <c r="T37" s="23">
        <f t="shared" si="32"/>
        <v>818800</v>
      </c>
      <c r="U37" s="23">
        <f t="shared" si="32"/>
        <v>818800</v>
      </c>
      <c r="V37" s="23">
        <f t="shared" si="32"/>
        <v>818800</v>
      </c>
      <c r="W37" s="23">
        <f t="shared" si="32"/>
        <v>818800</v>
      </c>
      <c r="X37" s="23">
        <f t="shared" si="32"/>
        <v>818800</v>
      </c>
      <c r="Y37" s="23">
        <f t="shared" si="32"/>
        <v>818800</v>
      </c>
      <c r="Z37" s="23">
        <f t="shared" si="32"/>
        <v>818800</v>
      </c>
      <c r="AA37" s="23">
        <f t="shared" si="32"/>
        <v>818800</v>
      </c>
      <c r="AB37" s="23">
        <f t="shared" si="32"/>
        <v>818800</v>
      </c>
    </row>
    <row r="38" spans="1:28" ht="15.75" customHeight="1" x14ac:dyDescent="0.3">
      <c r="A38" s="12">
        <f>RAW!$A$17</f>
        <v>1638000</v>
      </c>
      <c r="B38" s="2"/>
      <c r="C38" s="24" t="s">
        <v>30</v>
      </c>
      <c r="D38" s="23">
        <f t="shared" si="21"/>
        <v>1638000</v>
      </c>
      <c r="E38" s="2"/>
      <c r="F38" s="24" t="s">
        <v>30</v>
      </c>
      <c r="G38" s="23">
        <f t="shared" ref="G38:AB38" si="33">$A38/G$5</f>
        <v>1638000</v>
      </c>
      <c r="H38" s="23">
        <f t="shared" si="33"/>
        <v>1638000</v>
      </c>
      <c r="I38" s="23">
        <f t="shared" si="33"/>
        <v>1638000</v>
      </c>
      <c r="J38" s="23">
        <f t="shared" si="33"/>
        <v>1638000</v>
      </c>
      <c r="K38" s="23">
        <f t="shared" si="33"/>
        <v>1638000</v>
      </c>
      <c r="L38" s="23">
        <f t="shared" si="33"/>
        <v>1638000</v>
      </c>
      <c r="M38" s="23">
        <f t="shared" si="33"/>
        <v>1638000</v>
      </c>
      <c r="N38" s="23">
        <f t="shared" si="33"/>
        <v>1638000</v>
      </c>
      <c r="O38" s="23">
        <f t="shared" si="33"/>
        <v>1638000</v>
      </c>
      <c r="P38" s="23">
        <f t="shared" si="33"/>
        <v>1638000</v>
      </c>
      <c r="Q38" s="23">
        <f t="shared" si="33"/>
        <v>1638000</v>
      </c>
      <c r="R38" s="23">
        <f t="shared" si="33"/>
        <v>1638000</v>
      </c>
      <c r="S38" s="23">
        <f t="shared" si="33"/>
        <v>1638000</v>
      </c>
      <c r="T38" s="23">
        <f t="shared" si="33"/>
        <v>1638000</v>
      </c>
      <c r="U38" s="23">
        <f t="shared" si="33"/>
        <v>1638000</v>
      </c>
      <c r="V38" s="23">
        <f t="shared" si="33"/>
        <v>1638000</v>
      </c>
      <c r="W38" s="23">
        <f t="shared" si="33"/>
        <v>1638000</v>
      </c>
      <c r="X38" s="23">
        <f t="shared" si="33"/>
        <v>1638000</v>
      </c>
      <c r="Y38" s="23">
        <f t="shared" si="33"/>
        <v>1638000</v>
      </c>
      <c r="Z38" s="23">
        <f t="shared" si="33"/>
        <v>1638000</v>
      </c>
      <c r="AA38" s="23">
        <f t="shared" si="33"/>
        <v>1638000</v>
      </c>
      <c r="AB38" s="23">
        <f t="shared" si="33"/>
        <v>1638000</v>
      </c>
    </row>
    <row r="39" spans="1:28" ht="15.75" customHeight="1" x14ac:dyDescent="0.3">
      <c r="A39" s="12">
        <f>RAW!$A$18</f>
        <v>3276400</v>
      </c>
      <c r="B39" s="2"/>
      <c r="C39" s="24" t="s">
        <v>31</v>
      </c>
      <c r="D39" s="23">
        <f t="shared" si="21"/>
        <v>3276400</v>
      </c>
      <c r="E39" s="2"/>
      <c r="F39" s="24" t="s">
        <v>31</v>
      </c>
      <c r="G39" s="23">
        <f t="shared" ref="G39:AB39" si="34">$A39/G$5</f>
        <v>3276400</v>
      </c>
      <c r="H39" s="23">
        <f t="shared" si="34"/>
        <v>3276400</v>
      </c>
      <c r="I39" s="23">
        <f t="shared" si="34"/>
        <v>3276400</v>
      </c>
      <c r="J39" s="23">
        <f t="shared" si="34"/>
        <v>3276400</v>
      </c>
      <c r="K39" s="23">
        <f t="shared" si="34"/>
        <v>3276400</v>
      </c>
      <c r="L39" s="23">
        <f t="shared" si="34"/>
        <v>3276400</v>
      </c>
      <c r="M39" s="23">
        <f t="shared" si="34"/>
        <v>3276400</v>
      </c>
      <c r="N39" s="23">
        <f t="shared" si="34"/>
        <v>3276400</v>
      </c>
      <c r="O39" s="23">
        <f t="shared" si="34"/>
        <v>3276400</v>
      </c>
      <c r="P39" s="23">
        <f t="shared" si="34"/>
        <v>3276400</v>
      </c>
      <c r="Q39" s="23">
        <f t="shared" si="34"/>
        <v>3276400</v>
      </c>
      <c r="R39" s="23">
        <f t="shared" si="34"/>
        <v>3276400</v>
      </c>
      <c r="S39" s="23">
        <f t="shared" si="34"/>
        <v>3276400</v>
      </c>
      <c r="T39" s="23">
        <f t="shared" si="34"/>
        <v>3276400</v>
      </c>
      <c r="U39" s="23">
        <f t="shared" si="34"/>
        <v>3276400</v>
      </c>
      <c r="V39" s="23">
        <f t="shared" si="34"/>
        <v>3276400</v>
      </c>
      <c r="W39" s="23">
        <f t="shared" si="34"/>
        <v>3276400</v>
      </c>
      <c r="X39" s="23">
        <f t="shared" si="34"/>
        <v>3276400</v>
      </c>
      <c r="Y39" s="23">
        <f t="shared" si="34"/>
        <v>3276400</v>
      </c>
      <c r="Z39" s="23">
        <f t="shared" si="34"/>
        <v>3276400</v>
      </c>
      <c r="AA39" s="23">
        <f t="shared" si="34"/>
        <v>3276400</v>
      </c>
      <c r="AB39" s="23">
        <f t="shared" si="34"/>
        <v>3276400</v>
      </c>
    </row>
    <row r="40" spans="1:28" ht="15.75" customHeight="1" x14ac:dyDescent="0.3">
      <c r="A40" s="12">
        <f>RAW!$A$19</f>
        <v>6553200</v>
      </c>
      <c r="B40" s="2"/>
      <c r="C40" s="24" t="s">
        <v>32</v>
      </c>
      <c r="D40" s="23">
        <f t="shared" si="21"/>
        <v>6553200</v>
      </c>
      <c r="E40" s="2"/>
      <c r="F40" s="24" t="s">
        <v>32</v>
      </c>
      <c r="G40" s="23">
        <f t="shared" ref="G40:AB40" si="35">$A40/G$5</f>
        <v>6553200</v>
      </c>
      <c r="H40" s="23">
        <f t="shared" si="35"/>
        <v>6553200</v>
      </c>
      <c r="I40" s="23">
        <f t="shared" si="35"/>
        <v>6553200</v>
      </c>
      <c r="J40" s="23">
        <f t="shared" si="35"/>
        <v>6553200</v>
      </c>
      <c r="K40" s="23">
        <f t="shared" si="35"/>
        <v>6553200</v>
      </c>
      <c r="L40" s="23">
        <f t="shared" si="35"/>
        <v>6553200</v>
      </c>
      <c r="M40" s="23">
        <f t="shared" si="35"/>
        <v>6553200</v>
      </c>
      <c r="N40" s="23">
        <f t="shared" si="35"/>
        <v>6553200</v>
      </c>
      <c r="O40" s="23">
        <f t="shared" si="35"/>
        <v>6553200</v>
      </c>
      <c r="P40" s="23">
        <f t="shared" si="35"/>
        <v>6553200</v>
      </c>
      <c r="Q40" s="23">
        <f t="shared" si="35"/>
        <v>6553200</v>
      </c>
      <c r="R40" s="23">
        <f t="shared" si="35"/>
        <v>6553200</v>
      </c>
      <c r="S40" s="23">
        <f t="shared" si="35"/>
        <v>6553200</v>
      </c>
      <c r="T40" s="23">
        <f t="shared" si="35"/>
        <v>6553200</v>
      </c>
      <c r="U40" s="23">
        <f t="shared" si="35"/>
        <v>6553200</v>
      </c>
      <c r="V40" s="23">
        <f t="shared" si="35"/>
        <v>6553200</v>
      </c>
      <c r="W40" s="23">
        <f t="shared" si="35"/>
        <v>6553200</v>
      </c>
      <c r="X40" s="23">
        <f t="shared" si="35"/>
        <v>6553200</v>
      </c>
      <c r="Y40" s="23">
        <f t="shared" si="35"/>
        <v>6553200</v>
      </c>
      <c r="Z40" s="23">
        <f t="shared" si="35"/>
        <v>6553200</v>
      </c>
      <c r="AA40" s="23">
        <f t="shared" si="35"/>
        <v>6553200</v>
      </c>
      <c r="AB40" s="23">
        <f t="shared" si="35"/>
        <v>6553200</v>
      </c>
    </row>
    <row r="41" spans="1:28" ht="15.75" customHeight="1" x14ac:dyDescent="0.3">
      <c r="A41" s="12">
        <f>RAW!$A$20</f>
        <v>13106800</v>
      </c>
      <c r="B41" s="2"/>
      <c r="C41" s="24" t="s">
        <v>33</v>
      </c>
      <c r="D41" s="23">
        <f t="shared" si="21"/>
        <v>13106800</v>
      </c>
      <c r="E41" s="2"/>
      <c r="F41" s="24" t="s">
        <v>33</v>
      </c>
      <c r="G41" s="23">
        <f t="shared" ref="G41:AB41" si="36">$A41/G$5</f>
        <v>13106800</v>
      </c>
      <c r="H41" s="23">
        <f t="shared" si="36"/>
        <v>13106800</v>
      </c>
      <c r="I41" s="23">
        <f t="shared" si="36"/>
        <v>13106800</v>
      </c>
      <c r="J41" s="23">
        <f t="shared" si="36"/>
        <v>13106800</v>
      </c>
      <c r="K41" s="23">
        <f t="shared" si="36"/>
        <v>13106800</v>
      </c>
      <c r="L41" s="23">
        <f t="shared" si="36"/>
        <v>13106800</v>
      </c>
      <c r="M41" s="23">
        <f t="shared" si="36"/>
        <v>13106800</v>
      </c>
      <c r="N41" s="23">
        <f t="shared" si="36"/>
        <v>13106800</v>
      </c>
      <c r="O41" s="23">
        <f t="shared" si="36"/>
        <v>13106800</v>
      </c>
      <c r="P41" s="23">
        <f t="shared" si="36"/>
        <v>13106800</v>
      </c>
      <c r="Q41" s="23">
        <f t="shared" si="36"/>
        <v>13106800</v>
      </c>
      <c r="R41" s="23">
        <f t="shared" si="36"/>
        <v>13106800</v>
      </c>
      <c r="S41" s="23">
        <f t="shared" si="36"/>
        <v>13106800</v>
      </c>
      <c r="T41" s="23">
        <f t="shared" si="36"/>
        <v>13106800</v>
      </c>
      <c r="U41" s="23">
        <f t="shared" si="36"/>
        <v>13106800</v>
      </c>
      <c r="V41" s="23">
        <f t="shared" si="36"/>
        <v>13106800</v>
      </c>
      <c r="W41" s="23">
        <f t="shared" si="36"/>
        <v>13106800</v>
      </c>
      <c r="X41" s="23">
        <f t="shared" si="36"/>
        <v>13106800</v>
      </c>
      <c r="Y41" s="23">
        <f t="shared" si="36"/>
        <v>13106800</v>
      </c>
      <c r="Z41" s="23">
        <f t="shared" si="36"/>
        <v>13106800</v>
      </c>
      <c r="AA41" s="23">
        <f t="shared" si="36"/>
        <v>13106800</v>
      </c>
      <c r="AB41" s="23">
        <f t="shared" si="36"/>
        <v>13106800</v>
      </c>
    </row>
    <row r="42" spans="1:28" ht="15.75" customHeight="1" x14ac:dyDescent="0.3">
      <c r="A42" s="12">
        <f>RAW!$A$21</f>
        <v>26214000</v>
      </c>
      <c r="B42" s="2"/>
      <c r="C42" s="24" t="s">
        <v>34</v>
      </c>
      <c r="D42" s="23">
        <f t="shared" si="21"/>
        <v>26214000</v>
      </c>
      <c r="E42" s="2"/>
      <c r="F42" s="24" t="s">
        <v>34</v>
      </c>
      <c r="G42" s="23">
        <f t="shared" ref="G42:AB42" si="37">$A42/G$5</f>
        <v>26214000</v>
      </c>
      <c r="H42" s="23">
        <f t="shared" si="37"/>
        <v>26214000</v>
      </c>
      <c r="I42" s="23">
        <f t="shared" si="37"/>
        <v>26214000</v>
      </c>
      <c r="J42" s="23">
        <f t="shared" si="37"/>
        <v>26214000</v>
      </c>
      <c r="K42" s="23">
        <f t="shared" si="37"/>
        <v>26214000</v>
      </c>
      <c r="L42" s="23">
        <f t="shared" si="37"/>
        <v>26214000</v>
      </c>
      <c r="M42" s="23">
        <f t="shared" si="37"/>
        <v>26214000</v>
      </c>
      <c r="N42" s="23">
        <f t="shared" si="37"/>
        <v>26214000</v>
      </c>
      <c r="O42" s="23">
        <f t="shared" si="37"/>
        <v>26214000</v>
      </c>
      <c r="P42" s="23">
        <f t="shared" si="37"/>
        <v>26214000</v>
      </c>
      <c r="Q42" s="23">
        <f t="shared" si="37"/>
        <v>26214000</v>
      </c>
      <c r="R42" s="23">
        <f t="shared" si="37"/>
        <v>26214000</v>
      </c>
      <c r="S42" s="23">
        <f t="shared" si="37"/>
        <v>26214000</v>
      </c>
      <c r="T42" s="23">
        <f t="shared" si="37"/>
        <v>26214000</v>
      </c>
      <c r="U42" s="23">
        <f t="shared" si="37"/>
        <v>26214000</v>
      </c>
      <c r="V42" s="23">
        <f t="shared" si="37"/>
        <v>26214000</v>
      </c>
      <c r="W42" s="23">
        <f t="shared" si="37"/>
        <v>26214000</v>
      </c>
      <c r="X42" s="23">
        <f t="shared" si="37"/>
        <v>26214000</v>
      </c>
      <c r="Y42" s="23">
        <f t="shared" si="37"/>
        <v>26214000</v>
      </c>
      <c r="Z42" s="23">
        <f t="shared" si="37"/>
        <v>26214000</v>
      </c>
      <c r="AA42" s="23">
        <f t="shared" si="37"/>
        <v>26214000</v>
      </c>
      <c r="AB42" s="23">
        <f t="shared" si="37"/>
        <v>26214000</v>
      </c>
    </row>
    <row r="43" spans="1:28" ht="15.75" customHeight="1" x14ac:dyDescent="0.3">
      <c r="A43" s="12">
        <f>RAW!$A$22</f>
        <v>52428400</v>
      </c>
      <c r="B43" s="2"/>
      <c r="C43" s="24" t="s">
        <v>35</v>
      </c>
      <c r="D43" s="23">
        <f t="shared" si="21"/>
        <v>52428400</v>
      </c>
      <c r="E43" s="2"/>
      <c r="F43" s="24" t="s">
        <v>35</v>
      </c>
      <c r="G43" s="23">
        <f t="shared" ref="G43:AB43" si="38">$A43/G$5</f>
        <v>52428400</v>
      </c>
      <c r="H43" s="23">
        <f t="shared" si="38"/>
        <v>52428400</v>
      </c>
      <c r="I43" s="23">
        <f t="shared" si="38"/>
        <v>52428400</v>
      </c>
      <c r="J43" s="23">
        <f t="shared" si="38"/>
        <v>52428400</v>
      </c>
      <c r="K43" s="23">
        <f t="shared" si="38"/>
        <v>52428400</v>
      </c>
      <c r="L43" s="23">
        <f t="shared" si="38"/>
        <v>52428400</v>
      </c>
      <c r="M43" s="23">
        <f t="shared" si="38"/>
        <v>52428400</v>
      </c>
      <c r="N43" s="23">
        <f t="shared" si="38"/>
        <v>52428400</v>
      </c>
      <c r="O43" s="23">
        <f t="shared" si="38"/>
        <v>52428400</v>
      </c>
      <c r="P43" s="23">
        <f t="shared" si="38"/>
        <v>52428400</v>
      </c>
      <c r="Q43" s="23">
        <f t="shared" si="38"/>
        <v>52428400</v>
      </c>
      <c r="R43" s="23">
        <f t="shared" si="38"/>
        <v>52428400</v>
      </c>
      <c r="S43" s="23">
        <f t="shared" si="38"/>
        <v>52428400</v>
      </c>
      <c r="T43" s="23">
        <f t="shared" si="38"/>
        <v>52428400</v>
      </c>
      <c r="U43" s="23">
        <f t="shared" si="38"/>
        <v>52428400</v>
      </c>
      <c r="V43" s="23">
        <f t="shared" si="38"/>
        <v>52428400</v>
      </c>
      <c r="W43" s="23">
        <f t="shared" si="38"/>
        <v>52428400</v>
      </c>
      <c r="X43" s="23">
        <f t="shared" si="38"/>
        <v>52428400</v>
      </c>
      <c r="Y43" s="23">
        <f t="shared" si="38"/>
        <v>52428400</v>
      </c>
      <c r="Z43" s="23">
        <f t="shared" si="38"/>
        <v>52428400</v>
      </c>
      <c r="AA43" s="23">
        <f t="shared" si="38"/>
        <v>52428400</v>
      </c>
      <c r="AB43" s="23">
        <f t="shared" si="38"/>
        <v>52428400</v>
      </c>
    </row>
    <row r="44" spans="1:28" ht="15.75" customHeight="1" x14ac:dyDescent="0.3">
      <c r="A44" s="3"/>
      <c r="B44" s="2"/>
      <c r="C44" s="29"/>
      <c r="D44" s="30"/>
      <c r="E44" s="2"/>
      <c r="F44" s="3"/>
      <c r="G44" s="31" t="s">
        <v>38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15.75" customHeight="1" x14ac:dyDescent="0.3">
      <c r="A45" s="19" t="s">
        <v>37</v>
      </c>
      <c r="B45" s="2"/>
      <c r="C45" s="10" t="s">
        <v>9</v>
      </c>
      <c r="D45" s="10" t="s">
        <v>10</v>
      </c>
      <c r="E45" s="2"/>
      <c r="F45" s="20" t="s">
        <v>9</v>
      </c>
      <c r="G45" s="11" t="str">
        <f t="shared" ref="G45:AB45" si="39">G26</f>
        <v>Itanema</v>
      </c>
      <c r="H45" s="11" t="str">
        <f t="shared" si="39"/>
        <v>Sinoi</v>
      </c>
      <c r="I45" s="11">
        <f t="shared" si="39"/>
        <v>0</v>
      </c>
      <c r="J45" s="11">
        <f t="shared" si="39"/>
        <v>0</v>
      </c>
      <c r="K45" s="11">
        <f t="shared" si="39"/>
        <v>0</v>
      </c>
      <c r="L45" s="11">
        <f t="shared" si="39"/>
        <v>0</v>
      </c>
      <c r="M45" s="11">
        <f t="shared" si="39"/>
        <v>0</v>
      </c>
      <c r="N45" s="11">
        <f t="shared" si="39"/>
        <v>0</v>
      </c>
      <c r="O45" s="11">
        <f t="shared" si="39"/>
        <v>0</v>
      </c>
      <c r="P45" s="11">
        <f t="shared" si="39"/>
        <v>0</v>
      </c>
      <c r="Q45" s="11">
        <f t="shared" si="39"/>
        <v>0</v>
      </c>
      <c r="R45" s="11">
        <f t="shared" si="39"/>
        <v>0</v>
      </c>
      <c r="S45" s="11">
        <f t="shared" si="39"/>
        <v>0</v>
      </c>
      <c r="T45" s="11">
        <f t="shared" si="39"/>
        <v>0</v>
      </c>
      <c r="U45" s="11">
        <f t="shared" si="39"/>
        <v>0</v>
      </c>
      <c r="V45" s="11">
        <f t="shared" si="39"/>
        <v>0</v>
      </c>
      <c r="W45" s="11">
        <f t="shared" si="39"/>
        <v>0</v>
      </c>
      <c r="X45" s="11">
        <f t="shared" si="39"/>
        <v>0</v>
      </c>
      <c r="Y45" s="11">
        <f t="shared" si="39"/>
        <v>0</v>
      </c>
      <c r="Z45" s="11">
        <f t="shared" si="39"/>
        <v>0</v>
      </c>
      <c r="AA45" s="11">
        <f t="shared" si="39"/>
        <v>0</v>
      </c>
      <c r="AB45" s="11">
        <f t="shared" si="39"/>
        <v>0</v>
      </c>
    </row>
    <row r="46" spans="1:28" ht="15.75" customHeight="1" x14ac:dyDescent="0.3">
      <c r="A46" s="12">
        <f>RAW!$A$6</f>
        <v>400</v>
      </c>
      <c r="B46" s="2"/>
      <c r="C46" s="21" t="s">
        <v>19</v>
      </c>
      <c r="D46" s="22">
        <f t="shared" ref="D46:D62" si="40">($A46/D$5)/365</f>
        <v>1.095890410958904</v>
      </c>
      <c r="E46" s="2"/>
      <c r="F46" s="21" t="s">
        <v>19</v>
      </c>
      <c r="G46" s="23">
        <f t="shared" ref="G46:AB46" si="41">($A46/G$5)/365</f>
        <v>1.095890410958904</v>
      </c>
      <c r="H46" s="23">
        <f t="shared" si="41"/>
        <v>1.095890410958904</v>
      </c>
      <c r="I46" s="23">
        <f t="shared" si="41"/>
        <v>1.095890410958904</v>
      </c>
      <c r="J46" s="23">
        <f t="shared" si="41"/>
        <v>1.095890410958904</v>
      </c>
      <c r="K46" s="23">
        <f t="shared" si="41"/>
        <v>1.095890410958904</v>
      </c>
      <c r="L46" s="23">
        <f t="shared" si="41"/>
        <v>1.095890410958904</v>
      </c>
      <c r="M46" s="23">
        <f t="shared" si="41"/>
        <v>1.095890410958904</v>
      </c>
      <c r="N46" s="23">
        <f t="shared" si="41"/>
        <v>1.095890410958904</v>
      </c>
      <c r="O46" s="23">
        <f t="shared" si="41"/>
        <v>1.095890410958904</v>
      </c>
      <c r="P46" s="23">
        <f t="shared" si="41"/>
        <v>1.095890410958904</v>
      </c>
      <c r="Q46" s="23">
        <f t="shared" si="41"/>
        <v>1.095890410958904</v>
      </c>
      <c r="R46" s="23">
        <f t="shared" si="41"/>
        <v>1.095890410958904</v>
      </c>
      <c r="S46" s="23">
        <f t="shared" si="41"/>
        <v>1.095890410958904</v>
      </c>
      <c r="T46" s="23">
        <f t="shared" si="41"/>
        <v>1.095890410958904</v>
      </c>
      <c r="U46" s="23">
        <f t="shared" si="41"/>
        <v>1.095890410958904</v>
      </c>
      <c r="V46" s="23">
        <f t="shared" si="41"/>
        <v>1.095890410958904</v>
      </c>
      <c r="W46" s="23">
        <f t="shared" si="41"/>
        <v>1.095890410958904</v>
      </c>
      <c r="X46" s="23">
        <f t="shared" si="41"/>
        <v>1.095890410958904</v>
      </c>
      <c r="Y46" s="23">
        <f t="shared" si="41"/>
        <v>1.095890410958904</v>
      </c>
      <c r="Z46" s="23">
        <f t="shared" si="41"/>
        <v>1.095890410958904</v>
      </c>
      <c r="AA46" s="23">
        <f t="shared" si="41"/>
        <v>1.095890410958904</v>
      </c>
      <c r="AB46" s="23">
        <f t="shared" si="41"/>
        <v>1.095890410958904</v>
      </c>
    </row>
    <row r="47" spans="1:28" ht="15.75" customHeight="1" x14ac:dyDescent="0.3">
      <c r="A47" s="12">
        <f>RAW!$A$7</f>
        <v>1200</v>
      </c>
      <c r="B47" s="2"/>
      <c r="C47" s="24" t="s">
        <v>20</v>
      </c>
      <c r="D47" s="23">
        <f t="shared" si="40"/>
        <v>3.2876712328767121</v>
      </c>
      <c r="E47" s="2"/>
      <c r="F47" s="24" t="s">
        <v>20</v>
      </c>
      <c r="G47" s="23">
        <f t="shared" ref="G47:AB47" si="42">($A47/G$5)/365</f>
        <v>3.2876712328767121</v>
      </c>
      <c r="H47" s="23">
        <f t="shared" si="42"/>
        <v>3.2876712328767121</v>
      </c>
      <c r="I47" s="23">
        <f t="shared" si="42"/>
        <v>3.2876712328767121</v>
      </c>
      <c r="J47" s="23">
        <f t="shared" si="42"/>
        <v>3.2876712328767121</v>
      </c>
      <c r="K47" s="23">
        <f t="shared" si="42"/>
        <v>3.2876712328767121</v>
      </c>
      <c r="L47" s="23">
        <f t="shared" si="42"/>
        <v>3.2876712328767121</v>
      </c>
      <c r="M47" s="23">
        <f t="shared" si="42"/>
        <v>3.2876712328767121</v>
      </c>
      <c r="N47" s="23">
        <f t="shared" si="42"/>
        <v>3.2876712328767121</v>
      </c>
      <c r="O47" s="23">
        <f t="shared" si="42"/>
        <v>3.2876712328767121</v>
      </c>
      <c r="P47" s="23">
        <f t="shared" si="42"/>
        <v>3.2876712328767121</v>
      </c>
      <c r="Q47" s="23">
        <f t="shared" si="42"/>
        <v>3.2876712328767121</v>
      </c>
      <c r="R47" s="23">
        <f t="shared" si="42"/>
        <v>3.2876712328767121</v>
      </c>
      <c r="S47" s="23">
        <f t="shared" si="42"/>
        <v>3.2876712328767121</v>
      </c>
      <c r="T47" s="23">
        <f t="shared" si="42"/>
        <v>3.2876712328767121</v>
      </c>
      <c r="U47" s="23">
        <f t="shared" si="42"/>
        <v>3.2876712328767121</v>
      </c>
      <c r="V47" s="23">
        <f t="shared" si="42"/>
        <v>3.2876712328767121</v>
      </c>
      <c r="W47" s="23">
        <f t="shared" si="42"/>
        <v>3.2876712328767121</v>
      </c>
      <c r="X47" s="23">
        <f t="shared" si="42"/>
        <v>3.2876712328767121</v>
      </c>
      <c r="Y47" s="23">
        <f t="shared" si="42"/>
        <v>3.2876712328767121</v>
      </c>
      <c r="Z47" s="23">
        <f t="shared" si="42"/>
        <v>3.2876712328767121</v>
      </c>
      <c r="AA47" s="23">
        <f t="shared" si="42"/>
        <v>3.2876712328767121</v>
      </c>
      <c r="AB47" s="23">
        <f t="shared" si="42"/>
        <v>3.2876712328767121</v>
      </c>
    </row>
    <row r="48" spans="1:28" ht="15.75" customHeight="1" x14ac:dyDescent="0.3">
      <c r="A48" s="12">
        <f>RAW!$A$8</f>
        <v>2800</v>
      </c>
      <c r="B48" s="2"/>
      <c r="C48" s="24" t="s">
        <v>21</v>
      </c>
      <c r="D48" s="23">
        <f t="shared" si="40"/>
        <v>7.6712328767123283</v>
      </c>
      <c r="E48" s="2"/>
      <c r="F48" s="24" t="s">
        <v>21</v>
      </c>
      <c r="G48" s="23">
        <f t="shared" ref="G48:AB48" si="43">($A48/G$5)/365</f>
        <v>7.6712328767123283</v>
      </c>
      <c r="H48" s="23">
        <f t="shared" si="43"/>
        <v>7.6712328767123283</v>
      </c>
      <c r="I48" s="23">
        <f t="shared" si="43"/>
        <v>7.6712328767123283</v>
      </c>
      <c r="J48" s="23">
        <f t="shared" si="43"/>
        <v>7.6712328767123283</v>
      </c>
      <c r="K48" s="23">
        <f t="shared" si="43"/>
        <v>7.6712328767123283</v>
      </c>
      <c r="L48" s="23">
        <f t="shared" si="43"/>
        <v>7.6712328767123283</v>
      </c>
      <c r="M48" s="23">
        <f t="shared" si="43"/>
        <v>7.6712328767123283</v>
      </c>
      <c r="N48" s="23">
        <f t="shared" si="43"/>
        <v>7.6712328767123283</v>
      </c>
      <c r="O48" s="23">
        <f t="shared" si="43"/>
        <v>7.6712328767123283</v>
      </c>
      <c r="P48" s="23">
        <f t="shared" si="43"/>
        <v>7.6712328767123283</v>
      </c>
      <c r="Q48" s="23">
        <f t="shared" si="43"/>
        <v>7.6712328767123283</v>
      </c>
      <c r="R48" s="23">
        <f t="shared" si="43"/>
        <v>7.6712328767123283</v>
      </c>
      <c r="S48" s="23">
        <f t="shared" si="43"/>
        <v>7.6712328767123283</v>
      </c>
      <c r="T48" s="23">
        <f t="shared" si="43"/>
        <v>7.6712328767123283</v>
      </c>
      <c r="U48" s="23">
        <f t="shared" si="43"/>
        <v>7.6712328767123283</v>
      </c>
      <c r="V48" s="23">
        <f t="shared" si="43"/>
        <v>7.6712328767123283</v>
      </c>
      <c r="W48" s="23">
        <f t="shared" si="43"/>
        <v>7.6712328767123283</v>
      </c>
      <c r="X48" s="23">
        <f t="shared" si="43"/>
        <v>7.6712328767123283</v>
      </c>
      <c r="Y48" s="23">
        <f t="shared" si="43"/>
        <v>7.6712328767123283</v>
      </c>
      <c r="Z48" s="23">
        <f t="shared" si="43"/>
        <v>7.6712328767123283</v>
      </c>
      <c r="AA48" s="23">
        <f t="shared" si="43"/>
        <v>7.6712328767123283</v>
      </c>
      <c r="AB48" s="23">
        <f t="shared" si="43"/>
        <v>7.6712328767123283</v>
      </c>
    </row>
    <row r="49" spans="1:28" ht="15.75" customHeight="1" x14ac:dyDescent="0.3">
      <c r="A49" s="12">
        <f>RAW!$A$9</f>
        <v>6000</v>
      </c>
      <c r="B49" s="2"/>
      <c r="C49" s="24" t="s">
        <v>22</v>
      </c>
      <c r="D49" s="23">
        <f t="shared" si="40"/>
        <v>16.438356164383563</v>
      </c>
      <c r="E49" s="2"/>
      <c r="F49" s="24" t="s">
        <v>22</v>
      </c>
      <c r="G49" s="23">
        <f t="shared" ref="G49:AB49" si="44">($A49/G$5)/365</f>
        <v>16.438356164383563</v>
      </c>
      <c r="H49" s="23">
        <f t="shared" si="44"/>
        <v>16.438356164383563</v>
      </c>
      <c r="I49" s="23">
        <f t="shared" si="44"/>
        <v>16.438356164383563</v>
      </c>
      <c r="J49" s="23">
        <f t="shared" si="44"/>
        <v>16.438356164383563</v>
      </c>
      <c r="K49" s="23">
        <f t="shared" si="44"/>
        <v>16.438356164383563</v>
      </c>
      <c r="L49" s="23">
        <f t="shared" si="44"/>
        <v>16.438356164383563</v>
      </c>
      <c r="M49" s="23">
        <f t="shared" si="44"/>
        <v>16.438356164383563</v>
      </c>
      <c r="N49" s="23">
        <f t="shared" si="44"/>
        <v>16.438356164383563</v>
      </c>
      <c r="O49" s="23">
        <f t="shared" si="44"/>
        <v>16.438356164383563</v>
      </c>
      <c r="P49" s="23">
        <f t="shared" si="44"/>
        <v>16.438356164383563</v>
      </c>
      <c r="Q49" s="23">
        <f t="shared" si="44"/>
        <v>16.438356164383563</v>
      </c>
      <c r="R49" s="23">
        <f t="shared" si="44"/>
        <v>16.438356164383563</v>
      </c>
      <c r="S49" s="23">
        <f t="shared" si="44"/>
        <v>16.438356164383563</v>
      </c>
      <c r="T49" s="23">
        <f t="shared" si="44"/>
        <v>16.438356164383563</v>
      </c>
      <c r="U49" s="23">
        <f t="shared" si="44"/>
        <v>16.438356164383563</v>
      </c>
      <c r="V49" s="23">
        <f t="shared" si="44"/>
        <v>16.438356164383563</v>
      </c>
      <c r="W49" s="23">
        <f t="shared" si="44"/>
        <v>16.438356164383563</v>
      </c>
      <c r="X49" s="23">
        <f t="shared" si="44"/>
        <v>16.438356164383563</v>
      </c>
      <c r="Y49" s="23">
        <f t="shared" si="44"/>
        <v>16.438356164383563</v>
      </c>
      <c r="Z49" s="23">
        <f t="shared" si="44"/>
        <v>16.438356164383563</v>
      </c>
      <c r="AA49" s="23">
        <f t="shared" si="44"/>
        <v>16.438356164383563</v>
      </c>
      <c r="AB49" s="23">
        <f t="shared" si="44"/>
        <v>16.438356164383563</v>
      </c>
    </row>
    <row r="50" spans="1:28" ht="15.75" customHeight="1" x14ac:dyDescent="0.3">
      <c r="A50" s="12">
        <f>RAW!$A$10</f>
        <v>12400</v>
      </c>
      <c r="B50" s="2"/>
      <c r="C50" s="24" t="s">
        <v>23</v>
      </c>
      <c r="D50" s="23">
        <f t="shared" si="40"/>
        <v>33.972602739726028</v>
      </c>
      <c r="E50" s="2"/>
      <c r="F50" s="24" t="s">
        <v>23</v>
      </c>
      <c r="G50" s="23">
        <f t="shared" ref="G50:AB50" si="45">($A50/G$5)/365</f>
        <v>33.972602739726028</v>
      </c>
      <c r="H50" s="23">
        <f t="shared" si="45"/>
        <v>33.972602739726028</v>
      </c>
      <c r="I50" s="23">
        <f t="shared" si="45"/>
        <v>33.972602739726028</v>
      </c>
      <c r="J50" s="23">
        <f t="shared" si="45"/>
        <v>33.972602739726028</v>
      </c>
      <c r="K50" s="23">
        <f t="shared" si="45"/>
        <v>33.972602739726028</v>
      </c>
      <c r="L50" s="23">
        <f t="shared" si="45"/>
        <v>33.972602739726028</v>
      </c>
      <c r="M50" s="23">
        <f t="shared" si="45"/>
        <v>33.972602739726028</v>
      </c>
      <c r="N50" s="23">
        <f t="shared" si="45"/>
        <v>33.972602739726028</v>
      </c>
      <c r="O50" s="23">
        <f t="shared" si="45"/>
        <v>33.972602739726028</v>
      </c>
      <c r="P50" s="23">
        <f t="shared" si="45"/>
        <v>33.972602739726028</v>
      </c>
      <c r="Q50" s="23">
        <f t="shared" si="45"/>
        <v>33.972602739726028</v>
      </c>
      <c r="R50" s="23">
        <f t="shared" si="45"/>
        <v>33.972602739726028</v>
      </c>
      <c r="S50" s="23">
        <f t="shared" si="45"/>
        <v>33.972602739726028</v>
      </c>
      <c r="T50" s="23">
        <f t="shared" si="45"/>
        <v>33.972602739726028</v>
      </c>
      <c r="U50" s="23">
        <f t="shared" si="45"/>
        <v>33.972602739726028</v>
      </c>
      <c r="V50" s="23">
        <f t="shared" si="45"/>
        <v>33.972602739726028</v>
      </c>
      <c r="W50" s="23">
        <f t="shared" si="45"/>
        <v>33.972602739726028</v>
      </c>
      <c r="X50" s="23">
        <f t="shared" si="45"/>
        <v>33.972602739726028</v>
      </c>
      <c r="Y50" s="23">
        <f t="shared" si="45"/>
        <v>33.972602739726028</v>
      </c>
      <c r="Z50" s="23">
        <f t="shared" si="45"/>
        <v>33.972602739726028</v>
      </c>
      <c r="AA50" s="23">
        <f t="shared" si="45"/>
        <v>33.972602739726028</v>
      </c>
      <c r="AB50" s="23">
        <f t="shared" si="45"/>
        <v>33.972602739726028</v>
      </c>
    </row>
    <row r="51" spans="1:28" ht="15.75" customHeight="1" x14ac:dyDescent="0.3">
      <c r="A51" s="12">
        <f>RAW!$A$11</f>
        <v>25200</v>
      </c>
      <c r="B51" s="2"/>
      <c r="C51" s="24" t="s">
        <v>24</v>
      </c>
      <c r="D51" s="23">
        <f t="shared" si="40"/>
        <v>69.041095890410958</v>
      </c>
      <c r="E51" s="2"/>
      <c r="F51" s="24" t="s">
        <v>24</v>
      </c>
      <c r="G51" s="23">
        <f t="shared" ref="G51:AB51" si="46">($A51/G$5)/365</f>
        <v>69.041095890410958</v>
      </c>
      <c r="H51" s="23">
        <f t="shared" si="46"/>
        <v>69.041095890410958</v>
      </c>
      <c r="I51" s="23">
        <f t="shared" si="46"/>
        <v>69.041095890410958</v>
      </c>
      <c r="J51" s="23">
        <f t="shared" si="46"/>
        <v>69.041095890410958</v>
      </c>
      <c r="K51" s="23">
        <f t="shared" si="46"/>
        <v>69.041095890410958</v>
      </c>
      <c r="L51" s="23">
        <f t="shared" si="46"/>
        <v>69.041095890410958</v>
      </c>
      <c r="M51" s="23">
        <f t="shared" si="46"/>
        <v>69.041095890410958</v>
      </c>
      <c r="N51" s="23">
        <f t="shared" si="46"/>
        <v>69.041095890410958</v>
      </c>
      <c r="O51" s="23">
        <f t="shared" si="46"/>
        <v>69.041095890410958</v>
      </c>
      <c r="P51" s="23">
        <f t="shared" si="46"/>
        <v>69.041095890410958</v>
      </c>
      <c r="Q51" s="23">
        <f t="shared" si="46"/>
        <v>69.041095890410958</v>
      </c>
      <c r="R51" s="23">
        <f t="shared" si="46"/>
        <v>69.041095890410958</v>
      </c>
      <c r="S51" s="23">
        <f t="shared" si="46"/>
        <v>69.041095890410958</v>
      </c>
      <c r="T51" s="23">
        <f t="shared" si="46"/>
        <v>69.041095890410958</v>
      </c>
      <c r="U51" s="23">
        <f t="shared" si="46"/>
        <v>69.041095890410958</v>
      </c>
      <c r="V51" s="23">
        <f t="shared" si="46"/>
        <v>69.041095890410958</v>
      </c>
      <c r="W51" s="23">
        <f t="shared" si="46"/>
        <v>69.041095890410958</v>
      </c>
      <c r="X51" s="23">
        <f t="shared" si="46"/>
        <v>69.041095890410958</v>
      </c>
      <c r="Y51" s="23">
        <f t="shared" si="46"/>
        <v>69.041095890410958</v>
      </c>
      <c r="Z51" s="23">
        <f t="shared" si="46"/>
        <v>69.041095890410958</v>
      </c>
      <c r="AA51" s="23">
        <f t="shared" si="46"/>
        <v>69.041095890410958</v>
      </c>
      <c r="AB51" s="23">
        <f t="shared" si="46"/>
        <v>69.041095890410958</v>
      </c>
    </row>
    <row r="52" spans="1:28" ht="15.75" customHeight="1" x14ac:dyDescent="0.3">
      <c r="A52" s="12">
        <f>RAW!$A$12</f>
        <v>50800</v>
      </c>
      <c r="B52" s="2"/>
      <c r="C52" s="24" t="s">
        <v>25</v>
      </c>
      <c r="D52" s="23">
        <f t="shared" si="40"/>
        <v>139.17808219178082</v>
      </c>
      <c r="E52" s="2"/>
      <c r="F52" s="24" t="s">
        <v>25</v>
      </c>
      <c r="G52" s="23">
        <f t="shared" ref="G52:AB52" si="47">($A52/G$5)/365</f>
        <v>139.17808219178082</v>
      </c>
      <c r="H52" s="23">
        <f t="shared" si="47"/>
        <v>139.17808219178082</v>
      </c>
      <c r="I52" s="23">
        <f t="shared" si="47"/>
        <v>139.17808219178082</v>
      </c>
      <c r="J52" s="23">
        <f t="shared" si="47"/>
        <v>139.17808219178082</v>
      </c>
      <c r="K52" s="23">
        <f t="shared" si="47"/>
        <v>139.17808219178082</v>
      </c>
      <c r="L52" s="23">
        <f t="shared" si="47"/>
        <v>139.17808219178082</v>
      </c>
      <c r="M52" s="23">
        <f t="shared" si="47"/>
        <v>139.17808219178082</v>
      </c>
      <c r="N52" s="23">
        <f t="shared" si="47"/>
        <v>139.17808219178082</v>
      </c>
      <c r="O52" s="23">
        <f t="shared" si="47"/>
        <v>139.17808219178082</v>
      </c>
      <c r="P52" s="23">
        <f t="shared" si="47"/>
        <v>139.17808219178082</v>
      </c>
      <c r="Q52" s="23">
        <f t="shared" si="47"/>
        <v>139.17808219178082</v>
      </c>
      <c r="R52" s="23">
        <f t="shared" si="47"/>
        <v>139.17808219178082</v>
      </c>
      <c r="S52" s="23">
        <f t="shared" si="47"/>
        <v>139.17808219178082</v>
      </c>
      <c r="T52" s="23">
        <f t="shared" si="47"/>
        <v>139.17808219178082</v>
      </c>
      <c r="U52" s="23">
        <f t="shared" si="47"/>
        <v>139.17808219178082</v>
      </c>
      <c r="V52" s="23">
        <f t="shared" si="47"/>
        <v>139.17808219178082</v>
      </c>
      <c r="W52" s="23">
        <f t="shared" si="47"/>
        <v>139.17808219178082</v>
      </c>
      <c r="X52" s="23">
        <f t="shared" si="47"/>
        <v>139.17808219178082</v>
      </c>
      <c r="Y52" s="23">
        <f t="shared" si="47"/>
        <v>139.17808219178082</v>
      </c>
      <c r="Z52" s="23">
        <f t="shared" si="47"/>
        <v>139.17808219178082</v>
      </c>
      <c r="AA52" s="23">
        <f t="shared" si="47"/>
        <v>139.17808219178082</v>
      </c>
      <c r="AB52" s="23">
        <f t="shared" si="47"/>
        <v>139.17808219178082</v>
      </c>
    </row>
    <row r="53" spans="1:28" ht="15.75" customHeight="1" x14ac:dyDescent="0.3">
      <c r="A53" s="12">
        <f>RAW!$A$13</f>
        <v>102000</v>
      </c>
      <c r="B53" s="2"/>
      <c r="C53" s="24" t="s">
        <v>26</v>
      </c>
      <c r="D53" s="23">
        <f t="shared" si="40"/>
        <v>279.45205479452056</v>
      </c>
      <c r="E53" s="2"/>
      <c r="F53" s="24" t="s">
        <v>26</v>
      </c>
      <c r="G53" s="23">
        <f t="shared" ref="G53:AB53" si="48">($A53/G$5)/365</f>
        <v>279.45205479452056</v>
      </c>
      <c r="H53" s="23">
        <f t="shared" si="48"/>
        <v>279.45205479452056</v>
      </c>
      <c r="I53" s="23">
        <f t="shared" si="48"/>
        <v>279.45205479452056</v>
      </c>
      <c r="J53" s="23">
        <f t="shared" si="48"/>
        <v>279.45205479452056</v>
      </c>
      <c r="K53" s="23">
        <f t="shared" si="48"/>
        <v>279.45205479452056</v>
      </c>
      <c r="L53" s="23">
        <f t="shared" si="48"/>
        <v>279.45205479452056</v>
      </c>
      <c r="M53" s="23">
        <f t="shared" si="48"/>
        <v>279.45205479452056</v>
      </c>
      <c r="N53" s="23">
        <f t="shared" si="48"/>
        <v>279.45205479452056</v>
      </c>
      <c r="O53" s="23">
        <f t="shared" si="48"/>
        <v>279.45205479452056</v>
      </c>
      <c r="P53" s="23">
        <f t="shared" si="48"/>
        <v>279.45205479452056</v>
      </c>
      <c r="Q53" s="23">
        <f t="shared" si="48"/>
        <v>279.45205479452056</v>
      </c>
      <c r="R53" s="23">
        <f t="shared" si="48"/>
        <v>279.45205479452056</v>
      </c>
      <c r="S53" s="23">
        <f t="shared" si="48"/>
        <v>279.45205479452056</v>
      </c>
      <c r="T53" s="23">
        <f t="shared" si="48"/>
        <v>279.45205479452056</v>
      </c>
      <c r="U53" s="23">
        <f t="shared" si="48"/>
        <v>279.45205479452056</v>
      </c>
      <c r="V53" s="23">
        <f t="shared" si="48"/>
        <v>279.45205479452056</v>
      </c>
      <c r="W53" s="23">
        <f t="shared" si="48"/>
        <v>279.45205479452056</v>
      </c>
      <c r="X53" s="23">
        <f t="shared" si="48"/>
        <v>279.45205479452056</v>
      </c>
      <c r="Y53" s="23">
        <f t="shared" si="48"/>
        <v>279.45205479452056</v>
      </c>
      <c r="Z53" s="23">
        <f t="shared" si="48"/>
        <v>279.45205479452056</v>
      </c>
      <c r="AA53" s="23">
        <f t="shared" si="48"/>
        <v>279.45205479452056</v>
      </c>
      <c r="AB53" s="23">
        <f t="shared" si="48"/>
        <v>279.45205479452056</v>
      </c>
    </row>
    <row r="54" spans="1:28" ht="15.75" customHeight="1" x14ac:dyDescent="0.3">
      <c r="A54" s="12">
        <f>RAW!$A$14</f>
        <v>204400</v>
      </c>
      <c r="B54" s="2"/>
      <c r="C54" s="24" t="s">
        <v>27</v>
      </c>
      <c r="D54" s="23">
        <f t="shared" si="40"/>
        <v>560</v>
      </c>
      <c r="E54" s="2"/>
      <c r="F54" s="24" t="s">
        <v>27</v>
      </c>
      <c r="G54" s="23">
        <f t="shared" ref="G54:AB54" si="49">($A54/G$5)/365</f>
        <v>560</v>
      </c>
      <c r="H54" s="23">
        <f t="shared" si="49"/>
        <v>560</v>
      </c>
      <c r="I54" s="23">
        <f t="shared" si="49"/>
        <v>560</v>
      </c>
      <c r="J54" s="23">
        <f t="shared" si="49"/>
        <v>560</v>
      </c>
      <c r="K54" s="23">
        <f t="shared" si="49"/>
        <v>560</v>
      </c>
      <c r="L54" s="23">
        <f t="shared" si="49"/>
        <v>560</v>
      </c>
      <c r="M54" s="23">
        <f t="shared" si="49"/>
        <v>560</v>
      </c>
      <c r="N54" s="23">
        <f t="shared" si="49"/>
        <v>560</v>
      </c>
      <c r="O54" s="23">
        <f t="shared" si="49"/>
        <v>560</v>
      </c>
      <c r="P54" s="23">
        <f t="shared" si="49"/>
        <v>560</v>
      </c>
      <c r="Q54" s="23">
        <f t="shared" si="49"/>
        <v>560</v>
      </c>
      <c r="R54" s="23">
        <f t="shared" si="49"/>
        <v>560</v>
      </c>
      <c r="S54" s="23">
        <f t="shared" si="49"/>
        <v>560</v>
      </c>
      <c r="T54" s="23">
        <f t="shared" si="49"/>
        <v>560</v>
      </c>
      <c r="U54" s="23">
        <f t="shared" si="49"/>
        <v>560</v>
      </c>
      <c r="V54" s="23">
        <f t="shared" si="49"/>
        <v>560</v>
      </c>
      <c r="W54" s="23">
        <f t="shared" si="49"/>
        <v>560</v>
      </c>
      <c r="X54" s="23">
        <f t="shared" si="49"/>
        <v>560</v>
      </c>
      <c r="Y54" s="23">
        <f t="shared" si="49"/>
        <v>560</v>
      </c>
      <c r="Z54" s="23">
        <f t="shared" si="49"/>
        <v>560</v>
      </c>
      <c r="AA54" s="23">
        <f t="shared" si="49"/>
        <v>560</v>
      </c>
      <c r="AB54" s="23">
        <f t="shared" si="49"/>
        <v>560</v>
      </c>
    </row>
    <row r="55" spans="1:28" ht="15.75" customHeight="1" x14ac:dyDescent="0.3">
      <c r="A55" s="12">
        <f>RAW!$A$15</f>
        <v>409200</v>
      </c>
      <c r="B55" s="2"/>
      <c r="C55" s="24" t="s">
        <v>28</v>
      </c>
      <c r="D55" s="23">
        <f t="shared" si="40"/>
        <v>1121.0958904109589</v>
      </c>
      <c r="E55" s="2"/>
      <c r="F55" s="24" t="s">
        <v>28</v>
      </c>
      <c r="G55" s="23">
        <f t="shared" ref="G55:AB55" si="50">($A55/G$5)/365</f>
        <v>1121.0958904109589</v>
      </c>
      <c r="H55" s="23">
        <f t="shared" si="50"/>
        <v>1121.0958904109589</v>
      </c>
      <c r="I55" s="23">
        <f t="shared" si="50"/>
        <v>1121.0958904109589</v>
      </c>
      <c r="J55" s="23">
        <f t="shared" si="50"/>
        <v>1121.0958904109589</v>
      </c>
      <c r="K55" s="23">
        <f t="shared" si="50"/>
        <v>1121.0958904109589</v>
      </c>
      <c r="L55" s="23">
        <f t="shared" si="50"/>
        <v>1121.0958904109589</v>
      </c>
      <c r="M55" s="23">
        <f t="shared" si="50"/>
        <v>1121.0958904109589</v>
      </c>
      <c r="N55" s="23">
        <f t="shared" si="50"/>
        <v>1121.0958904109589</v>
      </c>
      <c r="O55" s="23">
        <f t="shared" si="50"/>
        <v>1121.0958904109589</v>
      </c>
      <c r="P55" s="23">
        <f t="shared" si="50"/>
        <v>1121.0958904109589</v>
      </c>
      <c r="Q55" s="23">
        <f t="shared" si="50"/>
        <v>1121.0958904109589</v>
      </c>
      <c r="R55" s="23">
        <f t="shared" si="50"/>
        <v>1121.0958904109589</v>
      </c>
      <c r="S55" s="23">
        <f t="shared" si="50"/>
        <v>1121.0958904109589</v>
      </c>
      <c r="T55" s="23">
        <f t="shared" si="50"/>
        <v>1121.0958904109589</v>
      </c>
      <c r="U55" s="23">
        <f t="shared" si="50"/>
        <v>1121.0958904109589</v>
      </c>
      <c r="V55" s="23">
        <f t="shared" si="50"/>
        <v>1121.0958904109589</v>
      </c>
      <c r="W55" s="23">
        <f t="shared" si="50"/>
        <v>1121.0958904109589</v>
      </c>
      <c r="X55" s="23">
        <f t="shared" si="50"/>
        <v>1121.0958904109589</v>
      </c>
      <c r="Y55" s="23">
        <f t="shared" si="50"/>
        <v>1121.0958904109589</v>
      </c>
      <c r="Z55" s="23">
        <f t="shared" si="50"/>
        <v>1121.0958904109589</v>
      </c>
      <c r="AA55" s="23">
        <f t="shared" si="50"/>
        <v>1121.0958904109589</v>
      </c>
      <c r="AB55" s="23">
        <f t="shared" si="50"/>
        <v>1121.0958904109589</v>
      </c>
    </row>
    <row r="56" spans="1:28" ht="15.75" customHeight="1" x14ac:dyDescent="0.3">
      <c r="A56" s="12">
        <f>RAW!$A$16</f>
        <v>818800</v>
      </c>
      <c r="B56" s="2"/>
      <c r="C56" s="24" t="s">
        <v>29</v>
      </c>
      <c r="D56" s="23">
        <f t="shared" si="40"/>
        <v>2243.2876712328766</v>
      </c>
      <c r="E56" s="2"/>
      <c r="F56" s="24" t="s">
        <v>29</v>
      </c>
      <c r="G56" s="23">
        <f t="shared" ref="G56:AB56" si="51">($A56/G$5)/365</f>
        <v>2243.2876712328766</v>
      </c>
      <c r="H56" s="23">
        <f t="shared" si="51"/>
        <v>2243.2876712328766</v>
      </c>
      <c r="I56" s="23">
        <f t="shared" si="51"/>
        <v>2243.2876712328766</v>
      </c>
      <c r="J56" s="23">
        <f t="shared" si="51"/>
        <v>2243.2876712328766</v>
      </c>
      <c r="K56" s="23">
        <f t="shared" si="51"/>
        <v>2243.2876712328766</v>
      </c>
      <c r="L56" s="23">
        <f t="shared" si="51"/>
        <v>2243.2876712328766</v>
      </c>
      <c r="M56" s="23">
        <f t="shared" si="51"/>
        <v>2243.2876712328766</v>
      </c>
      <c r="N56" s="23">
        <f t="shared" si="51"/>
        <v>2243.2876712328766</v>
      </c>
      <c r="O56" s="23">
        <f t="shared" si="51"/>
        <v>2243.2876712328766</v>
      </c>
      <c r="P56" s="23">
        <f t="shared" si="51"/>
        <v>2243.2876712328766</v>
      </c>
      <c r="Q56" s="23">
        <f t="shared" si="51"/>
        <v>2243.2876712328766</v>
      </c>
      <c r="R56" s="23">
        <f t="shared" si="51"/>
        <v>2243.2876712328766</v>
      </c>
      <c r="S56" s="23">
        <f t="shared" si="51"/>
        <v>2243.2876712328766</v>
      </c>
      <c r="T56" s="23">
        <f t="shared" si="51"/>
        <v>2243.2876712328766</v>
      </c>
      <c r="U56" s="23">
        <f t="shared" si="51"/>
        <v>2243.2876712328766</v>
      </c>
      <c r="V56" s="23">
        <f t="shared" si="51"/>
        <v>2243.2876712328766</v>
      </c>
      <c r="W56" s="23">
        <f t="shared" si="51"/>
        <v>2243.2876712328766</v>
      </c>
      <c r="X56" s="23">
        <f t="shared" si="51"/>
        <v>2243.2876712328766</v>
      </c>
      <c r="Y56" s="23">
        <f t="shared" si="51"/>
        <v>2243.2876712328766</v>
      </c>
      <c r="Z56" s="23">
        <f t="shared" si="51"/>
        <v>2243.2876712328766</v>
      </c>
      <c r="AA56" s="23">
        <f t="shared" si="51"/>
        <v>2243.2876712328766</v>
      </c>
      <c r="AB56" s="23">
        <f t="shared" si="51"/>
        <v>2243.2876712328766</v>
      </c>
    </row>
    <row r="57" spans="1:28" ht="15.75" customHeight="1" x14ac:dyDescent="0.3">
      <c r="A57" s="12">
        <f>RAW!$A$17</f>
        <v>1638000</v>
      </c>
      <c r="B57" s="2"/>
      <c r="C57" s="24" t="s">
        <v>30</v>
      </c>
      <c r="D57" s="23">
        <f t="shared" si="40"/>
        <v>4487.6712328767126</v>
      </c>
      <c r="E57" s="2"/>
      <c r="F57" s="24" t="s">
        <v>30</v>
      </c>
      <c r="G57" s="23">
        <f t="shared" ref="G57:AB57" si="52">($A57/G$5)/365</f>
        <v>4487.6712328767126</v>
      </c>
      <c r="H57" s="23">
        <f t="shared" si="52"/>
        <v>4487.6712328767126</v>
      </c>
      <c r="I57" s="23">
        <f t="shared" si="52"/>
        <v>4487.6712328767126</v>
      </c>
      <c r="J57" s="23">
        <f t="shared" si="52"/>
        <v>4487.6712328767126</v>
      </c>
      <c r="K57" s="23">
        <f t="shared" si="52"/>
        <v>4487.6712328767126</v>
      </c>
      <c r="L57" s="23">
        <f t="shared" si="52"/>
        <v>4487.6712328767126</v>
      </c>
      <c r="M57" s="23">
        <f t="shared" si="52"/>
        <v>4487.6712328767126</v>
      </c>
      <c r="N57" s="23">
        <f t="shared" si="52"/>
        <v>4487.6712328767126</v>
      </c>
      <c r="O57" s="23">
        <f t="shared" si="52"/>
        <v>4487.6712328767126</v>
      </c>
      <c r="P57" s="23">
        <f t="shared" si="52"/>
        <v>4487.6712328767126</v>
      </c>
      <c r="Q57" s="23">
        <f t="shared" si="52"/>
        <v>4487.6712328767126</v>
      </c>
      <c r="R57" s="23">
        <f t="shared" si="52"/>
        <v>4487.6712328767126</v>
      </c>
      <c r="S57" s="23">
        <f t="shared" si="52"/>
        <v>4487.6712328767126</v>
      </c>
      <c r="T57" s="23">
        <f t="shared" si="52"/>
        <v>4487.6712328767126</v>
      </c>
      <c r="U57" s="23">
        <f t="shared" si="52"/>
        <v>4487.6712328767126</v>
      </c>
      <c r="V57" s="23">
        <f t="shared" si="52"/>
        <v>4487.6712328767126</v>
      </c>
      <c r="W57" s="23">
        <f t="shared" si="52"/>
        <v>4487.6712328767126</v>
      </c>
      <c r="X57" s="23">
        <f t="shared" si="52"/>
        <v>4487.6712328767126</v>
      </c>
      <c r="Y57" s="23">
        <f t="shared" si="52"/>
        <v>4487.6712328767126</v>
      </c>
      <c r="Z57" s="23">
        <f t="shared" si="52"/>
        <v>4487.6712328767126</v>
      </c>
      <c r="AA57" s="23">
        <f t="shared" si="52"/>
        <v>4487.6712328767126</v>
      </c>
      <c r="AB57" s="23">
        <f t="shared" si="52"/>
        <v>4487.6712328767126</v>
      </c>
    </row>
    <row r="58" spans="1:28" ht="15.75" customHeight="1" x14ac:dyDescent="0.3">
      <c r="A58" s="12">
        <f>RAW!$A$18</f>
        <v>3276400</v>
      </c>
      <c r="B58" s="2"/>
      <c r="C58" s="24" t="s">
        <v>31</v>
      </c>
      <c r="D58" s="23">
        <f t="shared" si="40"/>
        <v>8976.4383561643845</v>
      </c>
      <c r="E58" s="2"/>
      <c r="F58" s="24" t="s">
        <v>31</v>
      </c>
      <c r="G58" s="23">
        <f t="shared" ref="G58:AB58" si="53">($A58/G$5)/365</f>
        <v>8976.4383561643845</v>
      </c>
      <c r="H58" s="23">
        <f t="shared" si="53"/>
        <v>8976.4383561643845</v>
      </c>
      <c r="I58" s="23">
        <f t="shared" si="53"/>
        <v>8976.4383561643845</v>
      </c>
      <c r="J58" s="23">
        <f t="shared" si="53"/>
        <v>8976.4383561643845</v>
      </c>
      <c r="K58" s="23">
        <f t="shared" si="53"/>
        <v>8976.4383561643845</v>
      </c>
      <c r="L58" s="23">
        <f t="shared" si="53"/>
        <v>8976.4383561643845</v>
      </c>
      <c r="M58" s="23">
        <f t="shared" si="53"/>
        <v>8976.4383561643845</v>
      </c>
      <c r="N58" s="23">
        <f t="shared" si="53"/>
        <v>8976.4383561643845</v>
      </c>
      <c r="O58" s="23">
        <f t="shared" si="53"/>
        <v>8976.4383561643845</v>
      </c>
      <c r="P58" s="23">
        <f t="shared" si="53"/>
        <v>8976.4383561643845</v>
      </c>
      <c r="Q58" s="23">
        <f t="shared" si="53"/>
        <v>8976.4383561643845</v>
      </c>
      <c r="R58" s="23">
        <f t="shared" si="53"/>
        <v>8976.4383561643845</v>
      </c>
      <c r="S58" s="23">
        <f t="shared" si="53"/>
        <v>8976.4383561643845</v>
      </c>
      <c r="T58" s="23">
        <f t="shared" si="53"/>
        <v>8976.4383561643845</v>
      </c>
      <c r="U58" s="23">
        <f t="shared" si="53"/>
        <v>8976.4383561643845</v>
      </c>
      <c r="V58" s="23">
        <f t="shared" si="53"/>
        <v>8976.4383561643845</v>
      </c>
      <c r="W58" s="23">
        <f t="shared" si="53"/>
        <v>8976.4383561643845</v>
      </c>
      <c r="X58" s="23">
        <f t="shared" si="53"/>
        <v>8976.4383561643845</v>
      </c>
      <c r="Y58" s="23">
        <f t="shared" si="53"/>
        <v>8976.4383561643845</v>
      </c>
      <c r="Z58" s="23">
        <f t="shared" si="53"/>
        <v>8976.4383561643845</v>
      </c>
      <c r="AA58" s="23">
        <f t="shared" si="53"/>
        <v>8976.4383561643845</v>
      </c>
      <c r="AB58" s="23">
        <f t="shared" si="53"/>
        <v>8976.4383561643845</v>
      </c>
    </row>
    <row r="59" spans="1:28" ht="15.75" customHeight="1" x14ac:dyDescent="0.3">
      <c r="A59" s="12">
        <f>RAW!$A$19</f>
        <v>6553200</v>
      </c>
      <c r="B59" s="2"/>
      <c r="C59" s="24" t="s">
        <v>32</v>
      </c>
      <c r="D59" s="23">
        <f t="shared" si="40"/>
        <v>17953.972602739726</v>
      </c>
      <c r="E59" s="2"/>
      <c r="F59" s="24" t="s">
        <v>32</v>
      </c>
      <c r="G59" s="23">
        <f t="shared" ref="G59:AB59" si="54">($A59/G$5)/365</f>
        <v>17953.972602739726</v>
      </c>
      <c r="H59" s="23">
        <f t="shared" si="54"/>
        <v>17953.972602739726</v>
      </c>
      <c r="I59" s="23">
        <f t="shared" si="54"/>
        <v>17953.972602739726</v>
      </c>
      <c r="J59" s="23">
        <f t="shared" si="54"/>
        <v>17953.972602739726</v>
      </c>
      <c r="K59" s="23">
        <f t="shared" si="54"/>
        <v>17953.972602739726</v>
      </c>
      <c r="L59" s="23">
        <f t="shared" si="54"/>
        <v>17953.972602739726</v>
      </c>
      <c r="M59" s="23">
        <f t="shared" si="54"/>
        <v>17953.972602739726</v>
      </c>
      <c r="N59" s="23">
        <f t="shared" si="54"/>
        <v>17953.972602739726</v>
      </c>
      <c r="O59" s="23">
        <f t="shared" si="54"/>
        <v>17953.972602739726</v>
      </c>
      <c r="P59" s="23">
        <f t="shared" si="54"/>
        <v>17953.972602739726</v>
      </c>
      <c r="Q59" s="23">
        <f t="shared" si="54"/>
        <v>17953.972602739726</v>
      </c>
      <c r="R59" s="23">
        <f t="shared" si="54"/>
        <v>17953.972602739726</v>
      </c>
      <c r="S59" s="23">
        <f t="shared" si="54"/>
        <v>17953.972602739726</v>
      </c>
      <c r="T59" s="23">
        <f t="shared" si="54"/>
        <v>17953.972602739726</v>
      </c>
      <c r="U59" s="23">
        <f t="shared" si="54"/>
        <v>17953.972602739726</v>
      </c>
      <c r="V59" s="23">
        <f t="shared" si="54"/>
        <v>17953.972602739726</v>
      </c>
      <c r="W59" s="23">
        <f t="shared" si="54"/>
        <v>17953.972602739726</v>
      </c>
      <c r="X59" s="23">
        <f t="shared" si="54"/>
        <v>17953.972602739726</v>
      </c>
      <c r="Y59" s="23">
        <f t="shared" si="54"/>
        <v>17953.972602739726</v>
      </c>
      <c r="Z59" s="23">
        <f t="shared" si="54"/>
        <v>17953.972602739726</v>
      </c>
      <c r="AA59" s="23">
        <f t="shared" si="54"/>
        <v>17953.972602739726</v>
      </c>
      <c r="AB59" s="23">
        <f t="shared" si="54"/>
        <v>17953.972602739726</v>
      </c>
    </row>
    <row r="60" spans="1:28" ht="15.75" customHeight="1" x14ac:dyDescent="0.3">
      <c r="A60" s="12">
        <f>RAW!$A$20</f>
        <v>13106800</v>
      </c>
      <c r="B60" s="2"/>
      <c r="C60" s="24" t="s">
        <v>33</v>
      </c>
      <c r="D60" s="23">
        <f t="shared" si="40"/>
        <v>35909.04109589041</v>
      </c>
      <c r="E60" s="2"/>
      <c r="F60" s="24" t="s">
        <v>33</v>
      </c>
      <c r="G60" s="23">
        <f t="shared" ref="G60:AB60" si="55">($A60/G$5)/365</f>
        <v>35909.04109589041</v>
      </c>
      <c r="H60" s="23">
        <f t="shared" si="55"/>
        <v>35909.04109589041</v>
      </c>
      <c r="I60" s="23">
        <f t="shared" si="55"/>
        <v>35909.04109589041</v>
      </c>
      <c r="J60" s="23">
        <f t="shared" si="55"/>
        <v>35909.04109589041</v>
      </c>
      <c r="K60" s="23">
        <f t="shared" si="55"/>
        <v>35909.04109589041</v>
      </c>
      <c r="L60" s="23">
        <f t="shared" si="55"/>
        <v>35909.04109589041</v>
      </c>
      <c r="M60" s="23">
        <f t="shared" si="55"/>
        <v>35909.04109589041</v>
      </c>
      <c r="N60" s="23">
        <f t="shared" si="55"/>
        <v>35909.04109589041</v>
      </c>
      <c r="O60" s="23">
        <f t="shared" si="55"/>
        <v>35909.04109589041</v>
      </c>
      <c r="P60" s="23">
        <f t="shared" si="55"/>
        <v>35909.04109589041</v>
      </c>
      <c r="Q60" s="23">
        <f t="shared" si="55"/>
        <v>35909.04109589041</v>
      </c>
      <c r="R60" s="23">
        <f t="shared" si="55"/>
        <v>35909.04109589041</v>
      </c>
      <c r="S60" s="23">
        <f t="shared" si="55"/>
        <v>35909.04109589041</v>
      </c>
      <c r="T60" s="23">
        <f t="shared" si="55"/>
        <v>35909.04109589041</v>
      </c>
      <c r="U60" s="23">
        <f t="shared" si="55"/>
        <v>35909.04109589041</v>
      </c>
      <c r="V60" s="23">
        <f t="shared" si="55"/>
        <v>35909.04109589041</v>
      </c>
      <c r="W60" s="23">
        <f t="shared" si="55"/>
        <v>35909.04109589041</v>
      </c>
      <c r="X60" s="23">
        <f t="shared" si="55"/>
        <v>35909.04109589041</v>
      </c>
      <c r="Y60" s="23">
        <f t="shared" si="55"/>
        <v>35909.04109589041</v>
      </c>
      <c r="Z60" s="23">
        <f t="shared" si="55"/>
        <v>35909.04109589041</v>
      </c>
      <c r="AA60" s="23">
        <f t="shared" si="55"/>
        <v>35909.04109589041</v>
      </c>
      <c r="AB60" s="23">
        <f t="shared" si="55"/>
        <v>35909.04109589041</v>
      </c>
    </row>
    <row r="61" spans="1:28" ht="15.75" customHeight="1" x14ac:dyDescent="0.3">
      <c r="A61" s="12">
        <f>RAW!$A$21</f>
        <v>26214000</v>
      </c>
      <c r="B61" s="2"/>
      <c r="C61" s="24" t="s">
        <v>34</v>
      </c>
      <c r="D61" s="23">
        <f t="shared" si="40"/>
        <v>71819.178082191778</v>
      </c>
      <c r="E61" s="2"/>
      <c r="F61" s="24" t="s">
        <v>34</v>
      </c>
      <c r="G61" s="23">
        <f t="shared" ref="G61:AB61" si="56">($A61/G$5)/365</f>
        <v>71819.178082191778</v>
      </c>
      <c r="H61" s="23">
        <f t="shared" si="56"/>
        <v>71819.178082191778</v>
      </c>
      <c r="I61" s="23">
        <f t="shared" si="56"/>
        <v>71819.178082191778</v>
      </c>
      <c r="J61" s="23">
        <f t="shared" si="56"/>
        <v>71819.178082191778</v>
      </c>
      <c r="K61" s="23">
        <f t="shared" si="56"/>
        <v>71819.178082191778</v>
      </c>
      <c r="L61" s="23">
        <f t="shared" si="56"/>
        <v>71819.178082191778</v>
      </c>
      <c r="M61" s="23">
        <f t="shared" si="56"/>
        <v>71819.178082191778</v>
      </c>
      <c r="N61" s="23">
        <f t="shared" si="56"/>
        <v>71819.178082191778</v>
      </c>
      <c r="O61" s="23">
        <f t="shared" si="56"/>
        <v>71819.178082191778</v>
      </c>
      <c r="P61" s="23">
        <f t="shared" si="56"/>
        <v>71819.178082191778</v>
      </c>
      <c r="Q61" s="23">
        <f t="shared" si="56"/>
        <v>71819.178082191778</v>
      </c>
      <c r="R61" s="23">
        <f t="shared" si="56"/>
        <v>71819.178082191778</v>
      </c>
      <c r="S61" s="23">
        <f t="shared" si="56"/>
        <v>71819.178082191778</v>
      </c>
      <c r="T61" s="23">
        <f t="shared" si="56"/>
        <v>71819.178082191778</v>
      </c>
      <c r="U61" s="23">
        <f t="shared" si="56"/>
        <v>71819.178082191778</v>
      </c>
      <c r="V61" s="23">
        <f t="shared" si="56"/>
        <v>71819.178082191778</v>
      </c>
      <c r="W61" s="23">
        <f t="shared" si="56"/>
        <v>71819.178082191778</v>
      </c>
      <c r="X61" s="23">
        <f t="shared" si="56"/>
        <v>71819.178082191778</v>
      </c>
      <c r="Y61" s="23">
        <f t="shared" si="56"/>
        <v>71819.178082191778</v>
      </c>
      <c r="Z61" s="23">
        <f t="shared" si="56"/>
        <v>71819.178082191778</v>
      </c>
      <c r="AA61" s="23">
        <f t="shared" si="56"/>
        <v>71819.178082191778</v>
      </c>
      <c r="AB61" s="23">
        <f t="shared" si="56"/>
        <v>71819.178082191778</v>
      </c>
    </row>
    <row r="62" spans="1:28" ht="15.75" customHeight="1" x14ac:dyDescent="0.3">
      <c r="A62" s="12">
        <f>RAW!$A$22</f>
        <v>52428400</v>
      </c>
      <c r="B62" s="2"/>
      <c r="C62" s="24" t="s">
        <v>35</v>
      </c>
      <c r="D62" s="23">
        <f t="shared" si="40"/>
        <v>143639.45205479453</v>
      </c>
      <c r="E62" s="2"/>
      <c r="F62" s="24" t="s">
        <v>35</v>
      </c>
      <c r="G62" s="23">
        <f t="shared" ref="G62:AB62" si="57">($A62/G$5)/365</f>
        <v>143639.45205479453</v>
      </c>
      <c r="H62" s="23">
        <f t="shared" si="57"/>
        <v>143639.45205479453</v>
      </c>
      <c r="I62" s="23">
        <f t="shared" si="57"/>
        <v>143639.45205479453</v>
      </c>
      <c r="J62" s="23">
        <f t="shared" si="57"/>
        <v>143639.45205479453</v>
      </c>
      <c r="K62" s="23">
        <f t="shared" si="57"/>
        <v>143639.45205479453</v>
      </c>
      <c r="L62" s="23">
        <f t="shared" si="57"/>
        <v>143639.45205479453</v>
      </c>
      <c r="M62" s="23">
        <f t="shared" si="57"/>
        <v>143639.45205479453</v>
      </c>
      <c r="N62" s="23">
        <f t="shared" si="57"/>
        <v>143639.45205479453</v>
      </c>
      <c r="O62" s="23">
        <f t="shared" si="57"/>
        <v>143639.45205479453</v>
      </c>
      <c r="P62" s="23">
        <f t="shared" si="57"/>
        <v>143639.45205479453</v>
      </c>
      <c r="Q62" s="23">
        <f t="shared" si="57"/>
        <v>143639.45205479453</v>
      </c>
      <c r="R62" s="23">
        <f t="shared" si="57"/>
        <v>143639.45205479453</v>
      </c>
      <c r="S62" s="23">
        <f t="shared" si="57"/>
        <v>143639.45205479453</v>
      </c>
      <c r="T62" s="23">
        <f t="shared" si="57"/>
        <v>143639.45205479453</v>
      </c>
      <c r="U62" s="23">
        <f t="shared" si="57"/>
        <v>143639.45205479453</v>
      </c>
      <c r="V62" s="23">
        <f t="shared" si="57"/>
        <v>143639.45205479453</v>
      </c>
      <c r="W62" s="23">
        <f t="shared" si="57"/>
        <v>143639.45205479453</v>
      </c>
      <c r="X62" s="23">
        <f t="shared" si="57"/>
        <v>143639.45205479453</v>
      </c>
      <c r="Y62" s="23">
        <f t="shared" si="57"/>
        <v>143639.45205479453</v>
      </c>
      <c r="Z62" s="23">
        <f t="shared" si="57"/>
        <v>143639.45205479453</v>
      </c>
      <c r="AA62" s="23">
        <f t="shared" si="57"/>
        <v>143639.45205479453</v>
      </c>
      <c r="AB62" s="23">
        <f t="shared" si="57"/>
        <v>143639.45205479453</v>
      </c>
    </row>
    <row r="63" spans="1:28" ht="15.75" customHeight="1" x14ac:dyDescent="0.3">
      <c r="B63" s="2"/>
      <c r="E63" s="2"/>
    </row>
    <row r="64" spans="1:28" ht="15.75" customHeight="1" x14ac:dyDescent="0.3">
      <c r="B64" s="2"/>
      <c r="E64" s="2"/>
    </row>
    <row r="65" spans="2:5" ht="15.75" customHeight="1" x14ac:dyDescent="0.3">
      <c r="B65" s="2"/>
      <c r="E65" s="2"/>
    </row>
    <row r="66" spans="2:5" ht="15.75" customHeight="1" x14ac:dyDescent="0.3">
      <c r="B66" s="2"/>
      <c r="E66" s="2"/>
    </row>
    <row r="67" spans="2:5" ht="15.75" customHeight="1" x14ac:dyDescent="0.3">
      <c r="B67" s="2"/>
      <c r="E67" s="2"/>
    </row>
    <row r="68" spans="2:5" ht="15.75" customHeight="1" x14ac:dyDescent="0.3">
      <c r="B68" s="2"/>
      <c r="E68" s="2"/>
    </row>
    <row r="69" spans="2:5" ht="15.75" customHeight="1" x14ac:dyDescent="0.3">
      <c r="B69" s="2"/>
      <c r="E69" s="2"/>
    </row>
    <row r="70" spans="2:5" ht="15.75" customHeight="1" x14ac:dyDescent="0.3">
      <c r="B70" s="2"/>
      <c r="E70" s="2"/>
    </row>
    <row r="71" spans="2:5" ht="15.75" customHeight="1" x14ac:dyDescent="0.3">
      <c r="B71" s="2"/>
      <c r="E71" s="2"/>
    </row>
    <row r="72" spans="2:5" ht="15.75" customHeight="1" x14ac:dyDescent="0.3">
      <c r="B72" s="2"/>
      <c r="E72" s="2"/>
    </row>
    <row r="73" spans="2:5" ht="15.75" customHeight="1" x14ac:dyDescent="0.3">
      <c r="B73" s="2"/>
      <c r="E73" s="2"/>
    </row>
    <row r="74" spans="2:5" ht="15.75" customHeight="1" x14ac:dyDescent="0.3">
      <c r="B74" s="2"/>
      <c r="E74" s="2"/>
    </row>
    <row r="75" spans="2:5" ht="15.75" customHeight="1" x14ac:dyDescent="0.3">
      <c r="B75" s="2"/>
      <c r="E75" s="2"/>
    </row>
    <row r="76" spans="2:5" ht="15.75" customHeight="1" x14ac:dyDescent="0.3">
      <c r="B76" s="2"/>
      <c r="E76" s="2"/>
    </row>
    <row r="77" spans="2:5" ht="15.75" customHeight="1" x14ac:dyDescent="0.3">
      <c r="B77" s="2"/>
      <c r="E77" s="2"/>
    </row>
    <row r="78" spans="2:5" ht="15.75" customHeight="1" x14ac:dyDescent="0.3">
      <c r="B78" s="2"/>
      <c r="E78" s="2"/>
    </row>
    <row r="79" spans="2:5" ht="15.75" customHeight="1" x14ac:dyDescent="0.3">
      <c r="B79" s="2"/>
      <c r="E79" s="2"/>
    </row>
    <row r="80" spans="2:5" ht="15.75" customHeight="1" x14ac:dyDescent="0.3">
      <c r="B80" s="2"/>
      <c r="E80" s="2"/>
    </row>
    <row r="81" spans="2:5" ht="15.75" customHeight="1" x14ac:dyDescent="0.3">
      <c r="B81" s="2"/>
      <c r="E81" s="2"/>
    </row>
    <row r="82" spans="2:5" ht="15.75" customHeight="1" x14ac:dyDescent="0.3">
      <c r="B82" s="2"/>
      <c r="E82" s="2"/>
    </row>
    <row r="83" spans="2:5" ht="15.75" customHeight="1" x14ac:dyDescent="0.3">
      <c r="B83" s="2"/>
      <c r="E83" s="2"/>
    </row>
    <row r="84" spans="2:5" ht="15.75" customHeight="1" x14ac:dyDescent="0.3">
      <c r="B84" s="2"/>
      <c r="E84" s="2"/>
    </row>
    <row r="85" spans="2:5" ht="15.75" customHeight="1" x14ac:dyDescent="0.3">
      <c r="B85" s="2"/>
      <c r="E85" s="2"/>
    </row>
    <row r="86" spans="2:5" ht="15.75" customHeight="1" x14ac:dyDescent="0.3">
      <c r="B86" s="2"/>
      <c r="E86" s="2"/>
    </row>
    <row r="87" spans="2:5" ht="15.75" customHeight="1" x14ac:dyDescent="0.3">
      <c r="B87" s="2"/>
      <c r="E87" s="2"/>
    </row>
    <row r="88" spans="2:5" ht="15.75" customHeight="1" x14ac:dyDescent="0.3">
      <c r="B88" s="2"/>
      <c r="E88" s="2"/>
    </row>
    <row r="89" spans="2:5" ht="15.75" customHeight="1" x14ac:dyDescent="0.3">
      <c r="B89" s="2"/>
      <c r="E89" s="2"/>
    </row>
    <row r="90" spans="2:5" ht="15.75" customHeight="1" x14ac:dyDescent="0.3">
      <c r="B90" s="2"/>
      <c r="E90" s="2"/>
    </row>
    <row r="91" spans="2:5" ht="15.75" customHeight="1" x14ac:dyDescent="0.3">
      <c r="B91" s="2"/>
      <c r="E91" s="2"/>
    </row>
    <row r="92" spans="2:5" ht="15.75" customHeight="1" x14ac:dyDescent="0.3">
      <c r="B92" s="2"/>
      <c r="E92" s="2"/>
    </row>
    <row r="93" spans="2:5" ht="15.75" customHeight="1" x14ac:dyDescent="0.3">
      <c r="B93" s="2"/>
      <c r="E93" s="2"/>
    </row>
    <row r="94" spans="2:5" ht="15.75" customHeight="1" x14ac:dyDescent="0.3">
      <c r="B94" s="2"/>
      <c r="E94" s="2"/>
    </row>
    <row r="95" spans="2:5" ht="15.75" customHeight="1" x14ac:dyDescent="0.3">
      <c r="B95" s="2"/>
      <c r="E95" s="2"/>
    </row>
    <row r="96" spans="2:5" ht="15.75" customHeight="1" x14ac:dyDescent="0.3">
      <c r="B96" s="2"/>
      <c r="E96" s="2"/>
    </row>
    <row r="97" spans="2:5" ht="15.75" customHeight="1" x14ac:dyDescent="0.3">
      <c r="B97" s="2"/>
      <c r="E97" s="2"/>
    </row>
    <row r="98" spans="2:5" ht="15.75" customHeight="1" x14ac:dyDescent="0.3">
      <c r="B98" s="2"/>
      <c r="E98" s="2"/>
    </row>
    <row r="99" spans="2:5" ht="15.75" customHeight="1" x14ac:dyDescent="0.3">
      <c r="B99" s="2"/>
      <c r="E99" s="2"/>
    </row>
    <row r="100" spans="2:5" ht="15.75" customHeight="1" x14ac:dyDescent="0.3">
      <c r="B100" s="2"/>
      <c r="E100" s="2"/>
    </row>
    <row r="101" spans="2:5" ht="15.75" customHeight="1" x14ac:dyDescent="0.3">
      <c r="B101" s="2"/>
      <c r="E101" s="2"/>
    </row>
    <row r="102" spans="2:5" ht="15.75" customHeight="1" x14ac:dyDescent="0.3">
      <c r="B102" s="2"/>
      <c r="E102" s="2"/>
    </row>
    <row r="103" spans="2:5" ht="15.75" customHeight="1" x14ac:dyDescent="0.3">
      <c r="B103" s="2"/>
      <c r="E103" s="2"/>
    </row>
    <row r="104" spans="2:5" ht="15.75" customHeight="1" x14ac:dyDescent="0.3">
      <c r="B104" s="2"/>
      <c r="E104" s="2"/>
    </row>
    <row r="105" spans="2:5" ht="15.75" customHeight="1" x14ac:dyDescent="0.3">
      <c r="B105" s="2"/>
      <c r="E105" s="2"/>
    </row>
    <row r="106" spans="2:5" ht="15.75" customHeight="1" x14ac:dyDescent="0.3">
      <c r="B106" s="2"/>
      <c r="E106" s="2"/>
    </row>
    <row r="107" spans="2:5" ht="15.75" customHeight="1" x14ac:dyDescent="0.3">
      <c r="B107" s="2"/>
      <c r="E107" s="2"/>
    </row>
    <row r="108" spans="2:5" ht="15.75" customHeight="1" x14ac:dyDescent="0.3">
      <c r="B108" s="2"/>
      <c r="E108" s="2"/>
    </row>
    <row r="109" spans="2:5" ht="15.75" customHeight="1" x14ac:dyDescent="0.3">
      <c r="B109" s="2"/>
      <c r="E109" s="2"/>
    </row>
    <row r="110" spans="2:5" ht="15.75" customHeight="1" x14ac:dyDescent="0.3">
      <c r="B110" s="2"/>
      <c r="E110" s="2"/>
    </row>
    <row r="111" spans="2:5" ht="15.75" customHeight="1" x14ac:dyDescent="0.3">
      <c r="B111" s="2"/>
      <c r="E111" s="2"/>
    </row>
    <row r="112" spans="2:5" ht="15.75" customHeight="1" x14ac:dyDescent="0.3">
      <c r="B112" s="2"/>
      <c r="E112" s="2"/>
    </row>
    <row r="113" spans="2:5" ht="15.75" customHeight="1" x14ac:dyDescent="0.3">
      <c r="B113" s="2"/>
      <c r="E113" s="2"/>
    </row>
    <row r="114" spans="2:5" ht="15.75" customHeight="1" x14ac:dyDescent="0.3">
      <c r="B114" s="2"/>
      <c r="E114" s="2"/>
    </row>
    <row r="115" spans="2:5" ht="15.75" customHeight="1" x14ac:dyDescent="0.3">
      <c r="B115" s="2"/>
      <c r="E115" s="2"/>
    </row>
    <row r="116" spans="2:5" ht="15.75" customHeight="1" x14ac:dyDescent="0.3">
      <c r="B116" s="2"/>
      <c r="E116" s="2"/>
    </row>
    <row r="117" spans="2:5" ht="15.75" customHeight="1" x14ac:dyDescent="0.3">
      <c r="B117" s="2"/>
      <c r="E117" s="2"/>
    </row>
    <row r="118" spans="2:5" ht="15.75" customHeight="1" x14ac:dyDescent="0.3">
      <c r="B118" s="2"/>
      <c r="E118" s="2"/>
    </row>
    <row r="119" spans="2:5" ht="15.75" customHeight="1" x14ac:dyDescent="0.3">
      <c r="B119" s="2"/>
      <c r="E119" s="2"/>
    </row>
    <row r="120" spans="2:5" ht="15.75" customHeight="1" x14ac:dyDescent="0.3">
      <c r="B120" s="2"/>
      <c r="E120" s="2"/>
    </row>
    <row r="121" spans="2:5" ht="15.75" customHeight="1" x14ac:dyDescent="0.3">
      <c r="B121" s="2"/>
      <c r="E121" s="2"/>
    </row>
    <row r="122" spans="2:5" ht="15.75" customHeight="1" x14ac:dyDescent="0.3">
      <c r="B122" s="2"/>
      <c r="E122" s="2"/>
    </row>
    <row r="123" spans="2:5" ht="15.75" customHeight="1" x14ac:dyDescent="0.3">
      <c r="B123" s="2"/>
      <c r="E123" s="2"/>
    </row>
    <row r="124" spans="2:5" ht="15.75" customHeight="1" x14ac:dyDescent="0.3">
      <c r="B124" s="2"/>
      <c r="E124" s="2"/>
    </row>
    <row r="125" spans="2:5" ht="15.75" customHeight="1" x14ac:dyDescent="0.3">
      <c r="B125" s="2"/>
      <c r="E125" s="2"/>
    </row>
    <row r="126" spans="2:5" ht="15.75" customHeight="1" x14ac:dyDescent="0.3">
      <c r="B126" s="2"/>
      <c r="E126" s="2"/>
    </row>
    <row r="127" spans="2:5" ht="15.75" customHeight="1" x14ac:dyDescent="0.3">
      <c r="B127" s="2"/>
      <c r="E127" s="2"/>
    </row>
    <row r="128" spans="2:5" ht="15.75" customHeight="1" x14ac:dyDescent="0.3">
      <c r="B128" s="2"/>
      <c r="E128" s="2"/>
    </row>
    <row r="129" spans="2:5" ht="15.75" customHeight="1" x14ac:dyDescent="0.3">
      <c r="B129" s="2"/>
      <c r="E129" s="2"/>
    </row>
    <row r="130" spans="2:5" ht="15.75" customHeight="1" x14ac:dyDescent="0.3">
      <c r="B130" s="2"/>
      <c r="E130" s="2"/>
    </row>
    <row r="131" spans="2:5" ht="15.75" customHeight="1" x14ac:dyDescent="0.3">
      <c r="B131" s="2"/>
      <c r="E131" s="2"/>
    </row>
    <row r="132" spans="2:5" ht="15.75" customHeight="1" x14ac:dyDescent="0.3">
      <c r="B132" s="2"/>
      <c r="E132" s="2"/>
    </row>
    <row r="133" spans="2:5" ht="15.75" customHeight="1" x14ac:dyDescent="0.3">
      <c r="B133" s="2"/>
      <c r="E133" s="2"/>
    </row>
    <row r="134" spans="2:5" ht="15.75" customHeight="1" x14ac:dyDescent="0.3">
      <c r="B134" s="2"/>
      <c r="E134" s="2"/>
    </row>
    <row r="135" spans="2:5" ht="15.75" customHeight="1" x14ac:dyDescent="0.3">
      <c r="B135" s="2"/>
      <c r="E135" s="2"/>
    </row>
    <row r="136" spans="2:5" ht="15.75" customHeight="1" x14ac:dyDescent="0.3">
      <c r="B136" s="2"/>
      <c r="E136" s="2"/>
    </row>
    <row r="137" spans="2:5" ht="15.75" customHeight="1" x14ac:dyDescent="0.3">
      <c r="B137" s="2"/>
      <c r="E137" s="2"/>
    </row>
    <row r="138" spans="2:5" ht="15.75" customHeight="1" x14ac:dyDescent="0.3">
      <c r="B138" s="2"/>
      <c r="E138" s="2"/>
    </row>
    <row r="139" spans="2:5" ht="15.75" customHeight="1" x14ac:dyDescent="0.3">
      <c r="B139" s="2"/>
      <c r="E139" s="2"/>
    </row>
    <row r="140" spans="2:5" ht="15.75" customHeight="1" x14ac:dyDescent="0.3">
      <c r="B140" s="2"/>
      <c r="E140" s="2"/>
    </row>
    <row r="141" spans="2:5" ht="15.75" customHeight="1" x14ac:dyDescent="0.3">
      <c r="B141" s="2"/>
      <c r="E141" s="2"/>
    </row>
    <row r="142" spans="2:5" ht="15.75" customHeight="1" x14ac:dyDescent="0.3">
      <c r="B142" s="2"/>
      <c r="E142" s="2"/>
    </row>
    <row r="143" spans="2:5" ht="15.75" customHeight="1" x14ac:dyDescent="0.3">
      <c r="B143" s="2"/>
      <c r="E143" s="2"/>
    </row>
    <row r="144" spans="2:5" ht="15.75" customHeight="1" x14ac:dyDescent="0.3">
      <c r="B144" s="2"/>
      <c r="E144" s="2"/>
    </row>
    <row r="145" spans="2:5" ht="15.75" customHeight="1" x14ac:dyDescent="0.3">
      <c r="B145" s="2"/>
      <c r="E145" s="2"/>
    </row>
    <row r="146" spans="2:5" ht="15.75" customHeight="1" x14ac:dyDescent="0.3">
      <c r="B146" s="2"/>
      <c r="E146" s="2"/>
    </row>
    <row r="147" spans="2:5" ht="15.75" customHeight="1" x14ac:dyDescent="0.3">
      <c r="B147" s="2"/>
      <c r="E147" s="2"/>
    </row>
    <row r="148" spans="2:5" ht="15.75" customHeight="1" x14ac:dyDescent="0.3">
      <c r="B148" s="2"/>
      <c r="E148" s="2"/>
    </row>
    <row r="149" spans="2:5" ht="15.75" customHeight="1" x14ac:dyDescent="0.3">
      <c r="B149" s="2"/>
      <c r="E149" s="2"/>
    </row>
    <row r="150" spans="2:5" ht="15.75" customHeight="1" x14ac:dyDescent="0.3">
      <c r="B150" s="2"/>
      <c r="E150" s="2"/>
    </row>
    <row r="151" spans="2:5" ht="15.75" customHeight="1" x14ac:dyDescent="0.3">
      <c r="B151" s="2"/>
      <c r="E151" s="2"/>
    </row>
    <row r="152" spans="2:5" ht="15.75" customHeight="1" x14ac:dyDescent="0.3">
      <c r="B152" s="2"/>
      <c r="E152" s="2"/>
    </row>
    <row r="153" spans="2:5" ht="15.75" customHeight="1" x14ac:dyDescent="0.3">
      <c r="B153" s="2"/>
      <c r="E153" s="2"/>
    </row>
    <row r="154" spans="2:5" ht="15.75" customHeight="1" x14ac:dyDescent="0.3">
      <c r="B154" s="2"/>
      <c r="E154" s="2"/>
    </row>
    <row r="155" spans="2:5" ht="15.75" customHeight="1" x14ac:dyDescent="0.3">
      <c r="B155" s="2"/>
      <c r="E155" s="2"/>
    </row>
    <row r="156" spans="2:5" ht="15.75" customHeight="1" x14ac:dyDescent="0.3">
      <c r="B156" s="2"/>
      <c r="E156" s="2"/>
    </row>
    <row r="157" spans="2:5" ht="15.75" customHeight="1" x14ac:dyDescent="0.3">
      <c r="B157" s="2"/>
      <c r="E157" s="2"/>
    </row>
    <row r="158" spans="2:5" ht="15.75" customHeight="1" x14ac:dyDescent="0.3">
      <c r="B158" s="2"/>
      <c r="E158" s="2"/>
    </row>
    <row r="159" spans="2:5" ht="15.75" customHeight="1" x14ac:dyDescent="0.3">
      <c r="B159" s="2"/>
      <c r="E159" s="2"/>
    </row>
    <row r="160" spans="2:5" ht="15.75" customHeight="1" x14ac:dyDescent="0.3">
      <c r="B160" s="2"/>
      <c r="E160" s="2"/>
    </row>
    <row r="161" spans="2:5" ht="15.75" customHeight="1" x14ac:dyDescent="0.3">
      <c r="B161" s="2"/>
      <c r="E161" s="2"/>
    </row>
    <row r="162" spans="2:5" ht="15.75" customHeight="1" x14ac:dyDescent="0.3">
      <c r="B162" s="2"/>
      <c r="E162" s="2"/>
    </row>
    <row r="163" spans="2:5" ht="15.75" customHeight="1" x14ac:dyDescent="0.3">
      <c r="B163" s="2"/>
      <c r="E163" s="2"/>
    </row>
    <row r="164" spans="2:5" ht="15.75" customHeight="1" x14ac:dyDescent="0.3">
      <c r="B164" s="2"/>
      <c r="E164" s="2"/>
    </row>
    <row r="165" spans="2:5" ht="15.75" customHeight="1" x14ac:dyDescent="0.3">
      <c r="B165" s="2"/>
      <c r="E165" s="2"/>
    </row>
    <row r="166" spans="2:5" ht="15.75" customHeight="1" x14ac:dyDescent="0.3">
      <c r="B166" s="2"/>
      <c r="E166" s="2"/>
    </row>
    <row r="167" spans="2:5" ht="15.75" customHeight="1" x14ac:dyDescent="0.3">
      <c r="B167" s="2"/>
      <c r="E167" s="2"/>
    </row>
    <row r="168" spans="2:5" ht="15.75" customHeight="1" x14ac:dyDescent="0.3">
      <c r="B168" s="2"/>
      <c r="E168" s="2"/>
    </row>
    <row r="169" spans="2:5" ht="15.75" customHeight="1" x14ac:dyDescent="0.3">
      <c r="B169" s="2"/>
      <c r="E169" s="2"/>
    </row>
    <row r="170" spans="2:5" ht="15.75" customHeight="1" x14ac:dyDescent="0.3">
      <c r="B170" s="2"/>
      <c r="E170" s="2"/>
    </row>
    <row r="171" spans="2:5" ht="15.75" customHeight="1" x14ac:dyDescent="0.3">
      <c r="B171" s="2"/>
      <c r="E171" s="2"/>
    </row>
    <row r="172" spans="2:5" ht="15.75" customHeight="1" x14ac:dyDescent="0.3">
      <c r="B172" s="2"/>
      <c r="E172" s="2"/>
    </row>
    <row r="173" spans="2:5" ht="15.75" customHeight="1" x14ac:dyDescent="0.3">
      <c r="B173" s="2"/>
      <c r="E173" s="2"/>
    </row>
    <row r="174" spans="2:5" ht="15.75" customHeight="1" x14ac:dyDescent="0.3">
      <c r="B174" s="2"/>
      <c r="E174" s="2"/>
    </row>
    <row r="175" spans="2:5" ht="15.75" customHeight="1" x14ac:dyDescent="0.3">
      <c r="B175" s="2"/>
      <c r="E175" s="2"/>
    </row>
    <row r="176" spans="2:5" ht="15.75" customHeight="1" x14ac:dyDescent="0.3">
      <c r="B176" s="2"/>
      <c r="E176" s="2"/>
    </row>
    <row r="177" spans="2:5" ht="15.75" customHeight="1" x14ac:dyDescent="0.3">
      <c r="B177" s="2"/>
      <c r="E177" s="2"/>
    </row>
    <row r="178" spans="2:5" ht="15.75" customHeight="1" x14ac:dyDescent="0.3">
      <c r="B178" s="2"/>
      <c r="E178" s="2"/>
    </row>
    <row r="179" spans="2:5" ht="15.75" customHeight="1" x14ac:dyDescent="0.3">
      <c r="B179" s="2"/>
      <c r="E179" s="2"/>
    </row>
    <row r="180" spans="2:5" ht="15.75" customHeight="1" x14ac:dyDescent="0.3">
      <c r="B180" s="2"/>
      <c r="E180" s="2"/>
    </row>
    <row r="181" spans="2:5" ht="15.75" customHeight="1" x14ac:dyDescent="0.3">
      <c r="B181" s="2"/>
      <c r="E181" s="2"/>
    </row>
    <row r="182" spans="2:5" ht="15.75" customHeight="1" x14ac:dyDescent="0.3">
      <c r="B182" s="2"/>
      <c r="E182" s="2"/>
    </row>
    <row r="183" spans="2:5" ht="15.75" customHeight="1" x14ac:dyDescent="0.3">
      <c r="B183" s="2"/>
      <c r="E183" s="2"/>
    </row>
    <row r="184" spans="2:5" ht="15.75" customHeight="1" x14ac:dyDescent="0.3">
      <c r="B184" s="2"/>
      <c r="E184" s="2"/>
    </row>
    <row r="185" spans="2:5" ht="15.75" customHeight="1" x14ac:dyDescent="0.3">
      <c r="B185" s="2"/>
      <c r="E185" s="2"/>
    </row>
    <row r="186" spans="2:5" ht="15.75" customHeight="1" x14ac:dyDescent="0.3">
      <c r="B186" s="2"/>
      <c r="E186" s="2"/>
    </row>
    <row r="187" spans="2:5" ht="15.75" customHeight="1" x14ac:dyDescent="0.3">
      <c r="B187" s="2"/>
      <c r="E187" s="2"/>
    </row>
    <row r="188" spans="2:5" ht="15.75" customHeight="1" x14ac:dyDescent="0.3">
      <c r="B188" s="2"/>
      <c r="E188" s="2"/>
    </row>
    <row r="189" spans="2:5" ht="15.75" customHeight="1" x14ac:dyDescent="0.3">
      <c r="B189" s="2"/>
      <c r="E189" s="2"/>
    </row>
    <row r="190" spans="2:5" ht="15.75" customHeight="1" x14ac:dyDescent="0.3">
      <c r="B190" s="2"/>
      <c r="E190" s="2"/>
    </row>
    <row r="191" spans="2:5" ht="15.75" customHeight="1" x14ac:dyDescent="0.3">
      <c r="B191" s="2"/>
      <c r="E191" s="2"/>
    </row>
    <row r="192" spans="2:5" ht="15.75" customHeight="1" x14ac:dyDescent="0.3">
      <c r="B192" s="2"/>
      <c r="E192" s="2"/>
    </row>
    <row r="193" spans="2:5" ht="15.75" customHeight="1" x14ac:dyDescent="0.3">
      <c r="B193" s="2"/>
      <c r="E193" s="2"/>
    </row>
    <row r="194" spans="2:5" ht="15.75" customHeight="1" x14ac:dyDescent="0.3">
      <c r="B194" s="2"/>
      <c r="E194" s="2"/>
    </row>
    <row r="195" spans="2:5" ht="15.75" customHeight="1" x14ac:dyDescent="0.3">
      <c r="B195" s="2"/>
      <c r="E195" s="2"/>
    </row>
    <row r="196" spans="2:5" ht="15.75" customHeight="1" x14ac:dyDescent="0.3">
      <c r="B196" s="2"/>
      <c r="E196" s="2"/>
    </row>
    <row r="197" spans="2:5" ht="15.75" customHeight="1" x14ac:dyDescent="0.3">
      <c r="B197" s="2"/>
      <c r="E197" s="2"/>
    </row>
    <row r="198" spans="2:5" ht="15.75" customHeight="1" x14ac:dyDescent="0.3">
      <c r="B198" s="2"/>
      <c r="E198" s="2"/>
    </row>
    <row r="199" spans="2:5" ht="15.75" customHeight="1" x14ac:dyDescent="0.3">
      <c r="B199" s="2"/>
      <c r="E199" s="2"/>
    </row>
    <row r="200" spans="2:5" ht="15.75" customHeight="1" x14ac:dyDescent="0.3">
      <c r="B200" s="2"/>
      <c r="E200" s="2"/>
    </row>
    <row r="201" spans="2:5" ht="15.75" customHeight="1" x14ac:dyDescent="0.3">
      <c r="B201" s="2"/>
      <c r="E201" s="2"/>
    </row>
    <row r="202" spans="2:5" ht="15.75" customHeight="1" x14ac:dyDescent="0.3">
      <c r="B202" s="2"/>
      <c r="E202" s="2"/>
    </row>
    <row r="203" spans="2:5" ht="15.75" customHeight="1" x14ac:dyDescent="0.3">
      <c r="B203" s="2"/>
      <c r="E203" s="2"/>
    </row>
    <row r="204" spans="2:5" ht="15.75" customHeight="1" x14ac:dyDescent="0.3">
      <c r="B204" s="2"/>
      <c r="E204" s="2"/>
    </row>
    <row r="205" spans="2:5" ht="15.75" customHeight="1" x14ac:dyDescent="0.3">
      <c r="B205" s="2"/>
      <c r="E205" s="2"/>
    </row>
    <row r="206" spans="2:5" ht="15.75" customHeight="1" x14ac:dyDescent="0.3">
      <c r="B206" s="2"/>
      <c r="E206" s="2"/>
    </row>
    <row r="207" spans="2:5" ht="15.75" customHeight="1" x14ac:dyDescent="0.3">
      <c r="B207" s="2"/>
      <c r="E207" s="2"/>
    </row>
    <row r="208" spans="2:5" ht="15.75" customHeight="1" x14ac:dyDescent="0.3">
      <c r="B208" s="2"/>
      <c r="E208" s="2"/>
    </row>
    <row r="209" spans="2:5" ht="15.75" customHeight="1" x14ac:dyDescent="0.3">
      <c r="B209" s="2"/>
      <c r="E209" s="2"/>
    </row>
    <row r="210" spans="2:5" ht="15.75" customHeight="1" x14ac:dyDescent="0.3">
      <c r="B210" s="2"/>
      <c r="E210" s="2"/>
    </row>
    <row r="211" spans="2:5" ht="15.75" customHeight="1" x14ac:dyDescent="0.3">
      <c r="B211" s="2"/>
      <c r="E211" s="2"/>
    </row>
    <row r="212" spans="2:5" ht="15.75" customHeight="1" x14ac:dyDescent="0.3">
      <c r="B212" s="2"/>
      <c r="E212" s="2"/>
    </row>
    <row r="213" spans="2:5" ht="15.75" customHeight="1" x14ac:dyDescent="0.3">
      <c r="B213" s="2"/>
      <c r="E213" s="2"/>
    </row>
    <row r="214" spans="2:5" ht="15.75" customHeight="1" x14ac:dyDescent="0.3">
      <c r="B214" s="2"/>
      <c r="E214" s="2"/>
    </row>
    <row r="215" spans="2:5" ht="15.75" customHeight="1" x14ac:dyDescent="0.3">
      <c r="B215" s="2"/>
      <c r="E215" s="2"/>
    </row>
    <row r="216" spans="2:5" ht="15.75" customHeight="1" x14ac:dyDescent="0.3">
      <c r="B216" s="2"/>
      <c r="E216" s="2"/>
    </row>
    <row r="217" spans="2:5" ht="15.75" customHeight="1" x14ac:dyDescent="0.3">
      <c r="B217" s="2"/>
      <c r="E217" s="2"/>
    </row>
    <row r="218" spans="2:5" ht="15.75" customHeight="1" x14ac:dyDescent="0.3">
      <c r="B218" s="2"/>
      <c r="E218" s="2"/>
    </row>
    <row r="219" spans="2:5" ht="15.75" customHeight="1" x14ac:dyDescent="0.3">
      <c r="B219" s="2"/>
      <c r="E219" s="2"/>
    </row>
    <row r="220" spans="2:5" ht="15.75" customHeight="1" x14ac:dyDescent="0.3">
      <c r="B220" s="2"/>
      <c r="E220" s="2"/>
    </row>
    <row r="221" spans="2:5" ht="15.75" customHeight="1" x14ac:dyDescent="0.3">
      <c r="B221" s="2"/>
      <c r="E221" s="2"/>
    </row>
    <row r="222" spans="2:5" ht="15.75" customHeight="1" x14ac:dyDescent="0.3">
      <c r="B222" s="2"/>
      <c r="E222" s="2"/>
    </row>
    <row r="223" spans="2:5" ht="15.75" customHeight="1" x14ac:dyDescent="0.3">
      <c r="B223" s="2"/>
      <c r="E223" s="2"/>
    </row>
    <row r="224" spans="2:5" ht="15.75" customHeight="1" x14ac:dyDescent="0.3">
      <c r="B224" s="2"/>
      <c r="E224" s="2"/>
    </row>
    <row r="225" spans="2:5" ht="15.75" customHeight="1" x14ac:dyDescent="0.3">
      <c r="B225" s="2"/>
      <c r="E225" s="2"/>
    </row>
    <row r="226" spans="2:5" ht="15.75" customHeight="1" x14ac:dyDescent="0.3">
      <c r="B226" s="2"/>
      <c r="E226" s="2"/>
    </row>
    <row r="227" spans="2:5" ht="15.75" customHeight="1" x14ac:dyDescent="0.3">
      <c r="B227" s="2"/>
      <c r="E227" s="2"/>
    </row>
    <row r="228" spans="2:5" ht="15.75" customHeight="1" x14ac:dyDescent="0.3">
      <c r="B228" s="2"/>
      <c r="E228" s="2"/>
    </row>
    <row r="229" spans="2:5" ht="15.75" customHeight="1" x14ac:dyDescent="0.3">
      <c r="B229" s="2"/>
      <c r="E229" s="2"/>
    </row>
    <row r="230" spans="2:5" ht="15.75" customHeight="1" x14ac:dyDescent="0.3">
      <c r="B230" s="2"/>
      <c r="E230" s="2"/>
    </row>
    <row r="231" spans="2:5" ht="15.75" customHeight="1" x14ac:dyDescent="0.3">
      <c r="B231" s="2"/>
      <c r="E231" s="2"/>
    </row>
    <row r="232" spans="2:5" ht="15.75" customHeight="1" x14ac:dyDescent="0.3">
      <c r="B232" s="2"/>
      <c r="E232" s="2"/>
    </row>
    <row r="233" spans="2:5" ht="15.75" customHeight="1" x14ac:dyDescent="0.3">
      <c r="B233" s="2"/>
      <c r="E233" s="2"/>
    </row>
    <row r="234" spans="2:5" ht="15.75" customHeight="1" x14ac:dyDescent="0.3">
      <c r="B234" s="2"/>
      <c r="E234" s="2"/>
    </row>
    <row r="235" spans="2:5" ht="15.75" customHeight="1" x14ac:dyDescent="0.3">
      <c r="B235" s="2"/>
      <c r="E235" s="2"/>
    </row>
    <row r="236" spans="2:5" ht="15.75" customHeight="1" x14ac:dyDescent="0.3">
      <c r="B236" s="2"/>
      <c r="E236" s="2"/>
    </row>
    <row r="237" spans="2:5" ht="15.75" customHeight="1" x14ac:dyDescent="0.3">
      <c r="B237" s="2"/>
      <c r="E237" s="2"/>
    </row>
    <row r="238" spans="2:5" ht="15.75" customHeight="1" x14ac:dyDescent="0.3">
      <c r="B238" s="2"/>
      <c r="E238" s="2"/>
    </row>
    <row r="239" spans="2:5" ht="15.75" customHeight="1" x14ac:dyDescent="0.3">
      <c r="B239" s="2"/>
      <c r="E239" s="2"/>
    </row>
    <row r="240" spans="2:5" ht="15.75" customHeight="1" x14ac:dyDescent="0.3">
      <c r="B240" s="2"/>
      <c r="E240" s="2"/>
    </row>
    <row r="241" spans="2:5" ht="15.75" customHeight="1" x14ac:dyDescent="0.3">
      <c r="B241" s="2"/>
      <c r="E241" s="2"/>
    </row>
    <row r="242" spans="2:5" ht="15.75" customHeight="1" x14ac:dyDescent="0.3">
      <c r="B242" s="2"/>
      <c r="E242" s="2"/>
    </row>
    <row r="243" spans="2:5" ht="15.75" customHeight="1" x14ac:dyDescent="0.3">
      <c r="B243" s="2"/>
      <c r="E243" s="2"/>
    </row>
    <row r="244" spans="2:5" ht="15.75" customHeight="1" x14ac:dyDescent="0.3">
      <c r="B244" s="2"/>
      <c r="E244" s="2"/>
    </row>
    <row r="245" spans="2:5" ht="15.75" customHeight="1" x14ac:dyDescent="0.3">
      <c r="B245" s="2"/>
      <c r="E245" s="2"/>
    </row>
    <row r="246" spans="2:5" ht="15.75" customHeight="1" x14ac:dyDescent="0.3">
      <c r="B246" s="2"/>
      <c r="E246" s="2"/>
    </row>
    <row r="247" spans="2:5" ht="15.75" customHeight="1" x14ac:dyDescent="0.3">
      <c r="B247" s="2"/>
      <c r="E247" s="2"/>
    </row>
    <row r="248" spans="2:5" ht="15.75" customHeight="1" x14ac:dyDescent="0.3">
      <c r="B248" s="2"/>
      <c r="E248" s="2"/>
    </row>
    <row r="249" spans="2:5" ht="15.75" customHeight="1" x14ac:dyDescent="0.3">
      <c r="B249" s="2"/>
      <c r="E249" s="2"/>
    </row>
    <row r="250" spans="2:5" ht="15.75" customHeight="1" x14ac:dyDescent="0.3">
      <c r="B250" s="2"/>
      <c r="E250" s="2"/>
    </row>
    <row r="251" spans="2:5" ht="15.75" customHeight="1" x14ac:dyDescent="0.3">
      <c r="B251" s="2"/>
      <c r="E251" s="2"/>
    </row>
    <row r="252" spans="2:5" ht="15.75" customHeight="1" x14ac:dyDescent="0.3">
      <c r="B252" s="2"/>
      <c r="E252" s="2"/>
    </row>
    <row r="253" spans="2:5" ht="15.75" customHeight="1" x14ac:dyDescent="0.3">
      <c r="B253" s="2"/>
      <c r="E253" s="2"/>
    </row>
    <row r="254" spans="2:5" ht="15.75" customHeight="1" x14ac:dyDescent="0.3">
      <c r="B254" s="2"/>
      <c r="E254" s="2"/>
    </row>
    <row r="255" spans="2:5" ht="15.75" customHeight="1" x14ac:dyDescent="0.3">
      <c r="B255" s="2"/>
      <c r="E255" s="2"/>
    </row>
    <row r="256" spans="2:5" ht="15.75" customHeight="1" x14ac:dyDescent="0.3">
      <c r="B256" s="2"/>
      <c r="E256" s="2"/>
    </row>
    <row r="257" spans="2:5" ht="15.75" customHeight="1" x14ac:dyDescent="0.3">
      <c r="B257" s="2"/>
      <c r="E257" s="2"/>
    </row>
    <row r="258" spans="2:5" ht="15.75" customHeight="1" x14ac:dyDescent="0.3">
      <c r="B258" s="2"/>
      <c r="E258" s="2"/>
    </row>
    <row r="259" spans="2:5" ht="15.75" customHeight="1" x14ac:dyDescent="0.3">
      <c r="B259" s="2"/>
      <c r="E259" s="2"/>
    </row>
    <row r="260" spans="2:5" ht="15.75" customHeight="1" x14ac:dyDescent="0.3">
      <c r="B260" s="2"/>
      <c r="E260" s="2"/>
    </row>
    <row r="261" spans="2:5" ht="15.75" customHeight="1" x14ac:dyDescent="0.3">
      <c r="B261" s="2"/>
      <c r="E261" s="2"/>
    </row>
    <row r="262" spans="2:5" ht="15.75" customHeight="1" x14ac:dyDescent="0.3">
      <c r="B262" s="2"/>
      <c r="E262" s="2"/>
    </row>
    <row r="263" spans="2:5" ht="15.75" customHeight="1" x14ac:dyDescent="0.3"/>
    <row r="264" spans="2:5" ht="15.75" customHeight="1" x14ac:dyDescent="0.3"/>
    <row r="265" spans="2:5" ht="15.75" customHeight="1" x14ac:dyDescent="0.3"/>
    <row r="266" spans="2:5" ht="15.75" customHeight="1" x14ac:dyDescent="0.3"/>
    <row r="267" spans="2:5" ht="15.75" customHeight="1" x14ac:dyDescent="0.3"/>
    <row r="268" spans="2:5" ht="15.75" customHeight="1" x14ac:dyDescent="0.3"/>
    <row r="269" spans="2:5" ht="15.75" customHeight="1" x14ac:dyDescent="0.3"/>
    <row r="270" spans="2:5" ht="15.75" customHeight="1" x14ac:dyDescent="0.3"/>
    <row r="271" spans="2:5" ht="15.75" customHeight="1" x14ac:dyDescent="0.3"/>
    <row r="272" spans="2:5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C44:D44"/>
    <mergeCell ref="G44:AB44"/>
    <mergeCell ref="C1:D1"/>
    <mergeCell ref="G1:AB1"/>
    <mergeCell ref="A2:A5"/>
    <mergeCell ref="C6:D6"/>
    <mergeCell ref="G6:AB6"/>
    <mergeCell ref="C25:D25"/>
    <mergeCell ref="G25:AB25"/>
  </mergeCells>
  <conditionalFormatting sqref="D8:D24">
    <cfRule type="cellIs" dxfId="283" priority="22" operator="greaterThanOrEqual">
      <formula>$D$4</formula>
    </cfRule>
    <cfRule type="cellIs" dxfId="282" priority="24" operator="between">
      <formula>$D$3</formula>
      <formula>$D$4</formula>
    </cfRule>
    <cfRule type="cellIs" dxfId="281" priority="23" operator="lessThanOrEqual">
      <formula>$D$2</formula>
    </cfRule>
  </conditionalFormatting>
  <conditionalFormatting sqref="D27:D43 G27:AB43">
    <cfRule type="cellIs" dxfId="280" priority="21" operator="greaterThanOrEqual">
      <formula>365</formula>
    </cfRule>
  </conditionalFormatting>
  <conditionalFormatting sqref="D46:D62 G46:AB62">
    <cfRule type="cellIs" dxfId="279" priority="20" operator="lessThanOrEqual">
      <formula>1</formula>
    </cfRule>
  </conditionalFormatting>
  <conditionalFormatting sqref="G8:G24">
    <cfRule type="cellIs" dxfId="278" priority="1" operator="greaterThanOrEqual">
      <formula>$G$4</formula>
    </cfRule>
    <cfRule type="cellIs" dxfId="277" priority="19" operator="lessThanOrEqual">
      <formula>$G$2</formula>
    </cfRule>
    <cfRule type="cellIs" dxfId="276" priority="10" operator="between">
      <formula>$G$3</formula>
      <formula>$G$4</formula>
    </cfRule>
  </conditionalFormatting>
  <conditionalFormatting sqref="H8:H24">
    <cfRule type="cellIs" dxfId="275" priority="2" operator="greaterThanOrEqual">
      <formula>$H$4</formula>
    </cfRule>
    <cfRule type="cellIs" dxfId="274" priority="11" operator="between">
      <formula>$H$3</formula>
      <formula>$H$4</formula>
    </cfRule>
    <cfRule type="cellIs" dxfId="273" priority="26" operator="lessThanOrEqual">
      <formula>$H$2</formula>
    </cfRule>
  </conditionalFormatting>
  <conditionalFormatting sqref="I8:I24">
    <cfRule type="cellIs" dxfId="272" priority="3" operator="greaterThanOrEqual">
      <formula>$I$4</formula>
    </cfRule>
    <cfRule type="cellIs" dxfId="271" priority="12" operator="between">
      <formula>I$3</formula>
      <formula>I$4</formula>
    </cfRule>
    <cfRule type="cellIs" dxfId="270" priority="27" operator="lessThanOrEqual">
      <formula>$I$2</formula>
    </cfRule>
  </conditionalFormatting>
  <conditionalFormatting sqref="J8:J24">
    <cfRule type="cellIs" dxfId="269" priority="4" operator="greaterThanOrEqual">
      <formula>$J$4</formula>
    </cfRule>
    <cfRule type="cellIs" dxfId="268" priority="13" operator="between">
      <formula>$J$3</formula>
      <formula>$J$4</formula>
    </cfRule>
    <cfRule type="cellIs" dxfId="267" priority="28" operator="lessThanOrEqual">
      <formula>$J$2</formula>
    </cfRule>
  </conditionalFormatting>
  <conditionalFormatting sqref="K8:K24">
    <cfRule type="cellIs" dxfId="266" priority="5" operator="greaterThanOrEqual">
      <formula>$K$4</formula>
    </cfRule>
    <cfRule type="cellIs" dxfId="265" priority="14" operator="between">
      <formula>$K$3</formula>
      <formula>$K$4</formula>
    </cfRule>
    <cfRule type="cellIs" dxfId="264" priority="29" operator="lessThanOrEqual">
      <formula>$K$2</formula>
    </cfRule>
  </conditionalFormatting>
  <conditionalFormatting sqref="L8:L24">
    <cfRule type="cellIs" dxfId="263" priority="6" operator="greaterThanOrEqual">
      <formula>$L$4</formula>
    </cfRule>
    <cfRule type="cellIs" dxfId="262" priority="15" operator="between">
      <formula>$L$3</formula>
      <formula>$L$4</formula>
    </cfRule>
    <cfRule type="cellIs" dxfId="261" priority="30" operator="lessThanOrEqual">
      <formula>$L$2</formula>
    </cfRule>
  </conditionalFormatting>
  <conditionalFormatting sqref="M8:M24">
    <cfRule type="cellIs" dxfId="260" priority="7" operator="greaterThanOrEqual">
      <formula>$M$4</formula>
    </cfRule>
    <cfRule type="cellIs" dxfId="259" priority="16" operator="between">
      <formula>$M$3</formula>
      <formula>$M$4</formula>
    </cfRule>
    <cfRule type="cellIs" dxfId="258" priority="31" operator="lessThanOrEqual">
      <formula>$M$2</formula>
    </cfRule>
  </conditionalFormatting>
  <conditionalFormatting sqref="N8:N24">
    <cfRule type="cellIs" dxfId="257" priority="8" operator="greaterThanOrEqual">
      <formula>$N$4</formula>
    </cfRule>
    <cfRule type="cellIs" dxfId="256" priority="17" operator="between">
      <formula>$N$3</formula>
      <formula>$N$4</formula>
    </cfRule>
    <cfRule type="cellIs" dxfId="255" priority="32" operator="lessThanOrEqual">
      <formula>$N$2</formula>
    </cfRule>
  </conditionalFormatting>
  <conditionalFormatting sqref="O8:O24">
    <cfRule type="cellIs" dxfId="254" priority="18" operator="between">
      <formula>$O$3</formula>
      <formula>$O$4</formula>
    </cfRule>
    <cfRule type="cellIs" dxfId="253" priority="9" operator="greaterThanOrEqual">
      <formula>$O$4</formula>
    </cfRule>
    <cfRule type="cellIs" dxfId="252" priority="33" operator="lessThanOrEqual">
      <formula>$O$2</formula>
    </cfRule>
  </conditionalFormatting>
  <conditionalFormatting sqref="P7:P24">
    <cfRule type="cellIs" dxfId="251" priority="46" operator="between">
      <formula>$P$3</formula>
      <formula>$P$4</formula>
    </cfRule>
  </conditionalFormatting>
  <conditionalFormatting sqref="P8:P24">
    <cfRule type="cellIs" dxfId="250" priority="25" operator="lessThanOrEqual">
      <formula>$P$2</formula>
    </cfRule>
    <cfRule type="cellIs" dxfId="249" priority="59" operator="greaterThanOrEqual">
      <formula>$P$4</formula>
    </cfRule>
  </conditionalFormatting>
  <conditionalFormatting sqref="Q8:Q24">
    <cfRule type="cellIs" dxfId="248" priority="34" operator="lessThanOrEqual">
      <formula>$Q$2</formula>
    </cfRule>
    <cfRule type="cellIs" dxfId="247" priority="47" operator="between">
      <formula>$Q$3</formula>
      <formula>$Q$4</formula>
    </cfRule>
    <cfRule type="cellIs" dxfId="246" priority="60" operator="greaterThanOrEqual">
      <formula>$Q$4</formula>
    </cfRule>
  </conditionalFormatting>
  <conditionalFormatting sqref="R8:R24">
    <cfRule type="cellIs" dxfId="245" priority="48" operator="between">
      <formula>$R$3</formula>
      <formula>$R$4</formula>
    </cfRule>
    <cfRule type="cellIs" dxfId="244" priority="35" operator="lessThanOrEqual">
      <formula>$R$2</formula>
    </cfRule>
    <cfRule type="cellIs" dxfId="243" priority="61" operator="greaterThanOrEqual">
      <formula>$R$4</formula>
    </cfRule>
  </conditionalFormatting>
  <conditionalFormatting sqref="S8:S24">
    <cfRule type="cellIs" dxfId="242" priority="49" operator="between">
      <formula>$S$3</formula>
      <formula>$S$4</formula>
    </cfRule>
    <cfRule type="cellIs" dxfId="241" priority="36" operator="lessThanOrEqual">
      <formula>$S$2</formula>
    </cfRule>
    <cfRule type="cellIs" dxfId="240" priority="62" operator="greaterThanOrEqual">
      <formula>$S$4</formula>
    </cfRule>
  </conditionalFormatting>
  <conditionalFormatting sqref="T8:T24">
    <cfRule type="cellIs" dxfId="239" priority="37" operator="lessThanOrEqual">
      <formula>$T$2</formula>
    </cfRule>
    <cfRule type="cellIs" dxfId="238" priority="50" operator="between">
      <formula>$T$3</formula>
      <formula>$T$4</formula>
    </cfRule>
    <cfRule type="cellIs" dxfId="237" priority="63" operator="greaterThanOrEqual">
      <formula>$T$4</formula>
    </cfRule>
  </conditionalFormatting>
  <conditionalFormatting sqref="U8:U24">
    <cfRule type="cellIs" dxfId="236" priority="38" operator="lessThanOrEqual">
      <formula>$U$2</formula>
    </cfRule>
    <cfRule type="cellIs" dxfId="235" priority="51" operator="between">
      <formula>$U$3</formula>
      <formula>$U$4</formula>
    </cfRule>
    <cfRule type="cellIs" dxfId="234" priority="64" operator="greaterThanOrEqual">
      <formula>$U$4</formula>
    </cfRule>
  </conditionalFormatting>
  <conditionalFormatting sqref="V8:V24">
    <cfRule type="cellIs" dxfId="233" priority="39" operator="lessThanOrEqual">
      <formula>$V$2</formula>
    </cfRule>
    <cfRule type="cellIs" dxfId="232" priority="52" operator="between">
      <formula>$V$3</formula>
      <formula>$V$4</formula>
    </cfRule>
    <cfRule type="cellIs" dxfId="231" priority="65" operator="greaterThanOrEqual">
      <formula>$V$4</formula>
    </cfRule>
  </conditionalFormatting>
  <conditionalFormatting sqref="W8:W24">
    <cfRule type="cellIs" dxfId="230" priority="40" operator="lessThanOrEqual">
      <formula>$W$2</formula>
    </cfRule>
    <cfRule type="cellIs" dxfId="229" priority="53" operator="between">
      <formula>$W$3</formula>
      <formula>$W$4</formula>
    </cfRule>
    <cfRule type="cellIs" dxfId="228" priority="66" operator="greaterThanOrEqual">
      <formula>$W$4</formula>
    </cfRule>
  </conditionalFormatting>
  <conditionalFormatting sqref="X8:X24">
    <cfRule type="cellIs" dxfId="227" priority="54" operator="between">
      <formula>$X$3</formula>
      <formula>$X$4</formula>
    </cfRule>
    <cfRule type="cellIs" dxfId="226" priority="41" operator="lessThanOrEqual">
      <formula>$X$2</formula>
    </cfRule>
    <cfRule type="cellIs" dxfId="225" priority="67" operator="greaterThanOrEqual">
      <formula>$X$4</formula>
    </cfRule>
  </conditionalFormatting>
  <conditionalFormatting sqref="Y8:Y24">
    <cfRule type="cellIs" dxfId="224" priority="42" operator="lessThanOrEqual">
      <formula>$Y$2</formula>
    </cfRule>
    <cfRule type="cellIs" dxfId="223" priority="55" operator="between">
      <formula>$Y$3</formula>
      <formula>$Y$4</formula>
    </cfRule>
    <cfRule type="cellIs" dxfId="222" priority="68" operator="greaterThanOrEqual">
      <formula>$Y$4</formula>
    </cfRule>
  </conditionalFormatting>
  <conditionalFormatting sqref="Z8:Z24">
    <cfRule type="cellIs" dxfId="221" priority="56" operator="between">
      <formula>$Z$3</formula>
      <formula>$Z$4</formula>
    </cfRule>
    <cfRule type="cellIs" dxfId="220" priority="43" operator="lessThanOrEqual">
      <formula>$Z$2</formula>
    </cfRule>
    <cfRule type="cellIs" dxfId="219" priority="69" operator="greaterThanOrEqual">
      <formula>$Z$4</formula>
    </cfRule>
  </conditionalFormatting>
  <conditionalFormatting sqref="AA8:AA24">
    <cfRule type="cellIs" dxfId="218" priority="57" operator="between">
      <formula>$AA$3</formula>
      <formula>$AA$4</formula>
    </cfRule>
    <cfRule type="cellIs" dxfId="217" priority="44" operator="lessThanOrEqual">
      <formula>$AA$2</formula>
    </cfRule>
    <cfRule type="cellIs" dxfId="216" priority="70" operator="greaterThanOrEqual">
      <formula>$AA$4</formula>
    </cfRule>
  </conditionalFormatting>
  <conditionalFormatting sqref="AB8:AB24">
    <cfRule type="cellIs" dxfId="215" priority="45" operator="lessThanOrEqual">
      <formula>$AB$2</formula>
    </cfRule>
    <cfRule type="cellIs" dxfId="214" priority="58" operator="between">
      <formula>$AB$3</formula>
      <formula>$AB$4</formula>
    </cfRule>
    <cfRule type="cellIs" dxfId="213" priority="71" operator="greaterThanOrEqual">
      <formula>$AB$4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B1000"/>
  <sheetViews>
    <sheetView workbookViewId="0">
      <selection activeCell="A46" sqref="A46:A62"/>
    </sheetView>
  </sheetViews>
  <sheetFormatPr defaultColWidth="12.61328125" defaultRowHeight="15" customHeight="1" x14ac:dyDescent="0.3"/>
  <cols>
    <col min="1" max="1" width="10.4609375" customWidth="1"/>
    <col min="2" max="2" width="2.3828125" customWidth="1"/>
    <col min="3" max="3" width="10.4609375" customWidth="1"/>
    <col min="4" max="4" width="12.61328125" customWidth="1"/>
    <col min="5" max="5" width="2.3828125" customWidth="1"/>
    <col min="6" max="6" width="10.4609375" customWidth="1"/>
    <col min="9" max="10" width="14.61328125" customWidth="1"/>
  </cols>
  <sheetData>
    <row r="1" spans="1:28" ht="15.75" customHeight="1" x14ac:dyDescent="0.3">
      <c r="A1" s="1"/>
      <c r="B1" s="2"/>
      <c r="C1" s="32" t="s">
        <v>0</v>
      </c>
      <c r="D1" s="30"/>
      <c r="E1" s="2"/>
      <c r="F1" s="3"/>
      <c r="G1" s="32" t="s">
        <v>1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ht="15.75" customHeight="1" x14ac:dyDescent="0.3">
      <c r="A2" s="33" t="s">
        <v>2</v>
      </c>
      <c r="B2" s="2"/>
      <c r="C2" s="4" t="s">
        <v>3</v>
      </c>
      <c r="D2" s="5">
        <f>D3/12</f>
        <v>1.893939393939394E-2</v>
      </c>
      <c r="E2" s="2"/>
      <c r="F2" s="4" t="s">
        <v>3</v>
      </c>
      <c r="G2" s="5">
        <f t="shared" ref="G2:AB2" si="0">G3/12</f>
        <v>1.893939393939394E-2</v>
      </c>
      <c r="H2" s="5">
        <f t="shared" si="0"/>
        <v>1.893939393939394E-2</v>
      </c>
      <c r="I2" s="5">
        <f t="shared" si="0"/>
        <v>1.893939393939394E-2</v>
      </c>
      <c r="J2" s="5">
        <f t="shared" si="0"/>
        <v>1.893939393939394E-2</v>
      </c>
      <c r="K2" s="5">
        <f t="shared" si="0"/>
        <v>1.893939393939394E-2</v>
      </c>
      <c r="L2" s="5">
        <f t="shared" si="0"/>
        <v>1.893939393939394E-2</v>
      </c>
      <c r="M2" s="5">
        <f t="shared" si="0"/>
        <v>1.893939393939394E-2</v>
      </c>
      <c r="N2" s="5">
        <f t="shared" si="0"/>
        <v>1.893939393939394E-2</v>
      </c>
      <c r="O2" s="5">
        <f t="shared" si="0"/>
        <v>1.893939393939394E-2</v>
      </c>
      <c r="P2" s="5">
        <f t="shared" si="0"/>
        <v>1.893939393939394E-2</v>
      </c>
      <c r="Q2" s="5">
        <f t="shared" si="0"/>
        <v>1.893939393939394E-2</v>
      </c>
      <c r="R2" s="5">
        <f t="shared" si="0"/>
        <v>1.893939393939394E-2</v>
      </c>
      <c r="S2" s="5">
        <f t="shared" si="0"/>
        <v>1.893939393939394E-2</v>
      </c>
      <c r="T2" s="5">
        <f t="shared" si="0"/>
        <v>1.893939393939394E-2</v>
      </c>
      <c r="U2" s="5">
        <f t="shared" si="0"/>
        <v>1.893939393939394E-2</v>
      </c>
      <c r="V2" s="5">
        <f t="shared" si="0"/>
        <v>1.893939393939394E-2</v>
      </c>
      <c r="W2" s="5">
        <f t="shared" si="0"/>
        <v>1.893939393939394E-2</v>
      </c>
      <c r="X2" s="5">
        <f t="shared" si="0"/>
        <v>1.893939393939394E-2</v>
      </c>
      <c r="Y2" s="5">
        <f t="shared" si="0"/>
        <v>1.893939393939394E-2</v>
      </c>
      <c r="Z2" s="5">
        <f t="shared" si="0"/>
        <v>1.893939393939394E-2</v>
      </c>
      <c r="AA2" s="5">
        <f t="shared" si="0"/>
        <v>1.893939393939394E-2</v>
      </c>
      <c r="AB2" s="5">
        <f t="shared" si="0"/>
        <v>1.893939393939394E-2</v>
      </c>
    </row>
    <row r="3" spans="1:28" ht="15.75" customHeight="1" x14ac:dyDescent="0.3">
      <c r="A3" s="30"/>
      <c r="B3" s="2"/>
      <c r="C3" s="4" t="s">
        <v>4</v>
      </c>
      <c r="D3" s="5">
        <f>D4/4.4</f>
        <v>0.22727272727272727</v>
      </c>
      <c r="E3" s="2"/>
      <c r="F3" s="4" t="s">
        <v>4</v>
      </c>
      <c r="G3" s="5">
        <f t="shared" ref="G3:AB3" si="1">G4/4.4</f>
        <v>0.22727272727272727</v>
      </c>
      <c r="H3" s="5">
        <f t="shared" si="1"/>
        <v>0.22727272727272727</v>
      </c>
      <c r="I3" s="5">
        <f t="shared" si="1"/>
        <v>0.22727272727272727</v>
      </c>
      <c r="J3" s="5">
        <f t="shared" si="1"/>
        <v>0.22727272727272727</v>
      </c>
      <c r="K3" s="5">
        <f t="shared" si="1"/>
        <v>0.22727272727272727</v>
      </c>
      <c r="L3" s="5">
        <f t="shared" si="1"/>
        <v>0.22727272727272727</v>
      </c>
      <c r="M3" s="5">
        <f t="shared" si="1"/>
        <v>0.22727272727272727</v>
      </c>
      <c r="N3" s="5">
        <f t="shared" si="1"/>
        <v>0.22727272727272727</v>
      </c>
      <c r="O3" s="5">
        <f t="shared" si="1"/>
        <v>0.22727272727272727</v>
      </c>
      <c r="P3" s="5">
        <f t="shared" si="1"/>
        <v>0.22727272727272727</v>
      </c>
      <c r="Q3" s="5">
        <f t="shared" si="1"/>
        <v>0.22727272727272727</v>
      </c>
      <c r="R3" s="5">
        <f t="shared" si="1"/>
        <v>0.22727272727272727</v>
      </c>
      <c r="S3" s="5">
        <f t="shared" si="1"/>
        <v>0.22727272727272727</v>
      </c>
      <c r="T3" s="5">
        <f t="shared" si="1"/>
        <v>0.22727272727272727</v>
      </c>
      <c r="U3" s="5">
        <f t="shared" si="1"/>
        <v>0.22727272727272727</v>
      </c>
      <c r="V3" s="5">
        <f t="shared" si="1"/>
        <v>0.22727272727272727</v>
      </c>
      <c r="W3" s="5">
        <f t="shared" si="1"/>
        <v>0.22727272727272727</v>
      </c>
      <c r="X3" s="5">
        <f t="shared" si="1"/>
        <v>0.22727272727272727</v>
      </c>
      <c r="Y3" s="5">
        <f t="shared" si="1"/>
        <v>0.22727272727272727</v>
      </c>
      <c r="Z3" s="5">
        <f t="shared" si="1"/>
        <v>0.22727272727272727</v>
      </c>
      <c r="AA3" s="5">
        <f t="shared" si="1"/>
        <v>0.22727272727272727</v>
      </c>
      <c r="AB3" s="5">
        <f t="shared" si="1"/>
        <v>0.22727272727272727</v>
      </c>
    </row>
    <row r="4" spans="1:28" ht="15.75" customHeight="1" x14ac:dyDescent="0.3">
      <c r="A4" s="30"/>
      <c r="B4" s="2"/>
      <c r="C4" s="4" t="s">
        <v>5</v>
      </c>
      <c r="D4" s="6">
        <v>1</v>
      </c>
      <c r="E4" s="2"/>
      <c r="F4" s="4" t="s">
        <v>5</v>
      </c>
      <c r="G4" s="25">
        <v>1</v>
      </c>
      <c r="H4" s="26">
        <v>1</v>
      </c>
      <c r="I4" s="26">
        <v>1</v>
      </c>
      <c r="J4" s="26">
        <v>1</v>
      </c>
      <c r="K4" s="25">
        <v>1</v>
      </c>
      <c r="L4" s="26">
        <v>1</v>
      </c>
      <c r="M4" s="26">
        <v>1</v>
      </c>
      <c r="N4" s="26">
        <v>1</v>
      </c>
      <c r="O4" s="25">
        <v>1</v>
      </c>
      <c r="P4" s="26">
        <v>1</v>
      </c>
      <c r="Q4" s="26">
        <v>1</v>
      </c>
      <c r="R4" s="25">
        <v>1</v>
      </c>
      <c r="S4" s="26">
        <v>1</v>
      </c>
      <c r="T4" s="26">
        <v>1</v>
      </c>
      <c r="U4" s="26">
        <v>1</v>
      </c>
      <c r="V4" s="25">
        <v>1</v>
      </c>
      <c r="W4" s="26">
        <v>1</v>
      </c>
      <c r="X4" s="25">
        <v>1</v>
      </c>
      <c r="Y4" s="25">
        <v>1</v>
      </c>
      <c r="Z4" s="26">
        <v>1</v>
      </c>
      <c r="AA4" s="26">
        <v>1</v>
      </c>
      <c r="AB4" s="26">
        <v>1</v>
      </c>
    </row>
    <row r="5" spans="1:28" ht="25.5" customHeight="1" x14ac:dyDescent="0.3">
      <c r="A5" s="30"/>
      <c r="B5" s="2"/>
      <c r="C5" s="7" t="s">
        <v>6</v>
      </c>
      <c r="D5" s="8">
        <v>1</v>
      </c>
      <c r="E5" s="2"/>
      <c r="F5" s="7" t="s">
        <v>6</v>
      </c>
      <c r="G5" s="27">
        <v>1</v>
      </c>
      <c r="H5" s="28">
        <v>1</v>
      </c>
      <c r="I5" s="28">
        <v>1</v>
      </c>
      <c r="J5" s="28">
        <v>1</v>
      </c>
      <c r="K5" s="27">
        <v>1</v>
      </c>
      <c r="L5" s="28">
        <v>1</v>
      </c>
      <c r="M5" s="28">
        <v>1</v>
      </c>
      <c r="N5" s="28">
        <v>1</v>
      </c>
      <c r="O5" s="27">
        <v>1</v>
      </c>
      <c r="P5" s="28">
        <v>1</v>
      </c>
      <c r="Q5" s="28">
        <v>1</v>
      </c>
      <c r="R5" s="27">
        <v>1</v>
      </c>
      <c r="S5" s="28">
        <v>1</v>
      </c>
      <c r="T5" s="28">
        <v>1</v>
      </c>
      <c r="U5" s="28">
        <v>1</v>
      </c>
      <c r="V5" s="27">
        <v>1</v>
      </c>
      <c r="W5" s="28">
        <v>1</v>
      </c>
      <c r="X5" s="27">
        <v>1</v>
      </c>
      <c r="Y5" s="27">
        <v>1</v>
      </c>
      <c r="Z5" s="28">
        <v>1</v>
      </c>
      <c r="AA5" s="28">
        <v>1</v>
      </c>
      <c r="AB5" s="28">
        <v>1</v>
      </c>
    </row>
    <row r="6" spans="1:28" ht="15.75" customHeight="1" x14ac:dyDescent="0.3">
      <c r="A6" s="3"/>
      <c r="B6" s="2"/>
      <c r="C6" s="29"/>
      <c r="D6" s="30"/>
      <c r="E6" s="2"/>
      <c r="F6" s="3"/>
      <c r="G6" s="31" t="s">
        <v>7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spans="1:28" ht="15.75" customHeight="1" x14ac:dyDescent="0.3">
      <c r="A7" s="9" t="s">
        <v>8</v>
      </c>
      <c r="B7" s="2"/>
      <c r="C7" s="10" t="s">
        <v>9</v>
      </c>
      <c r="D7" s="10" t="s">
        <v>10</v>
      </c>
      <c r="E7" s="2"/>
      <c r="F7" s="10" t="s">
        <v>9</v>
      </c>
      <c r="G7" s="10" t="s">
        <v>80</v>
      </c>
      <c r="H7" s="10" t="s">
        <v>81</v>
      </c>
      <c r="I7" s="10"/>
      <c r="J7" s="10"/>
      <c r="K7" s="10"/>
      <c r="L7" s="10"/>
      <c r="M7" s="10"/>
      <c r="N7" s="10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5.75" customHeight="1" x14ac:dyDescent="0.3">
      <c r="A8" s="12">
        <f>RAW!$A$6</f>
        <v>400</v>
      </c>
      <c r="B8" s="2"/>
      <c r="C8" s="13" t="s">
        <v>19</v>
      </c>
      <c r="D8" s="14">
        <f t="shared" ref="D8:D24" si="2">($A8/D$5)/365</f>
        <v>1.095890410958904</v>
      </c>
      <c r="E8" s="2"/>
      <c r="F8" s="13" t="s">
        <v>19</v>
      </c>
      <c r="G8" s="14">
        <f t="shared" ref="G8:AB8" si="3">($A8/G$5)/365</f>
        <v>1.095890410958904</v>
      </c>
      <c r="H8" s="14">
        <f t="shared" si="3"/>
        <v>1.095890410958904</v>
      </c>
      <c r="I8" s="14">
        <f t="shared" si="3"/>
        <v>1.095890410958904</v>
      </c>
      <c r="J8" s="14">
        <f t="shared" si="3"/>
        <v>1.095890410958904</v>
      </c>
      <c r="K8" s="14">
        <f t="shared" si="3"/>
        <v>1.095890410958904</v>
      </c>
      <c r="L8" s="14">
        <f t="shared" si="3"/>
        <v>1.095890410958904</v>
      </c>
      <c r="M8" s="14">
        <f t="shared" si="3"/>
        <v>1.095890410958904</v>
      </c>
      <c r="N8" s="14">
        <f t="shared" si="3"/>
        <v>1.095890410958904</v>
      </c>
      <c r="O8" s="15">
        <f t="shared" si="3"/>
        <v>1.095890410958904</v>
      </c>
      <c r="P8" s="16">
        <f t="shared" si="3"/>
        <v>1.095890410958904</v>
      </c>
      <c r="Q8" s="16">
        <f t="shared" si="3"/>
        <v>1.095890410958904</v>
      </c>
      <c r="R8" s="16">
        <f t="shared" si="3"/>
        <v>1.095890410958904</v>
      </c>
      <c r="S8" s="16">
        <f t="shared" si="3"/>
        <v>1.095890410958904</v>
      </c>
      <c r="T8" s="16">
        <f t="shared" si="3"/>
        <v>1.095890410958904</v>
      </c>
      <c r="U8" s="16">
        <f t="shared" si="3"/>
        <v>1.095890410958904</v>
      </c>
      <c r="V8" s="16">
        <f t="shared" si="3"/>
        <v>1.095890410958904</v>
      </c>
      <c r="W8" s="16">
        <f t="shared" si="3"/>
        <v>1.095890410958904</v>
      </c>
      <c r="X8" s="16">
        <f t="shared" si="3"/>
        <v>1.095890410958904</v>
      </c>
      <c r="Y8" s="16">
        <f t="shared" si="3"/>
        <v>1.095890410958904</v>
      </c>
      <c r="Z8" s="16">
        <f t="shared" si="3"/>
        <v>1.095890410958904</v>
      </c>
      <c r="AA8" s="16">
        <f t="shared" si="3"/>
        <v>1.095890410958904</v>
      </c>
      <c r="AB8" s="16">
        <f t="shared" si="3"/>
        <v>1.095890410958904</v>
      </c>
    </row>
    <row r="9" spans="1:28" ht="15.75" customHeight="1" x14ac:dyDescent="0.3">
      <c r="A9" s="12">
        <f>RAW!$A$7</f>
        <v>1200</v>
      </c>
      <c r="B9" s="2"/>
      <c r="C9" s="17" t="s">
        <v>20</v>
      </c>
      <c r="D9" s="14">
        <f t="shared" si="2"/>
        <v>3.2876712328767121</v>
      </c>
      <c r="E9" s="2"/>
      <c r="F9" s="17" t="s">
        <v>20</v>
      </c>
      <c r="G9" s="14">
        <f t="shared" ref="G9:AB9" si="4">($A9/G$5)/365</f>
        <v>3.2876712328767121</v>
      </c>
      <c r="H9" s="14">
        <f t="shared" si="4"/>
        <v>3.2876712328767121</v>
      </c>
      <c r="I9" s="14">
        <f t="shared" si="4"/>
        <v>3.2876712328767121</v>
      </c>
      <c r="J9" s="14">
        <f t="shared" si="4"/>
        <v>3.2876712328767121</v>
      </c>
      <c r="K9" s="14">
        <f t="shared" si="4"/>
        <v>3.2876712328767121</v>
      </c>
      <c r="L9" s="14">
        <f t="shared" si="4"/>
        <v>3.2876712328767121</v>
      </c>
      <c r="M9" s="14">
        <f t="shared" si="4"/>
        <v>3.2876712328767121</v>
      </c>
      <c r="N9" s="14">
        <f t="shared" si="4"/>
        <v>3.2876712328767121</v>
      </c>
      <c r="O9" s="15">
        <f t="shared" si="4"/>
        <v>3.2876712328767121</v>
      </c>
      <c r="P9" s="16">
        <f t="shared" si="4"/>
        <v>3.2876712328767121</v>
      </c>
      <c r="Q9" s="16">
        <f t="shared" si="4"/>
        <v>3.2876712328767121</v>
      </c>
      <c r="R9" s="16">
        <f t="shared" si="4"/>
        <v>3.2876712328767121</v>
      </c>
      <c r="S9" s="16">
        <f t="shared" si="4"/>
        <v>3.2876712328767121</v>
      </c>
      <c r="T9" s="16">
        <f t="shared" si="4"/>
        <v>3.2876712328767121</v>
      </c>
      <c r="U9" s="16">
        <f t="shared" si="4"/>
        <v>3.2876712328767121</v>
      </c>
      <c r="V9" s="16">
        <f t="shared" si="4"/>
        <v>3.2876712328767121</v>
      </c>
      <c r="W9" s="16">
        <f t="shared" si="4"/>
        <v>3.2876712328767121</v>
      </c>
      <c r="X9" s="16">
        <f t="shared" si="4"/>
        <v>3.2876712328767121</v>
      </c>
      <c r="Y9" s="16">
        <f t="shared" si="4"/>
        <v>3.2876712328767121</v>
      </c>
      <c r="Z9" s="16">
        <f t="shared" si="4"/>
        <v>3.2876712328767121</v>
      </c>
      <c r="AA9" s="16">
        <f t="shared" si="4"/>
        <v>3.2876712328767121</v>
      </c>
      <c r="AB9" s="16">
        <f t="shared" si="4"/>
        <v>3.2876712328767121</v>
      </c>
    </row>
    <row r="10" spans="1:28" ht="15.75" customHeight="1" x14ac:dyDescent="0.3">
      <c r="A10" s="12">
        <f>RAW!$A$8</f>
        <v>2800</v>
      </c>
      <c r="B10" s="2"/>
      <c r="C10" s="17" t="s">
        <v>21</v>
      </c>
      <c r="D10" s="14">
        <f t="shared" si="2"/>
        <v>7.6712328767123283</v>
      </c>
      <c r="E10" s="2"/>
      <c r="F10" s="17" t="s">
        <v>21</v>
      </c>
      <c r="G10" s="14">
        <f t="shared" ref="G10:AB10" si="5">($A10/G$5)/365</f>
        <v>7.6712328767123283</v>
      </c>
      <c r="H10" s="14">
        <f t="shared" si="5"/>
        <v>7.6712328767123283</v>
      </c>
      <c r="I10" s="14">
        <f t="shared" si="5"/>
        <v>7.6712328767123283</v>
      </c>
      <c r="J10" s="14">
        <f t="shared" si="5"/>
        <v>7.6712328767123283</v>
      </c>
      <c r="K10" s="14">
        <f t="shared" si="5"/>
        <v>7.6712328767123283</v>
      </c>
      <c r="L10" s="14">
        <f t="shared" si="5"/>
        <v>7.6712328767123283</v>
      </c>
      <c r="M10" s="14">
        <f t="shared" si="5"/>
        <v>7.6712328767123283</v>
      </c>
      <c r="N10" s="14">
        <f t="shared" si="5"/>
        <v>7.6712328767123283</v>
      </c>
      <c r="O10" s="15">
        <f t="shared" si="5"/>
        <v>7.6712328767123283</v>
      </c>
      <c r="P10" s="16">
        <f t="shared" si="5"/>
        <v>7.6712328767123283</v>
      </c>
      <c r="Q10" s="16">
        <f t="shared" si="5"/>
        <v>7.6712328767123283</v>
      </c>
      <c r="R10" s="16">
        <f t="shared" si="5"/>
        <v>7.6712328767123283</v>
      </c>
      <c r="S10" s="16">
        <f t="shared" si="5"/>
        <v>7.6712328767123283</v>
      </c>
      <c r="T10" s="16">
        <f t="shared" si="5"/>
        <v>7.6712328767123283</v>
      </c>
      <c r="U10" s="16">
        <f t="shared" si="5"/>
        <v>7.6712328767123283</v>
      </c>
      <c r="V10" s="16">
        <f t="shared" si="5"/>
        <v>7.6712328767123283</v>
      </c>
      <c r="W10" s="16">
        <f t="shared" si="5"/>
        <v>7.6712328767123283</v>
      </c>
      <c r="X10" s="16">
        <f t="shared" si="5"/>
        <v>7.6712328767123283</v>
      </c>
      <c r="Y10" s="16">
        <f t="shared" si="5"/>
        <v>7.6712328767123283</v>
      </c>
      <c r="Z10" s="16">
        <f t="shared" si="5"/>
        <v>7.6712328767123283</v>
      </c>
      <c r="AA10" s="16">
        <f t="shared" si="5"/>
        <v>7.6712328767123283</v>
      </c>
      <c r="AB10" s="16">
        <f t="shared" si="5"/>
        <v>7.6712328767123283</v>
      </c>
    </row>
    <row r="11" spans="1:28" ht="15.75" customHeight="1" x14ac:dyDescent="0.3">
      <c r="A11" s="12">
        <f>RAW!$A$9</f>
        <v>6000</v>
      </c>
      <c r="B11" s="2"/>
      <c r="C11" s="17" t="s">
        <v>22</v>
      </c>
      <c r="D11" s="14">
        <f t="shared" si="2"/>
        <v>16.438356164383563</v>
      </c>
      <c r="E11" s="2"/>
      <c r="F11" s="17" t="s">
        <v>22</v>
      </c>
      <c r="G11" s="14">
        <f t="shared" ref="G11:AB11" si="6">($A11/G$5)/365</f>
        <v>16.438356164383563</v>
      </c>
      <c r="H11" s="14">
        <f t="shared" si="6"/>
        <v>16.438356164383563</v>
      </c>
      <c r="I11" s="14">
        <f t="shared" si="6"/>
        <v>16.438356164383563</v>
      </c>
      <c r="J11" s="14">
        <f t="shared" si="6"/>
        <v>16.438356164383563</v>
      </c>
      <c r="K11" s="14">
        <f t="shared" si="6"/>
        <v>16.438356164383563</v>
      </c>
      <c r="L11" s="14">
        <f t="shared" si="6"/>
        <v>16.438356164383563</v>
      </c>
      <c r="M11" s="14">
        <f t="shared" si="6"/>
        <v>16.438356164383563</v>
      </c>
      <c r="N11" s="14">
        <f t="shared" si="6"/>
        <v>16.438356164383563</v>
      </c>
      <c r="O11" s="15">
        <f t="shared" si="6"/>
        <v>16.438356164383563</v>
      </c>
      <c r="P11" s="16">
        <f t="shared" si="6"/>
        <v>16.438356164383563</v>
      </c>
      <c r="Q11" s="16">
        <f t="shared" si="6"/>
        <v>16.438356164383563</v>
      </c>
      <c r="R11" s="16">
        <f t="shared" si="6"/>
        <v>16.438356164383563</v>
      </c>
      <c r="S11" s="16">
        <f t="shared" si="6"/>
        <v>16.438356164383563</v>
      </c>
      <c r="T11" s="16">
        <f t="shared" si="6"/>
        <v>16.438356164383563</v>
      </c>
      <c r="U11" s="16">
        <f t="shared" si="6"/>
        <v>16.438356164383563</v>
      </c>
      <c r="V11" s="16">
        <f t="shared" si="6"/>
        <v>16.438356164383563</v>
      </c>
      <c r="W11" s="16">
        <f t="shared" si="6"/>
        <v>16.438356164383563</v>
      </c>
      <c r="X11" s="16">
        <f t="shared" si="6"/>
        <v>16.438356164383563</v>
      </c>
      <c r="Y11" s="16">
        <f t="shared" si="6"/>
        <v>16.438356164383563</v>
      </c>
      <c r="Z11" s="16">
        <f t="shared" si="6"/>
        <v>16.438356164383563</v>
      </c>
      <c r="AA11" s="16">
        <f t="shared" si="6"/>
        <v>16.438356164383563</v>
      </c>
      <c r="AB11" s="16">
        <f t="shared" si="6"/>
        <v>16.438356164383563</v>
      </c>
    </row>
    <row r="12" spans="1:28" ht="15.75" customHeight="1" x14ac:dyDescent="0.3">
      <c r="A12" s="12">
        <f>RAW!$A$10</f>
        <v>12400</v>
      </c>
      <c r="B12" s="2"/>
      <c r="C12" s="17" t="s">
        <v>23</v>
      </c>
      <c r="D12" s="14">
        <f t="shared" si="2"/>
        <v>33.972602739726028</v>
      </c>
      <c r="E12" s="2"/>
      <c r="F12" s="17" t="s">
        <v>23</v>
      </c>
      <c r="G12" s="14">
        <f t="shared" ref="G12:AB12" si="7">($A12/G$5)/365</f>
        <v>33.972602739726028</v>
      </c>
      <c r="H12" s="14">
        <f t="shared" si="7"/>
        <v>33.972602739726028</v>
      </c>
      <c r="I12" s="14">
        <f t="shared" si="7"/>
        <v>33.972602739726028</v>
      </c>
      <c r="J12" s="14">
        <f t="shared" si="7"/>
        <v>33.972602739726028</v>
      </c>
      <c r="K12" s="14">
        <f t="shared" si="7"/>
        <v>33.972602739726028</v>
      </c>
      <c r="L12" s="14">
        <f t="shared" si="7"/>
        <v>33.972602739726028</v>
      </c>
      <c r="M12" s="14">
        <f t="shared" si="7"/>
        <v>33.972602739726028</v>
      </c>
      <c r="N12" s="14">
        <f t="shared" si="7"/>
        <v>33.972602739726028</v>
      </c>
      <c r="O12" s="15">
        <f t="shared" si="7"/>
        <v>33.972602739726028</v>
      </c>
      <c r="P12" s="16">
        <f t="shared" si="7"/>
        <v>33.972602739726028</v>
      </c>
      <c r="Q12" s="16">
        <f t="shared" si="7"/>
        <v>33.972602739726028</v>
      </c>
      <c r="R12" s="16">
        <f t="shared" si="7"/>
        <v>33.972602739726028</v>
      </c>
      <c r="S12" s="16">
        <f t="shared" si="7"/>
        <v>33.972602739726028</v>
      </c>
      <c r="T12" s="16">
        <f t="shared" si="7"/>
        <v>33.972602739726028</v>
      </c>
      <c r="U12" s="16">
        <f t="shared" si="7"/>
        <v>33.972602739726028</v>
      </c>
      <c r="V12" s="16">
        <f t="shared" si="7"/>
        <v>33.972602739726028</v>
      </c>
      <c r="W12" s="16">
        <f t="shared" si="7"/>
        <v>33.972602739726028</v>
      </c>
      <c r="X12" s="16">
        <f t="shared" si="7"/>
        <v>33.972602739726028</v>
      </c>
      <c r="Y12" s="16">
        <f t="shared" si="7"/>
        <v>33.972602739726028</v>
      </c>
      <c r="Z12" s="16">
        <f t="shared" si="7"/>
        <v>33.972602739726028</v>
      </c>
      <c r="AA12" s="16">
        <f t="shared" si="7"/>
        <v>33.972602739726028</v>
      </c>
      <c r="AB12" s="16">
        <f t="shared" si="7"/>
        <v>33.972602739726028</v>
      </c>
    </row>
    <row r="13" spans="1:28" ht="15.75" customHeight="1" x14ac:dyDescent="0.3">
      <c r="A13" s="12">
        <f>RAW!$A$11</f>
        <v>25200</v>
      </c>
      <c r="B13" s="2"/>
      <c r="C13" s="17" t="s">
        <v>24</v>
      </c>
      <c r="D13" s="14">
        <f t="shared" si="2"/>
        <v>69.041095890410958</v>
      </c>
      <c r="E13" s="2"/>
      <c r="F13" s="17" t="s">
        <v>24</v>
      </c>
      <c r="G13" s="14">
        <f t="shared" ref="G13:AB13" si="8">($A13/G$5)/365</f>
        <v>69.041095890410958</v>
      </c>
      <c r="H13" s="14">
        <f t="shared" si="8"/>
        <v>69.041095890410958</v>
      </c>
      <c r="I13" s="14">
        <f t="shared" si="8"/>
        <v>69.041095890410958</v>
      </c>
      <c r="J13" s="14">
        <f t="shared" si="8"/>
        <v>69.041095890410958</v>
      </c>
      <c r="K13" s="14">
        <f t="shared" si="8"/>
        <v>69.041095890410958</v>
      </c>
      <c r="L13" s="14">
        <f t="shared" si="8"/>
        <v>69.041095890410958</v>
      </c>
      <c r="M13" s="14">
        <f t="shared" si="8"/>
        <v>69.041095890410958</v>
      </c>
      <c r="N13" s="14">
        <f t="shared" si="8"/>
        <v>69.041095890410958</v>
      </c>
      <c r="O13" s="15">
        <f t="shared" si="8"/>
        <v>69.041095890410958</v>
      </c>
      <c r="P13" s="16">
        <f t="shared" si="8"/>
        <v>69.041095890410958</v>
      </c>
      <c r="Q13" s="16">
        <f t="shared" si="8"/>
        <v>69.041095890410958</v>
      </c>
      <c r="R13" s="16">
        <f t="shared" si="8"/>
        <v>69.041095890410958</v>
      </c>
      <c r="S13" s="16">
        <f t="shared" si="8"/>
        <v>69.041095890410958</v>
      </c>
      <c r="T13" s="16">
        <f t="shared" si="8"/>
        <v>69.041095890410958</v>
      </c>
      <c r="U13" s="16">
        <f t="shared" si="8"/>
        <v>69.041095890410958</v>
      </c>
      <c r="V13" s="16">
        <f t="shared" si="8"/>
        <v>69.041095890410958</v>
      </c>
      <c r="W13" s="16">
        <f t="shared" si="8"/>
        <v>69.041095890410958</v>
      </c>
      <c r="X13" s="16">
        <f t="shared" si="8"/>
        <v>69.041095890410958</v>
      </c>
      <c r="Y13" s="16">
        <f t="shared" si="8"/>
        <v>69.041095890410958</v>
      </c>
      <c r="Z13" s="16">
        <f t="shared" si="8"/>
        <v>69.041095890410958</v>
      </c>
      <c r="AA13" s="16">
        <f t="shared" si="8"/>
        <v>69.041095890410958</v>
      </c>
      <c r="AB13" s="16">
        <f t="shared" si="8"/>
        <v>69.041095890410958</v>
      </c>
    </row>
    <row r="14" spans="1:28" ht="15.75" customHeight="1" x14ac:dyDescent="0.3">
      <c r="A14" s="12">
        <f>RAW!$A$12</f>
        <v>50800</v>
      </c>
      <c r="B14" s="2"/>
      <c r="C14" s="17" t="s">
        <v>25</v>
      </c>
      <c r="D14" s="14">
        <f t="shared" si="2"/>
        <v>139.17808219178082</v>
      </c>
      <c r="E14" s="2"/>
      <c r="F14" s="17" t="s">
        <v>25</v>
      </c>
      <c r="G14" s="14">
        <f t="shared" ref="G14:AB14" si="9">($A14/G$5)/365</f>
        <v>139.17808219178082</v>
      </c>
      <c r="H14" s="14">
        <f t="shared" si="9"/>
        <v>139.17808219178082</v>
      </c>
      <c r="I14" s="14">
        <f t="shared" si="9"/>
        <v>139.17808219178082</v>
      </c>
      <c r="J14" s="14">
        <f t="shared" si="9"/>
        <v>139.17808219178082</v>
      </c>
      <c r="K14" s="14">
        <f t="shared" si="9"/>
        <v>139.17808219178082</v>
      </c>
      <c r="L14" s="14">
        <f t="shared" si="9"/>
        <v>139.17808219178082</v>
      </c>
      <c r="M14" s="14">
        <f t="shared" si="9"/>
        <v>139.17808219178082</v>
      </c>
      <c r="N14" s="14">
        <f t="shared" si="9"/>
        <v>139.17808219178082</v>
      </c>
      <c r="O14" s="15">
        <f t="shared" si="9"/>
        <v>139.17808219178082</v>
      </c>
      <c r="P14" s="16">
        <f t="shared" si="9"/>
        <v>139.17808219178082</v>
      </c>
      <c r="Q14" s="16">
        <f t="shared" si="9"/>
        <v>139.17808219178082</v>
      </c>
      <c r="R14" s="16">
        <f t="shared" si="9"/>
        <v>139.17808219178082</v>
      </c>
      <c r="S14" s="16">
        <f t="shared" si="9"/>
        <v>139.17808219178082</v>
      </c>
      <c r="T14" s="16">
        <f t="shared" si="9"/>
        <v>139.17808219178082</v>
      </c>
      <c r="U14" s="16">
        <f t="shared" si="9"/>
        <v>139.17808219178082</v>
      </c>
      <c r="V14" s="16">
        <f t="shared" si="9"/>
        <v>139.17808219178082</v>
      </c>
      <c r="W14" s="16">
        <f t="shared" si="9"/>
        <v>139.17808219178082</v>
      </c>
      <c r="X14" s="16">
        <f t="shared" si="9"/>
        <v>139.17808219178082</v>
      </c>
      <c r="Y14" s="16">
        <f t="shared" si="9"/>
        <v>139.17808219178082</v>
      </c>
      <c r="Z14" s="16">
        <f t="shared" si="9"/>
        <v>139.17808219178082</v>
      </c>
      <c r="AA14" s="16">
        <f t="shared" si="9"/>
        <v>139.17808219178082</v>
      </c>
      <c r="AB14" s="16">
        <f t="shared" si="9"/>
        <v>139.17808219178082</v>
      </c>
    </row>
    <row r="15" spans="1:28" ht="15.75" customHeight="1" x14ac:dyDescent="0.3">
      <c r="A15" s="12">
        <f>RAW!$A$13</f>
        <v>102000</v>
      </c>
      <c r="B15" s="2"/>
      <c r="C15" s="17" t="s">
        <v>26</v>
      </c>
      <c r="D15" s="14">
        <f t="shared" si="2"/>
        <v>279.45205479452056</v>
      </c>
      <c r="E15" s="2"/>
      <c r="F15" s="17" t="s">
        <v>26</v>
      </c>
      <c r="G15" s="14">
        <f t="shared" ref="G15:AB15" si="10">($A15/G$5)/365</f>
        <v>279.45205479452056</v>
      </c>
      <c r="H15" s="14">
        <f t="shared" si="10"/>
        <v>279.45205479452056</v>
      </c>
      <c r="I15" s="14">
        <f t="shared" si="10"/>
        <v>279.45205479452056</v>
      </c>
      <c r="J15" s="14">
        <f t="shared" si="10"/>
        <v>279.45205479452056</v>
      </c>
      <c r="K15" s="14">
        <f t="shared" si="10"/>
        <v>279.45205479452056</v>
      </c>
      <c r="L15" s="14">
        <f t="shared" si="10"/>
        <v>279.45205479452056</v>
      </c>
      <c r="M15" s="14">
        <f t="shared" si="10"/>
        <v>279.45205479452056</v>
      </c>
      <c r="N15" s="14">
        <f t="shared" si="10"/>
        <v>279.45205479452056</v>
      </c>
      <c r="O15" s="15">
        <f t="shared" si="10"/>
        <v>279.45205479452056</v>
      </c>
      <c r="P15" s="16">
        <f t="shared" si="10"/>
        <v>279.45205479452056</v>
      </c>
      <c r="Q15" s="16">
        <f t="shared" si="10"/>
        <v>279.45205479452056</v>
      </c>
      <c r="R15" s="16">
        <f t="shared" si="10"/>
        <v>279.45205479452056</v>
      </c>
      <c r="S15" s="16">
        <f t="shared" si="10"/>
        <v>279.45205479452056</v>
      </c>
      <c r="T15" s="16">
        <f t="shared" si="10"/>
        <v>279.45205479452056</v>
      </c>
      <c r="U15" s="16">
        <f t="shared" si="10"/>
        <v>279.45205479452056</v>
      </c>
      <c r="V15" s="16">
        <f t="shared" si="10"/>
        <v>279.45205479452056</v>
      </c>
      <c r="W15" s="16">
        <f t="shared" si="10"/>
        <v>279.45205479452056</v>
      </c>
      <c r="X15" s="16">
        <f t="shared" si="10"/>
        <v>279.45205479452056</v>
      </c>
      <c r="Y15" s="16">
        <f t="shared" si="10"/>
        <v>279.45205479452056</v>
      </c>
      <c r="Z15" s="16">
        <f t="shared" si="10"/>
        <v>279.45205479452056</v>
      </c>
      <c r="AA15" s="16">
        <f t="shared" si="10"/>
        <v>279.45205479452056</v>
      </c>
      <c r="AB15" s="16">
        <f t="shared" si="10"/>
        <v>279.45205479452056</v>
      </c>
    </row>
    <row r="16" spans="1:28" ht="15.75" customHeight="1" x14ac:dyDescent="0.3">
      <c r="A16" s="12">
        <f>RAW!$A$14</f>
        <v>204400</v>
      </c>
      <c r="B16" s="2"/>
      <c r="C16" s="17" t="s">
        <v>27</v>
      </c>
      <c r="D16" s="14">
        <f t="shared" si="2"/>
        <v>560</v>
      </c>
      <c r="E16" s="2"/>
      <c r="F16" s="17" t="s">
        <v>27</v>
      </c>
      <c r="G16" s="14">
        <f t="shared" ref="G16:AB16" si="11">($A16/G$5)/365</f>
        <v>560</v>
      </c>
      <c r="H16" s="14">
        <f t="shared" si="11"/>
        <v>560</v>
      </c>
      <c r="I16" s="14">
        <f t="shared" si="11"/>
        <v>560</v>
      </c>
      <c r="J16" s="14">
        <f t="shared" si="11"/>
        <v>560</v>
      </c>
      <c r="K16" s="14">
        <f t="shared" si="11"/>
        <v>560</v>
      </c>
      <c r="L16" s="14">
        <f t="shared" si="11"/>
        <v>560</v>
      </c>
      <c r="M16" s="14">
        <f t="shared" si="11"/>
        <v>560</v>
      </c>
      <c r="N16" s="14">
        <f t="shared" si="11"/>
        <v>560</v>
      </c>
      <c r="O16" s="15">
        <f t="shared" si="11"/>
        <v>560</v>
      </c>
      <c r="P16" s="16">
        <f t="shared" si="11"/>
        <v>560</v>
      </c>
      <c r="Q16" s="16">
        <f t="shared" si="11"/>
        <v>560</v>
      </c>
      <c r="R16" s="16">
        <f t="shared" si="11"/>
        <v>560</v>
      </c>
      <c r="S16" s="16">
        <f t="shared" si="11"/>
        <v>560</v>
      </c>
      <c r="T16" s="16">
        <f t="shared" si="11"/>
        <v>560</v>
      </c>
      <c r="U16" s="16">
        <f t="shared" si="11"/>
        <v>560</v>
      </c>
      <c r="V16" s="16">
        <f t="shared" si="11"/>
        <v>560</v>
      </c>
      <c r="W16" s="16">
        <f t="shared" si="11"/>
        <v>560</v>
      </c>
      <c r="X16" s="16">
        <f t="shared" si="11"/>
        <v>560</v>
      </c>
      <c r="Y16" s="16">
        <f t="shared" si="11"/>
        <v>560</v>
      </c>
      <c r="Z16" s="16">
        <f t="shared" si="11"/>
        <v>560</v>
      </c>
      <c r="AA16" s="16">
        <f t="shared" si="11"/>
        <v>560</v>
      </c>
      <c r="AB16" s="16">
        <f t="shared" si="11"/>
        <v>560</v>
      </c>
    </row>
    <row r="17" spans="1:28" ht="15.75" customHeight="1" x14ac:dyDescent="0.3">
      <c r="A17" s="12">
        <f>RAW!$A$15</f>
        <v>409200</v>
      </c>
      <c r="B17" s="2"/>
      <c r="C17" s="17" t="s">
        <v>28</v>
      </c>
      <c r="D17" s="14">
        <f t="shared" si="2"/>
        <v>1121.0958904109589</v>
      </c>
      <c r="E17" s="2"/>
      <c r="F17" s="17" t="s">
        <v>28</v>
      </c>
      <c r="G17" s="14">
        <f t="shared" ref="G17:AB17" si="12">($A17/G$5)/365</f>
        <v>1121.0958904109589</v>
      </c>
      <c r="H17" s="14">
        <f t="shared" si="12"/>
        <v>1121.0958904109589</v>
      </c>
      <c r="I17" s="14">
        <f t="shared" si="12"/>
        <v>1121.0958904109589</v>
      </c>
      <c r="J17" s="14">
        <f t="shared" si="12"/>
        <v>1121.0958904109589</v>
      </c>
      <c r="K17" s="14">
        <f t="shared" si="12"/>
        <v>1121.0958904109589</v>
      </c>
      <c r="L17" s="14">
        <f t="shared" si="12"/>
        <v>1121.0958904109589</v>
      </c>
      <c r="M17" s="14">
        <f t="shared" si="12"/>
        <v>1121.0958904109589</v>
      </c>
      <c r="N17" s="14">
        <f t="shared" si="12"/>
        <v>1121.0958904109589</v>
      </c>
      <c r="O17" s="15">
        <f t="shared" si="12"/>
        <v>1121.0958904109589</v>
      </c>
      <c r="P17" s="16">
        <f t="shared" si="12"/>
        <v>1121.0958904109589</v>
      </c>
      <c r="Q17" s="16">
        <f t="shared" si="12"/>
        <v>1121.0958904109589</v>
      </c>
      <c r="R17" s="16">
        <f t="shared" si="12"/>
        <v>1121.0958904109589</v>
      </c>
      <c r="S17" s="16">
        <f t="shared" si="12"/>
        <v>1121.0958904109589</v>
      </c>
      <c r="T17" s="16">
        <f t="shared" si="12"/>
        <v>1121.0958904109589</v>
      </c>
      <c r="U17" s="16">
        <f t="shared" si="12"/>
        <v>1121.0958904109589</v>
      </c>
      <c r="V17" s="16">
        <f t="shared" si="12"/>
        <v>1121.0958904109589</v>
      </c>
      <c r="W17" s="16">
        <f t="shared" si="12"/>
        <v>1121.0958904109589</v>
      </c>
      <c r="X17" s="16">
        <f t="shared" si="12"/>
        <v>1121.0958904109589</v>
      </c>
      <c r="Y17" s="16">
        <f t="shared" si="12"/>
        <v>1121.0958904109589</v>
      </c>
      <c r="Z17" s="16">
        <f t="shared" si="12"/>
        <v>1121.0958904109589</v>
      </c>
      <c r="AA17" s="16">
        <f t="shared" si="12"/>
        <v>1121.0958904109589</v>
      </c>
      <c r="AB17" s="16">
        <f t="shared" si="12"/>
        <v>1121.0958904109589</v>
      </c>
    </row>
    <row r="18" spans="1:28" ht="15.75" customHeight="1" x14ac:dyDescent="0.3">
      <c r="A18" s="12">
        <f>RAW!$A$16</f>
        <v>818800</v>
      </c>
      <c r="B18" s="2"/>
      <c r="C18" s="17" t="s">
        <v>29</v>
      </c>
      <c r="D18" s="14">
        <f t="shared" si="2"/>
        <v>2243.2876712328766</v>
      </c>
      <c r="E18" s="2"/>
      <c r="F18" s="17" t="s">
        <v>29</v>
      </c>
      <c r="G18" s="14">
        <f t="shared" ref="G18:AB18" si="13">($A18/G$5)/365</f>
        <v>2243.2876712328766</v>
      </c>
      <c r="H18" s="14">
        <f t="shared" si="13"/>
        <v>2243.2876712328766</v>
      </c>
      <c r="I18" s="14">
        <f t="shared" si="13"/>
        <v>2243.2876712328766</v>
      </c>
      <c r="J18" s="14">
        <f t="shared" si="13"/>
        <v>2243.2876712328766</v>
      </c>
      <c r="K18" s="14">
        <f t="shared" si="13"/>
        <v>2243.2876712328766</v>
      </c>
      <c r="L18" s="14">
        <f t="shared" si="13"/>
        <v>2243.2876712328766</v>
      </c>
      <c r="M18" s="14">
        <f t="shared" si="13"/>
        <v>2243.2876712328766</v>
      </c>
      <c r="N18" s="14">
        <f t="shared" si="13"/>
        <v>2243.2876712328766</v>
      </c>
      <c r="O18" s="15">
        <f t="shared" si="13"/>
        <v>2243.2876712328766</v>
      </c>
      <c r="P18" s="16">
        <f t="shared" si="13"/>
        <v>2243.2876712328766</v>
      </c>
      <c r="Q18" s="16">
        <f t="shared" si="13"/>
        <v>2243.2876712328766</v>
      </c>
      <c r="R18" s="16">
        <f t="shared" si="13"/>
        <v>2243.2876712328766</v>
      </c>
      <c r="S18" s="16">
        <f t="shared" si="13"/>
        <v>2243.2876712328766</v>
      </c>
      <c r="T18" s="16">
        <f t="shared" si="13"/>
        <v>2243.2876712328766</v>
      </c>
      <c r="U18" s="16">
        <f t="shared" si="13"/>
        <v>2243.2876712328766</v>
      </c>
      <c r="V18" s="16">
        <f t="shared" si="13"/>
        <v>2243.2876712328766</v>
      </c>
      <c r="W18" s="16">
        <f t="shared" si="13"/>
        <v>2243.2876712328766</v>
      </c>
      <c r="X18" s="16">
        <f t="shared" si="13"/>
        <v>2243.2876712328766</v>
      </c>
      <c r="Y18" s="16">
        <f t="shared" si="13"/>
        <v>2243.2876712328766</v>
      </c>
      <c r="Z18" s="16">
        <f t="shared" si="13"/>
        <v>2243.2876712328766</v>
      </c>
      <c r="AA18" s="16">
        <f t="shared" si="13"/>
        <v>2243.2876712328766</v>
      </c>
      <c r="AB18" s="16">
        <f t="shared" si="13"/>
        <v>2243.2876712328766</v>
      </c>
    </row>
    <row r="19" spans="1:28" ht="15.75" customHeight="1" x14ac:dyDescent="0.3">
      <c r="A19" s="12">
        <f>RAW!$A$17</f>
        <v>1638000</v>
      </c>
      <c r="B19" s="2"/>
      <c r="C19" s="17" t="s">
        <v>30</v>
      </c>
      <c r="D19" s="14">
        <f t="shared" si="2"/>
        <v>4487.6712328767126</v>
      </c>
      <c r="E19" s="2"/>
      <c r="F19" s="17" t="s">
        <v>30</v>
      </c>
      <c r="G19" s="14">
        <f t="shared" ref="G19:AB19" si="14">($A19/G$5)/365</f>
        <v>4487.6712328767126</v>
      </c>
      <c r="H19" s="14">
        <f t="shared" si="14"/>
        <v>4487.6712328767126</v>
      </c>
      <c r="I19" s="14">
        <f t="shared" si="14"/>
        <v>4487.6712328767126</v>
      </c>
      <c r="J19" s="14">
        <f t="shared" si="14"/>
        <v>4487.6712328767126</v>
      </c>
      <c r="K19" s="14">
        <f t="shared" si="14"/>
        <v>4487.6712328767126</v>
      </c>
      <c r="L19" s="14">
        <f t="shared" si="14"/>
        <v>4487.6712328767126</v>
      </c>
      <c r="M19" s="14">
        <f t="shared" si="14"/>
        <v>4487.6712328767126</v>
      </c>
      <c r="N19" s="14">
        <f t="shared" si="14"/>
        <v>4487.6712328767126</v>
      </c>
      <c r="O19" s="15">
        <f t="shared" si="14"/>
        <v>4487.6712328767126</v>
      </c>
      <c r="P19" s="16">
        <f t="shared" si="14"/>
        <v>4487.6712328767126</v>
      </c>
      <c r="Q19" s="16">
        <f t="shared" si="14"/>
        <v>4487.6712328767126</v>
      </c>
      <c r="R19" s="16">
        <f t="shared" si="14"/>
        <v>4487.6712328767126</v>
      </c>
      <c r="S19" s="16">
        <f t="shared" si="14"/>
        <v>4487.6712328767126</v>
      </c>
      <c r="T19" s="16">
        <f t="shared" si="14"/>
        <v>4487.6712328767126</v>
      </c>
      <c r="U19" s="16">
        <f t="shared" si="14"/>
        <v>4487.6712328767126</v>
      </c>
      <c r="V19" s="16">
        <f t="shared" si="14"/>
        <v>4487.6712328767126</v>
      </c>
      <c r="W19" s="16">
        <f t="shared" si="14"/>
        <v>4487.6712328767126</v>
      </c>
      <c r="X19" s="16">
        <f t="shared" si="14"/>
        <v>4487.6712328767126</v>
      </c>
      <c r="Y19" s="16">
        <f t="shared" si="14"/>
        <v>4487.6712328767126</v>
      </c>
      <c r="Z19" s="16">
        <f t="shared" si="14"/>
        <v>4487.6712328767126</v>
      </c>
      <c r="AA19" s="16">
        <f t="shared" si="14"/>
        <v>4487.6712328767126</v>
      </c>
      <c r="AB19" s="16">
        <f t="shared" si="14"/>
        <v>4487.6712328767126</v>
      </c>
    </row>
    <row r="20" spans="1:28" ht="15.75" customHeight="1" x14ac:dyDescent="0.3">
      <c r="A20" s="12">
        <f>RAW!$A$18</f>
        <v>3276400</v>
      </c>
      <c r="B20" s="2"/>
      <c r="C20" s="17" t="s">
        <v>31</v>
      </c>
      <c r="D20" s="14">
        <f t="shared" si="2"/>
        <v>8976.4383561643845</v>
      </c>
      <c r="E20" s="2"/>
      <c r="F20" s="17" t="s">
        <v>31</v>
      </c>
      <c r="G20" s="14">
        <f t="shared" ref="G20:AB20" si="15">($A20/G$5)/365</f>
        <v>8976.4383561643845</v>
      </c>
      <c r="H20" s="14">
        <f t="shared" si="15"/>
        <v>8976.4383561643845</v>
      </c>
      <c r="I20" s="14">
        <f t="shared" si="15"/>
        <v>8976.4383561643845</v>
      </c>
      <c r="J20" s="14">
        <f t="shared" si="15"/>
        <v>8976.4383561643845</v>
      </c>
      <c r="K20" s="14">
        <f t="shared" si="15"/>
        <v>8976.4383561643845</v>
      </c>
      <c r="L20" s="14">
        <f t="shared" si="15"/>
        <v>8976.4383561643845</v>
      </c>
      <c r="M20" s="14">
        <f t="shared" si="15"/>
        <v>8976.4383561643845</v>
      </c>
      <c r="N20" s="14">
        <f t="shared" si="15"/>
        <v>8976.4383561643845</v>
      </c>
      <c r="O20" s="15">
        <f t="shared" si="15"/>
        <v>8976.4383561643845</v>
      </c>
      <c r="P20" s="16">
        <f t="shared" si="15"/>
        <v>8976.4383561643845</v>
      </c>
      <c r="Q20" s="16">
        <f t="shared" si="15"/>
        <v>8976.4383561643845</v>
      </c>
      <c r="R20" s="16">
        <f t="shared" si="15"/>
        <v>8976.4383561643845</v>
      </c>
      <c r="S20" s="16">
        <f t="shared" si="15"/>
        <v>8976.4383561643845</v>
      </c>
      <c r="T20" s="16">
        <f t="shared" si="15"/>
        <v>8976.4383561643845</v>
      </c>
      <c r="U20" s="16">
        <f t="shared" si="15"/>
        <v>8976.4383561643845</v>
      </c>
      <c r="V20" s="16">
        <f t="shared" si="15"/>
        <v>8976.4383561643845</v>
      </c>
      <c r="W20" s="16">
        <f t="shared" si="15"/>
        <v>8976.4383561643845</v>
      </c>
      <c r="X20" s="16">
        <f t="shared" si="15"/>
        <v>8976.4383561643845</v>
      </c>
      <c r="Y20" s="16">
        <f t="shared" si="15"/>
        <v>8976.4383561643845</v>
      </c>
      <c r="Z20" s="16">
        <f t="shared" si="15"/>
        <v>8976.4383561643845</v>
      </c>
      <c r="AA20" s="16">
        <f t="shared" si="15"/>
        <v>8976.4383561643845</v>
      </c>
      <c r="AB20" s="16">
        <f t="shared" si="15"/>
        <v>8976.4383561643845</v>
      </c>
    </row>
    <row r="21" spans="1:28" ht="15.75" customHeight="1" x14ac:dyDescent="0.3">
      <c r="A21" s="12">
        <f>RAW!$A$19</f>
        <v>6553200</v>
      </c>
      <c r="B21" s="2"/>
      <c r="C21" s="17" t="s">
        <v>32</v>
      </c>
      <c r="D21" s="14">
        <f t="shared" si="2"/>
        <v>17953.972602739726</v>
      </c>
      <c r="E21" s="2"/>
      <c r="F21" s="17" t="s">
        <v>32</v>
      </c>
      <c r="G21" s="14">
        <f t="shared" ref="G21:AB21" si="16">($A21/G$5)/365</f>
        <v>17953.972602739726</v>
      </c>
      <c r="H21" s="14">
        <f t="shared" si="16"/>
        <v>17953.972602739726</v>
      </c>
      <c r="I21" s="14">
        <f t="shared" si="16"/>
        <v>17953.972602739726</v>
      </c>
      <c r="J21" s="14">
        <f t="shared" si="16"/>
        <v>17953.972602739726</v>
      </c>
      <c r="K21" s="14">
        <f t="shared" si="16"/>
        <v>17953.972602739726</v>
      </c>
      <c r="L21" s="14">
        <f t="shared" si="16"/>
        <v>17953.972602739726</v>
      </c>
      <c r="M21" s="14">
        <f t="shared" si="16"/>
        <v>17953.972602739726</v>
      </c>
      <c r="N21" s="14">
        <f t="shared" si="16"/>
        <v>17953.972602739726</v>
      </c>
      <c r="O21" s="15">
        <f t="shared" si="16"/>
        <v>17953.972602739726</v>
      </c>
      <c r="P21" s="16">
        <f t="shared" si="16"/>
        <v>17953.972602739726</v>
      </c>
      <c r="Q21" s="16">
        <f t="shared" si="16"/>
        <v>17953.972602739726</v>
      </c>
      <c r="R21" s="16">
        <f t="shared" si="16"/>
        <v>17953.972602739726</v>
      </c>
      <c r="S21" s="16">
        <f t="shared" si="16"/>
        <v>17953.972602739726</v>
      </c>
      <c r="T21" s="16">
        <f t="shared" si="16"/>
        <v>17953.972602739726</v>
      </c>
      <c r="U21" s="16">
        <f t="shared" si="16"/>
        <v>17953.972602739726</v>
      </c>
      <c r="V21" s="16">
        <f t="shared" si="16"/>
        <v>17953.972602739726</v>
      </c>
      <c r="W21" s="16">
        <f t="shared" si="16"/>
        <v>17953.972602739726</v>
      </c>
      <c r="X21" s="16">
        <f t="shared" si="16"/>
        <v>17953.972602739726</v>
      </c>
      <c r="Y21" s="16">
        <f t="shared" si="16"/>
        <v>17953.972602739726</v>
      </c>
      <c r="Z21" s="16">
        <f t="shared" si="16"/>
        <v>17953.972602739726</v>
      </c>
      <c r="AA21" s="16">
        <f t="shared" si="16"/>
        <v>17953.972602739726</v>
      </c>
      <c r="AB21" s="16">
        <f t="shared" si="16"/>
        <v>17953.972602739726</v>
      </c>
    </row>
    <row r="22" spans="1:28" ht="15.75" customHeight="1" x14ac:dyDescent="0.3">
      <c r="A22" s="12">
        <f>RAW!$A$20</f>
        <v>13106800</v>
      </c>
      <c r="B22" s="2"/>
      <c r="C22" s="17" t="s">
        <v>33</v>
      </c>
      <c r="D22" s="14">
        <f t="shared" si="2"/>
        <v>35909.04109589041</v>
      </c>
      <c r="E22" s="2"/>
      <c r="F22" s="17" t="s">
        <v>33</v>
      </c>
      <c r="G22" s="14">
        <f t="shared" ref="G22:AB22" si="17">($A22/G$5)/365</f>
        <v>35909.04109589041</v>
      </c>
      <c r="H22" s="14">
        <f t="shared" si="17"/>
        <v>35909.04109589041</v>
      </c>
      <c r="I22" s="14">
        <f t="shared" si="17"/>
        <v>35909.04109589041</v>
      </c>
      <c r="J22" s="14">
        <f t="shared" si="17"/>
        <v>35909.04109589041</v>
      </c>
      <c r="K22" s="14">
        <f t="shared" si="17"/>
        <v>35909.04109589041</v>
      </c>
      <c r="L22" s="14">
        <f t="shared" si="17"/>
        <v>35909.04109589041</v>
      </c>
      <c r="M22" s="14">
        <f t="shared" si="17"/>
        <v>35909.04109589041</v>
      </c>
      <c r="N22" s="14">
        <f t="shared" si="17"/>
        <v>35909.04109589041</v>
      </c>
      <c r="O22" s="15">
        <f t="shared" si="17"/>
        <v>35909.04109589041</v>
      </c>
      <c r="P22" s="16">
        <f t="shared" si="17"/>
        <v>35909.04109589041</v>
      </c>
      <c r="Q22" s="16">
        <f t="shared" si="17"/>
        <v>35909.04109589041</v>
      </c>
      <c r="R22" s="16">
        <f t="shared" si="17"/>
        <v>35909.04109589041</v>
      </c>
      <c r="S22" s="16">
        <f t="shared" si="17"/>
        <v>35909.04109589041</v>
      </c>
      <c r="T22" s="16">
        <f t="shared" si="17"/>
        <v>35909.04109589041</v>
      </c>
      <c r="U22" s="16">
        <f t="shared" si="17"/>
        <v>35909.04109589041</v>
      </c>
      <c r="V22" s="16">
        <f t="shared" si="17"/>
        <v>35909.04109589041</v>
      </c>
      <c r="W22" s="16">
        <f t="shared" si="17"/>
        <v>35909.04109589041</v>
      </c>
      <c r="X22" s="16">
        <f t="shared" si="17"/>
        <v>35909.04109589041</v>
      </c>
      <c r="Y22" s="16">
        <f t="shared" si="17"/>
        <v>35909.04109589041</v>
      </c>
      <c r="Z22" s="16">
        <f t="shared" si="17"/>
        <v>35909.04109589041</v>
      </c>
      <c r="AA22" s="16">
        <f t="shared" si="17"/>
        <v>35909.04109589041</v>
      </c>
      <c r="AB22" s="16">
        <f t="shared" si="17"/>
        <v>35909.04109589041</v>
      </c>
    </row>
    <row r="23" spans="1:28" ht="15.75" customHeight="1" x14ac:dyDescent="0.3">
      <c r="A23" s="12">
        <f>RAW!$A$21</f>
        <v>26214000</v>
      </c>
      <c r="B23" s="2"/>
      <c r="C23" s="17" t="s">
        <v>34</v>
      </c>
      <c r="D23" s="14">
        <f t="shared" si="2"/>
        <v>71819.178082191778</v>
      </c>
      <c r="E23" s="2"/>
      <c r="F23" s="17" t="s">
        <v>34</v>
      </c>
      <c r="G23" s="14">
        <f t="shared" ref="G23:AB23" si="18">($A23/G$5)/365</f>
        <v>71819.178082191778</v>
      </c>
      <c r="H23" s="14">
        <f t="shared" si="18"/>
        <v>71819.178082191778</v>
      </c>
      <c r="I23" s="14">
        <f t="shared" si="18"/>
        <v>71819.178082191778</v>
      </c>
      <c r="J23" s="14">
        <f t="shared" si="18"/>
        <v>71819.178082191778</v>
      </c>
      <c r="K23" s="14">
        <f t="shared" si="18"/>
        <v>71819.178082191778</v>
      </c>
      <c r="L23" s="14">
        <f t="shared" si="18"/>
        <v>71819.178082191778</v>
      </c>
      <c r="M23" s="14">
        <f t="shared" si="18"/>
        <v>71819.178082191778</v>
      </c>
      <c r="N23" s="14">
        <f t="shared" si="18"/>
        <v>71819.178082191778</v>
      </c>
      <c r="O23" s="15">
        <f t="shared" si="18"/>
        <v>71819.178082191778</v>
      </c>
      <c r="P23" s="16">
        <f t="shared" si="18"/>
        <v>71819.178082191778</v>
      </c>
      <c r="Q23" s="16">
        <f t="shared" si="18"/>
        <v>71819.178082191778</v>
      </c>
      <c r="R23" s="16">
        <f t="shared" si="18"/>
        <v>71819.178082191778</v>
      </c>
      <c r="S23" s="16">
        <f t="shared" si="18"/>
        <v>71819.178082191778</v>
      </c>
      <c r="T23" s="16">
        <f t="shared" si="18"/>
        <v>71819.178082191778</v>
      </c>
      <c r="U23" s="16">
        <f t="shared" si="18"/>
        <v>71819.178082191778</v>
      </c>
      <c r="V23" s="16">
        <f t="shared" si="18"/>
        <v>71819.178082191778</v>
      </c>
      <c r="W23" s="16">
        <f t="shared" si="18"/>
        <v>71819.178082191778</v>
      </c>
      <c r="X23" s="16">
        <f t="shared" si="18"/>
        <v>71819.178082191778</v>
      </c>
      <c r="Y23" s="16">
        <f t="shared" si="18"/>
        <v>71819.178082191778</v>
      </c>
      <c r="Z23" s="16">
        <f t="shared" si="18"/>
        <v>71819.178082191778</v>
      </c>
      <c r="AA23" s="16">
        <f t="shared" si="18"/>
        <v>71819.178082191778</v>
      </c>
      <c r="AB23" s="16">
        <f t="shared" si="18"/>
        <v>71819.178082191778</v>
      </c>
    </row>
    <row r="24" spans="1:28" ht="15.75" customHeight="1" x14ac:dyDescent="0.3">
      <c r="A24" s="12">
        <f>RAW!$A$22</f>
        <v>52428400</v>
      </c>
      <c r="B24" s="2"/>
      <c r="C24" s="17" t="s">
        <v>35</v>
      </c>
      <c r="D24" s="14">
        <f t="shared" si="2"/>
        <v>143639.45205479453</v>
      </c>
      <c r="E24" s="2"/>
      <c r="F24" s="17" t="s">
        <v>35</v>
      </c>
      <c r="G24" s="14">
        <f t="shared" ref="G24:AB24" si="19">($A24/G$5)/365</f>
        <v>143639.45205479453</v>
      </c>
      <c r="H24" s="14">
        <f t="shared" si="19"/>
        <v>143639.45205479453</v>
      </c>
      <c r="I24" s="14">
        <f t="shared" si="19"/>
        <v>143639.45205479453</v>
      </c>
      <c r="J24" s="14">
        <f t="shared" si="19"/>
        <v>143639.45205479453</v>
      </c>
      <c r="K24" s="14">
        <f t="shared" si="19"/>
        <v>143639.45205479453</v>
      </c>
      <c r="L24" s="14">
        <f t="shared" si="19"/>
        <v>143639.45205479453</v>
      </c>
      <c r="M24" s="14">
        <f t="shared" si="19"/>
        <v>143639.45205479453</v>
      </c>
      <c r="N24" s="14">
        <f t="shared" si="19"/>
        <v>143639.45205479453</v>
      </c>
      <c r="O24" s="15">
        <f t="shared" si="19"/>
        <v>143639.45205479453</v>
      </c>
      <c r="P24" s="16">
        <f t="shared" si="19"/>
        <v>143639.45205479453</v>
      </c>
      <c r="Q24" s="16">
        <f t="shared" si="19"/>
        <v>143639.45205479453</v>
      </c>
      <c r="R24" s="16">
        <f t="shared" si="19"/>
        <v>143639.45205479453</v>
      </c>
      <c r="S24" s="16">
        <f t="shared" si="19"/>
        <v>143639.45205479453</v>
      </c>
      <c r="T24" s="16">
        <f t="shared" si="19"/>
        <v>143639.45205479453</v>
      </c>
      <c r="U24" s="16">
        <f t="shared" si="19"/>
        <v>143639.45205479453</v>
      </c>
      <c r="V24" s="16">
        <f t="shared" si="19"/>
        <v>143639.45205479453</v>
      </c>
      <c r="W24" s="16">
        <f t="shared" si="19"/>
        <v>143639.45205479453</v>
      </c>
      <c r="X24" s="16">
        <f t="shared" si="19"/>
        <v>143639.45205479453</v>
      </c>
      <c r="Y24" s="16">
        <f t="shared" si="19"/>
        <v>143639.45205479453</v>
      </c>
      <c r="Z24" s="16">
        <f t="shared" si="19"/>
        <v>143639.45205479453</v>
      </c>
      <c r="AA24" s="16">
        <f t="shared" si="19"/>
        <v>143639.45205479453</v>
      </c>
      <c r="AB24" s="16">
        <f t="shared" si="19"/>
        <v>143639.45205479453</v>
      </c>
    </row>
    <row r="25" spans="1:28" ht="15.75" customHeight="1" x14ac:dyDescent="0.3">
      <c r="A25" s="3"/>
      <c r="B25" s="2"/>
      <c r="C25" s="29"/>
      <c r="D25" s="30"/>
      <c r="E25" s="2"/>
      <c r="F25" s="3"/>
      <c r="G25" s="31" t="s">
        <v>36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28" ht="15.75" customHeight="1" x14ac:dyDescent="0.3">
      <c r="A26" s="19" t="s">
        <v>37</v>
      </c>
      <c r="B26" s="2"/>
      <c r="C26" s="10" t="s">
        <v>9</v>
      </c>
      <c r="D26" s="10" t="s">
        <v>10</v>
      </c>
      <c r="E26" s="2"/>
      <c r="F26" s="20" t="s">
        <v>9</v>
      </c>
      <c r="G26" s="11" t="str">
        <f t="shared" ref="G26:AB26" si="20">G7</f>
        <v>Gamal</v>
      </c>
      <c r="H26" s="11" t="str">
        <f t="shared" si="20"/>
        <v>Naunet</v>
      </c>
      <c r="I26" s="11">
        <f t="shared" si="20"/>
        <v>0</v>
      </c>
      <c r="J26" s="11">
        <f t="shared" si="20"/>
        <v>0</v>
      </c>
      <c r="K26" s="11">
        <f t="shared" si="20"/>
        <v>0</v>
      </c>
      <c r="L26" s="11">
        <f t="shared" si="20"/>
        <v>0</v>
      </c>
      <c r="M26" s="11">
        <f t="shared" si="20"/>
        <v>0</v>
      </c>
      <c r="N26" s="11">
        <f t="shared" si="20"/>
        <v>0</v>
      </c>
      <c r="O26" s="11">
        <f t="shared" si="20"/>
        <v>0</v>
      </c>
      <c r="P26" s="11">
        <f t="shared" si="20"/>
        <v>0</v>
      </c>
      <c r="Q26" s="11">
        <f t="shared" si="20"/>
        <v>0</v>
      </c>
      <c r="R26" s="11">
        <f t="shared" si="20"/>
        <v>0</v>
      </c>
      <c r="S26" s="11">
        <f t="shared" si="20"/>
        <v>0</v>
      </c>
      <c r="T26" s="11">
        <f t="shared" si="20"/>
        <v>0</v>
      </c>
      <c r="U26" s="11">
        <f t="shared" si="20"/>
        <v>0</v>
      </c>
      <c r="V26" s="11">
        <f t="shared" si="20"/>
        <v>0</v>
      </c>
      <c r="W26" s="11">
        <f t="shared" si="20"/>
        <v>0</v>
      </c>
      <c r="X26" s="11">
        <f t="shared" si="20"/>
        <v>0</v>
      </c>
      <c r="Y26" s="11">
        <f t="shared" si="20"/>
        <v>0</v>
      </c>
      <c r="Z26" s="11">
        <f t="shared" si="20"/>
        <v>0</v>
      </c>
      <c r="AA26" s="11">
        <f t="shared" si="20"/>
        <v>0</v>
      </c>
      <c r="AB26" s="11">
        <f t="shared" si="20"/>
        <v>0</v>
      </c>
    </row>
    <row r="27" spans="1:28" ht="15.75" customHeight="1" x14ac:dyDescent="0.3">
      <c r="A27" s="12">
        <f>RAW!$A$6</f>
        <v>400</v>
      </c>
      <c r="B27" s="2"/>
      <c r="C27" s="21" t="s">
        <v>19</v>
      </c>
      <c r="D27" s="22">
        <f t="shared" ref="D27:D43" si="21">$A27/D$5</f>
        <v>400</v>
      </c>
      <c r="E27" s="2"/>
      <c r="F27" s="21" t="s">
        <v>19</v>
      </c>
      <c r="G27" s="23">
        <f t="shared" ref="G27:AB27" si="22">$A27/G$5</f>
        <v>400</v>
      </c>
      <c r="H27" s="23">
        <f t="shared" si="22"/>
        <v>400</v>
      </c>
      <c r="I27" s="23">
        <f t="shared" si="22"/>
        <v>400</v>
      </c>
      <c r="J27" s="23">
        <f t="shared" si="22"/>
        <v>400</v>
      </c>
      <c r="K27" s="23">
        <f t="shared" si="22"/>
        <v>400</v>
      </c>
      <c r="L27" s="23">
        <f t="shared" si="22"/>
        <v>400</v>
      </c>
      <c r="M27" s="23">
        <f t="shared" si="22"/>
        <v>400</v>
      </c>
      <c r="N27" s="23">
        <f t="shared" si="22"/>
        <v>400</v>
      </c>
      <c r="O27" s="23">
        <f t="shared" si="22"/>
        <v>400</v>
      </c>
      <c r="P27" s="23">
        <f t="shared" si="22"/>
        <v>400</v>
      </c>
      <c r="Q27" s="23">
        <f t="shared" si="22"/>
        <v>400</v>
      </c>
      <c r="R27" s="23">
        <f t="shared" si="22"/>
        <v>400</v>
      </c>
      <c r="S27" s="23">
        <f t="shared" si="22"/>
        <v>400</v>
      </c>
      <c r="T27" s="23">
        <f t="shared" si="22"/>
        <v>400</v>
      </c>
      <c r="U27" s="23">
        <f t="shared" si="22"/>
        <v>400</v>
      </c>
      <c r="V27" s="23">
        <f t="shared" si="22"/>
        <v>400</v>
      </c>
      <c r="W27" s="23">
        <f t="shared" si="22"/>
        <v>400</v>
      </c>
      <c r="X27" s="23">
        <f t="shared" si="22"/>
        <v>400</v>
      </c>
      <c r="Y27" s="23">
        <f t="shared" si="22"/>
        <v>400</v>
      </c>
      <c r="Z27" s="23">
        <f t="shared" si="22"/>
        <v>400</v>
      </c>
      <c r="AA27" s="23">
        <f t="shared" si="22"/>
        <v>400</v>
      </c>
      <c r="AB27" s="23">
        <f t="shared" si="22"/>
        <v>400</v>
      </c>
    </row>
    <row r="28" spans="1:28" ht="15.75" customHeight="1" x14ac:dyDescent="0.3">
      <c r="A28" s="12">
        <f>RAW!$A$7</f>
        <v>1200</v>
      </c>
      <c r="B28" s="2"/>
      <c r="C28" s="24" t="s">
        <v>20</v>
      </c>
      <c r="D28" s="23">
        <f t="shared" si="21"/>
        <v>1200</v>
      </c>
      <c r="E28" s="2"/>
      <c r="F28" s="24" t="s">
        <v>20</v>
      </c>
      <c r="G28" s="23">
        <f t="shared" ref="G28:AB28" si="23">$A28/G$5</f>
        <v>1200</v>
      </c>
      <c r="H28" s="23">
        <f t="shared" si="23"/>
        <v>1200</v>
      </c>
      <c r="I28" s="23">
        <f t="shared" si="23"/>
        <v>1200</v>
      </c>
      <c r="J28" s="23">
        <f t="shared" si="23"/>
        <v>1200</v>
      </c>
      <c r="K28" s="23">
        <f t="shared" si="23"/>
        <v>1200</v>
      </c>
      <c r="L28" s="23">
        <f t="shared" si="23"/>
        <v>1200</v>
      </c>
      <c r="M28" s="23">
        <f t="shared" si="23"/>
        <v>1200</v>
      </c>
      <c r="N28" s="23">
        <f t="shared" si="23"/>
        <v>1200</v>
      </c>
      <c r="O28" s="23">
        <f t="shared" si="23"/>
        <v>1200</v>
      </c>
      <c r="P28" s="23">
        <f t="shared" si="23"/>
        <v>1200</v>
      </c>
      <c r="Q28" s="23">
        <f t="shared" si="23"/>
        <v>1200</v>
      </c>
      <c r="R28" s="23">
        <f t="shared" si="23"/>
        <v>1200</v>
      </c>
      <c r="S28" s="23">
        <f t="shared" si="23"/>
        <v>1200</v>
      </c>
      <c r="T28" s="23">
        <f t="shared" si="23"/>
        <v>1200</v>
      </c>
      <c r="U28" s="23">
        <f t="shared" si="23"/>
        <v>1200</v>
      </c>
      <c r="V28" s="23">
        <f t="shared" si="23"/>
        <v>1200</v>
      </c>
      <c r="W28" s="23">
        <f t="shared" si="23"/>
        <v>1200</v>
      </c>
      <c r="X28" s="23">
        <f t="shared" si="23"/>
        <v>1200</v>
      </c>
      <c r="Y28" s="23">
        <f t="shared" si="23"/>
        <v>1200</v>
      </c>
      <c r="Z28" s="23">
        <f t="shared" si="23"/>
        <v>1200</v>
      </c>
      <c r="AA28" s="23">
        <f t="shared" si="23"/>
        <v>1200</v>
      </c>
      <c r="AB28" s="23">
        <f t="shared" si="23"/>
        <v>1200</v>
      </c>
    </row>
    <row r="29" spans="1:28" ht="15.75" customHeight="1" x14ac:dyDescent="0.3">
      <c r="A29" s="12">
        <f>RAW!$A$8</f>
        <v>2800</v>
      </c>
      <c r="B29" s="2"/>
      <c r="C29" s="24" t="s">
        <v>21</v>
      </c>
      <c r="D29" s="23">
        <f t="shared" si="21"/>
        <v>2800</v>
      </c>
      <c r="E29" s="2"/>
      <c r="F29" s="24" t="s">
        <v>21</v>
      </c>
      <c r="G29" s="23">
        <f t="shared" ref="G29:AB29" si="24">$A29/G$5</f>
        <v>2800</v>
      </c>
      <c r="H29" s="23">
        <f t="shared" si="24"/>
        <v>2800</v>
      </c>
      <c r="I29" s="23">
        <f t="shared" si="24"/>
        <v>2800</v>
      </c>
      <c r="J29" s="23">
        <f t="shared" si="24"/>
        <v>2800</v>
      </c>
      <c r="K29" s="23">
        <f t="shared" si="24"/>
        <v>2800</v>
      </c>
      <c r="L29" s="23">
        <f t="shared" si="24"/>
        <v>2800</v>
      </c>
      <c r="M29" s="23">
        <f t="shared" si="24"/>
        <v>2800</v>
      </c>
      <c r="N29" s="23">
        <f t="shared" si="24"/>
        <v>2800</v>
      </c>
      <c r="O29" s="23">
        <f t="shared" si="24"/>
        <v>2800</v>
      </c>
      <c r="P29" s="23">
        <f t="shared" si="24"/>
        <v>2800</v>
      </c>
      <c r="Q29" s="23">
        <f t="shared" si="24"/>
        <v>2800</v>
      </c>
      <c r="R29" s="23">
        <f t="shared" si="24"/>
        <v>2800</v>
      </c>
      <c r="S29" s="23">
        <f t="shared" si="24"/>
        <v>2800</v>
      </c>
      <c r="T29" s="23">
        <f t="shared" si="24"/>
        <v>2800</v>
      </c>
      <c r="U29" s="23">
        <f t="shared" si="24"/>
        <v>2800</v>
      </c>
      <c r="V29" s="23">
        <f t="shared" si="24"/>
        <v>2800</v>
      </c>
      <c r="W29" s="23">
        <f t="shared" si="24"/>
        <v>2800</v>
      </c>
      <c r="X29" s="23">
        <f t="shared" si="24"/>
        <v>2800</v>
      </c>
      <c r="Y29" s="23">
        <f t="shared" si="24"/>
        <v>2800</v>
      </c>
      <c r="Z29" s="23">
        <f t="shared" si="24"/>
        <v>2800</v>
      </c>
      <c r="AA29" s="23">
        <f t="shared" si="24"/>
        <v>2800</v>
      </c>
      <c r="AB29" s="23">
        <f t="shared" si="24"/>
        <v>2800</v>
      </c>
    </row>
    <row r="30" spans="1:28" ht="15.75" customHeight="1" x14ac:dyDescent="0.3">
      <c r="A30" s="12">
        <f>RAW!$A$9</f>
        <v>6000</v>
      </c>
      <c r="B30" s="2"/>
      <c r="C30" s="24" t="s">
        <v>22</v>
      </c>
      <c r="D30" s="23">
        <f t="shared" si="21"/>
        <v>6000</v>
      </c>
      <c r="E30" s="2"/>
      <c r="F30" s="24" t="s">
        <v>22</v>
      </c>
      <c r="G30" s="23">
        <f t="shared" ref="G30:AB30" si="25">$A30/G$5</f>
        <v>6000</v>
      </c>
      <c r="H30" s="23">
        <f t="shared" si="25"/>
        <v>6000</v>
      </c>
      <c r="I30" s="23">
        <f t="shared" si="25"/>
        <v>6000</v>
      </c>
      <c r="J30" s="23">
        <f t="shared" si="25"/>
        <v>6000</v>
      </c>
      <c r="K30" s="23">
        <f t="shared" si="25"/>
        <v>6000</v>
      </c>
      <c r="L30" s="23">
        <f t="shared" si="25"/>
        <v>6000</v>
      </c>
      <c r="M30" s="23">
        <f t="shared" si="25"/>
        <v>6000</v>
      </c>
      <c r="N30" s="23">
        <f t="shared" si="25"/>
        <v>6000</v>
      </c>
      <c r="O30" s="23">
        <f t="shared" si="25"/>
        <v>6000</v>
      </c>
      <c r="P30" s="23">
        <f t="shared" si="25"/>
        <v>6000</v>
      </c>
      <c r="Q30" s="23">
        <f t="shared" si="25"/>
        <v>6000</v>
      </c>
      <c r="R30" s="23">
        <f t="shared" si="25"/>
        <v>6000</v>
      </c>
      <c r="S30" s="23">
        <f t="shared" si="25"/>
        <v>6000</v>
      </c>
      <c r="T30" s="23">
        <f t="shared" si="25"/>
        <v>6000</v>
      </c>
      <c r="U30" s="23">
        <f t="shared" si="25"/>
        <v>6000</v>
      </c>
      <c r="V30" s="23">
        <f t="shared" si="25"/>
        <v>6000</v>
      </c>
      <c r="W30" s="23">
        <f t="shared" si="25"/>
        <v>6000</v>
      </c>
      <c r="X30" s="23">
        <f t="shared" si="25"/>
        <v>6000</v>
      </c>
      <c r="Y30" s="23">
        <f t="shared" si="25"/>
        <v>6000</v>
      </c>
      <c r="Z30" s="23">
        <f t="shared" si="25"/>
        <v>6000</v>
      </c>
      <c r="AA30" s="23">
        <f t="shared" si="25"/>
        <v>6000</v>
      </c>
      <c r="AB30" s="23">
        <f t="shared" si="25"/>
        <v>6000</v>
      </c>
    </row>
    <row r="31" spans="1:28" ht="15.75" customHeight="1" x14ac:dyDescent="0.3">
      <c r="A31" s="12">
        <f>RAW!$A$10</f>
        <v>12400</v>
      </c>
      <c r="B31" s="2"/>
      <c r="C31" s="24" t="s">
        <v>23</v>
      </c>
      <c r="D31" s="23">
        <f t="shared" si="21"/>
        <v>12400</v>
      </c>
      <c r="E31" s="2"/>
      <c r="F31" s="24" t="s">
        <v>23</v>
      </c>
      <c r="G31" s="23">
        <f t="shared" ref="G31:AB31" si="26">$A31/G$5</f>
        <v>12400</v>
      </c>
      <c r="H31" s="23">
        <f t="shared" si="26"/>
        <v>12400</v>
      </c>
      <c r="I31" s="23">
        <f t="shared" si="26"/>
        <v>12400</v>
      </c>
      <c r="J31" s="23">
        <f t="shared" si="26"/>
        <v>12400</v>
      </c>
      <c r="K31" s="23">
        <f t="shared" si="26"/>
        <v>12400</v>
      </c>
      <c r="L31" s="23">
        <f t="shared" si="26"/>
        <v>12400</v>
      </c>
      <c r="M31" s="23">
        <f t="shared" si="26"/>
        <v>12400</v>
      </c>
      <c r="N31" s="23">
        <f t="shared" si="26"/>
        <v>12400</v>
      </c>
      <c r="O31" s="23">
        <f t="shared" si="26"/>
        <v>12400</v>
      </c>
      <c r="P31" s="23">
        <f t="shared" si="26"/>
        <v>12400</v>
      </c>
      <c r="Q31" s="23">
        <f t="shared" si="26"/>
        <v>12400</v>
      </c>
      <c r="R31" s="23">
        <f t="shared" si="26"/>
        <v>12400</v>
      </c>
      <c r="S31" s="23">
        <f t="shared" si="26"/>
        <v>12400</v>
      </c>
      <c r="T31" s="23">
        <f t="shared" si="26"/>
        <v>12400</v>
      </c>
      <c r="U31" s="23">
        <f t="shared" si="26"/>
        <v>12400</v>
      </c>
      <c r="V31" s="23">
        <f t="shared" si="26"/>
        <v>12400</v>
      </c>
      <c r="W31" s="23">
        <f t="shared" si="26"/>
        <v>12400</v>
      </c>
      <c r="X31" s="23">
        <f t="shared" si="26"/>
        <v>12400</v>
      </c>
      <c r="Y31" s="23">
        <f t="shared" si="26"/>
        <v>12400</v>
      </c>
      <c r="Z31" s="23">
        <f t="shared" si="26"/>
        <v>12400</v>
      </c>
      <c r="AA31" s="23">
        <f t="shared" si="26"/>
        <v>12400</v>
      </c>
      <c r="AB31" s="23">
        <f t="shared" si="26"/>
        <v>12400</v>
      </c>
    </row>
    <row r="32" spans="1:28" ht="15.75" customHeight="1" x14ac:dyDescent="0.3">
      <c r="A32" s="12">
        <f>RAW!$A$11</f>
        <v>25200</v>
      </c>
      <c r="B32" s="2"/>
      <c r="C32" s="24" t="s">
        <v>24</v>
      </c>
      <c r="D32" s="23">
        <f t="shared" si="21"/>
        <v>25200</v>
      </c>
      <c r="E32" s="2"/>
      <c r="F32" s="24" t="s">
        <v>24</v>
      </c>
      <c r="G32" s="23">
        <f t="shared" ref="G32:AB32" si="27">$A32/G$5</f>
        <v>25200</v>
      </c>
      <c r="H32" s="23">
        <f t="shared" si="27"/>
        <v>25200</v>
      </c>
      <c r="I32" s="23">
        <f t="shared" si="27"/>
        <v>25200</v>
      </c>
      <c r="J32" s="23">
        <f t="shared" si="27"/>
        <v>25200</v>
      </c>
      <c r="K32" s="23">
        <f t="shared" si="27"/>
        <v>25200</v>
      </c>
      <c r="L32" s="23">
        <f t="shared" si="27"/>
        <v>25200</v>
      </c>
      <c r="M32" s="23">
        <f t="shared" si="27"/>
        <v>25200</v>
      </c>
      <c r="N32" s="23">
        <f t="shared" si="27"/>
        <v>25200</v>
      </c>
      <c r="O32" s="23">
        <f t="shared" si="27"/>
        <v>25200</v>
      </c>
      <c r="P32" s="23">
        <f t="shared" si="27"/>
        <v>25200</v>
      </c>
      <c r="Q32" s="23">
        <f t="shared" si="27"/>
        <v>25200</v>
      </c>
      <c r="R32" s="23">
        <f t="shared" si="27"/>
        <v>25200</v>
      </c>
      <c r="S32" s="23">
        <f t="shared" si="27"/>
        <v>25200</v>
      </c>
      <c r="T32" s="23">
        <f t="shared" si="27"/>
        <v>25200</v>
      </c>
      <c r="U32" s="23">
        <f t="shared" si="27"/>
        <v>25200</v>
      </c>
      <c r="V32" s="23">
        <f t="shared" si="27"/>
        <v>25200</v>
      </c>
      <c r="W32" s="23">
        <f t="shared" si="27"/>
        <v>25200</v>
      </c>
      <c r="X32" s="23">
        <f t="shared" si="27"/>
        <v>25200</v>
      </c>
      <c r="Y32" s="23">
        <f t="shared" si="27"/>
        <v>25200</v>
      </c>
      <c r="Z32" s="23">
        <f t="shared" si="27"/>
        <v>25200</v>
      </c>
      <c r="AA32" s="23">
        <f t="shared" si="27"/>
        <v>25200</v>
      </c>
      <c r="AB32" s="23">
        <f t="shared" si="27"/>
        <v>25200</v>
      </c>
    </row>
    <row r="33" spans="1:28" ht="15.75" customHeight="1" x14ac:dyDescent="0.3">
      <c r="A33" s="12">
        <f>RAW!$A$12</f>
        <v>50800</v>
      </c>
      <c r="B33" s="2"/>
      <c r="C33" s="24" t="s">
        <v>25</v>
      </c>
      <c r="D33" s="23">
        <f t="shared" si="21"/>
        <v>50800</v>
      </c>
      <c r="E33" s="2"/>
      <c r="F33" s="24" t="s">
        <v>25</v>
      </c>
      <c r="G33" s="23">
        <f t="shared" ref="G33:AB33" si="28">$A33/G$5</f>
        <v>50800</v>
      </c>
      <c r="H33" s="23">
        <f t="shared" si="28"/>
        <v>50800</v>
      </c>
      <c r="I33" s="23">
        <f t="shared" si="28"/>
        <v>50800</v>
      </c>
      <c r="J33" s="23">
        <f t="shared" si="28"/>
        <v>50800</v>
      </c>
      <c r="K33" s="23">
        <f t="shared" si="28"/>
        <v>50800</v>
      </c>
      <c r="L33" s="23">
        <f t="shared" si="28"/>
        <v>50800</v>
      </c>
      <c r="M33" s="23">
        <f t="shared" si="28"/>
        <v>50800</v>
      </c>
      <c r="N33" s="23">
        <f t="shared" si="28"/>
        <v>50800</v>
      </c>
      <c r="O33" s="23">
        <f t="shared" si="28"/>
        <v>50800</v>
      </c>
      <c r="P33" s="23">
        <f t="shared" si="28"/>
        <v>50800</v>
      </c>
      <c r="Q33" s="23">
        <f t="shared" si="28"/>
        <v>50800</v>
      </c>
      <c r="R33" s="23">
        <f t="shared" si="28"/>
        <v>50800</v>
      </c>
      <c r="S33" s="23">
        <f t="shared" si="28"/>
        <v>50800</v>
      </c>
      <c r="T33" s="23">
        <f t="shared" si="28"/>
        <v>50800</v>
      </c>
      <c r="U33" s="23">
        <f t="shared" si="28"/>
        <v>50800</v>
      </c>
      <c r="V33" s="23">
        <f t="shared" si="28"/>
        <v>50800</v>
      </c>
      <c r="W33" s="23">
        <f t="shared" si="28"/>
        <v>50800</v>
      </c>
      <c r="X33" s="23">
        <f t="shared" si="28"/>
        <v>50800</v>
      </c>
      <c r="Y33" s="23">
        <f t="shared" si="28"/>
        <v>50800</v>
      </c>
      <c r="Z33" s="23">
        <f t="shared" si="28"/>
        <v>50800</v>
      </c>
      <c r="AA33" s="23">
        <f t="shared" si="28"/>
        <v>50800</v>
      </c>
      <c r="AB33" s="23">
        <f t="shared" si="28"/>
        <v>50800</v>
      </c>
    </row>
    <row r="34" spans="1:28" ht="15.75" customHeight="1" x14ac:dyDescent="0.3">
      <c r="A34" s="12">
        <f>RAW!$A$13</f>
        <v>102000</v>
      </c>
      <c r="B34" s="2"/>
      <c r="C34" s="24" t="s">
        <v>26</v>
      </c>
      <c r="D34" s="23">
        <f t="shared" si="21"/>
        <v>102000</v>
      </c>
      <c r="E34" s="2"/>
      <c r="F34" s="24" t="s">
        <v>26</v>
      </c>
      <c r="G34" s="23">
        <f t="shared" ref="G34:AB34" si="29">$A34/G$5</f>
        <v>102000</v>
      </c>
      <c r="H34" s="23">
        <f t="shared" si="29"/>
        <v>102000</v>
      </c>
      <c r="I34" s="23">
        <f t="shared" si="29"/>
        <v>102000</v>
      </c>
      <c r="J34" s="23">
        <f t="shared" si="29"/>
        <v>102000</v>
      </c>
      <c r="K34" s="23">
        <f t="shared" si="29"/>
        <v>102000</v>
      </c>
      <c r="L34" s="23">
        <f t="shared" si="29"/>
        <v>102000</v>
      </c>
      <c r="M34" s="23">
        <f t="shared" si="29"/>
        <v>102000</v>
      </c>
      <c r="N34" s="23">
        <f t="shared" si="29"/>
        <v>102000</v>
      </c>
      <c r="O34" s="23">
        <f t="shared" si="29"/>
        <v>102000</v>
      </c>
      <c r="P34" s="23">
        <f t="shared" si="29"/>
        <v>102000</v>
      </c>
      <c r="Q34" s="23">
        <f t="shared" si="29"/>
        <v>102000</v>
      </c>
      <c r="R34" s="23">
        <f t="shared" si="29"/>
        <v>102000</v>
      </c>
      <c r="S34" s="23">
        <f t="shared" si="29"/>
        <v>102000</v>
      </c>
      <c r="T34" s="23">
        <f t="shared" si="29"/>
        <v>102000</v>
      </c>
      <c r="U34" s="23">
        <f t="shared" si="29"/>
        <v>102000</v>
      </c>
      <c r="V34" s="23">
        <f t="shared" si="29"/>
        <v>102000</v>
      </c>
      <c r="W34" s="23">
        <f t="shared" si="29"/>
        <v>102000</v>
      </c>
      <c r="X34" s="23">
        <f t="shared" si="29"/>
        <v>102000</v>
      </c>
      <c r="Y34" s="23">
        <f t="shared" si="29"/>
        <v>102000</v>
      </c>
      <c r="Z34" s="23">
        <f t="shared" si="29"/>
        <v>102000</v>
      </c>
      <c r="AA34" s="23">
        <f t="shared" si="29"/>
        <v>102000</v>
      </c>
      <c r="AB34" s="23">
        <f t="shared" si="29"/>
        <v>102000</v>
      </c>
    </row>
    <row r="35" spans="1:28" ht="15.75" customHeight="1" x14ac:dyDescent="0.3">
      <c r="A35" s="12">
        <f>RAW!$A$14</f>
        <v>204400</v>
      </c>
      <c r="B35" s="2"/>
      <c r="C35" s="24" t="s">
        <v>27</v>
      </c>
      <c r="D35" s="23">
        <f t="shared" si="21"/>
        <v>204400</v>
      </c>
      <c r="E35" s="2"/>
      <c r="F35" s="24" t="s">
        <v>27</v>
      </c>
      <c r="G35" s="23">
        <f t="shared" ref="G35:AB35" si="30">$A35/G$5</f>
        <v>204400</v>
      </c>
      <c r="H35" s="23">
        <f t="shared" si="30"/>
        <v>204400</v>
      </c>
      <c r="I35" s="23">
        <f t="shared" si="30"/>
        <v>204400</v>
      </c>
      <c r="J35" s="23">
        <f t="shared" si="30"/>
        <v>204400</v>
      </c>
      <c r="K35" s="23">
        <f t="shared" si="30"/>
        <v>204400</v>
      </c>
      <c r="L35" s="23">
        <f t="shared" si="30"/>
        <v>204400</v>
      </c>
      <c r="M35" s="23">
        <f t="shared" si="30"/>
        <v>204400</v>
      </c>
      <c r="N35" s="23">
        <f t="shared" si="30"/>
        <v>204400</v>
      </c>
      <c r="O35" s="23">
        <f t="shared" si="30"/>
        <v>204400</v>
      </c>
      <c r="P35" s="23">
        <f t="shared" si="30"/>
        <v>204400</v>
      </c>
      <c r="Q35" s="23">
        <f t="shared" si="30"/>
        <v>204400</v>
      </c>
      <c r="R35" s="23">
        <f t="shared" si="30"/>
        <v>204400</v>
      </c>
      <c r="S35" s="23">
        <f t="shared" si="30"/>
        <v>204400</v>
      </c>
      <c r="T35" s="23">
        <f t="shared" si="30"/>
        <v>204400</v>
      </c>
      <c r="U35" s="23">
        <f t="shared" si="30"/>
        <v>204400</v>
      </c>
      <c r="V35" s="23">
        <f t="shared" si="30"/>
        <v>204400</v>
      </c>
      <c r="W35" s="23">
        <f t="shared" si="30"/>
        <v>204400</v>
      </c>
      <c r="X35" s="23">
        <f t="shared" si="30"/>
        <v>204400</v>
      </c>
      <c r="Y35" s="23">
        <f t="shared" si="30"/>
        <v>204400</v>
      </c>
      <c r="Z35" s="23">
        <f t="shared" si="30"/>
        <v>204400</v>
      </c>
      <c r="AA35" s="23">
        <f t="shared" si="30"/>
        <v>204400</v>
      </c>
      <c r="AB35" s="23">
        <f t="shared" si="30"/>
        <v>204400</v>
      </c>
    </row>
    <row r="36" spans="1:28" ht="15.75" customHeight="1" x14ac:dyDescent="0.3">
      <c r="A36" s="12">
        <f>RAW!$A$15</f>
        <v>409200</v>
      </c>
      <c r="B36" s="2"/>
      <c r="C36" s="24" t="s">
        <v>28</v>
      </c>
      <c r="D36" s="23">
        <f t="shared" si="21"/>
        <v>409200</v>
      </c>
      <c r="E36" s="2"/>
      <c r="F36" s="24" t="s">
        <v>28</v>
      </c>
      <c r="G36" s="23">
        <f t="shared" ref="G36:AB36" si="31">$A36/G$5</f>
        <v>409200</v>
      </c>
      <c r="H36" s="23">
        <f t="shared" si="31"/>
        <v>409200</v>
      </c>
      <c r="I36" s="23">
        <f t="shared" si="31"/>
        <v>409200</v>
      </c>
      <c r="J36" s="23">
        <f t="shared" si="31"/>
        <v>409200</v>
      </c>
      <c r="K36" s="23">
        <f t="shared" si="31"/>
        <v>409200</v>
      </c>
      <c r="L36" s="23">
        <f t="shared" si="31"/>
        <v>409200</v>
      </c>
      <c r="M36" s="23">
        <f t="shared" si="31"/>
        <v>409200</v>
      </c>
      <c r="N36" s="23">
        <f t="shared" si="31"/>
        <v>409200</v>
      </c>
      <c r="O36" s="23">
        <f t="shared" si="31"/>
        <v>409200</v>
      </c>
      <c r="P36" s="23">
        <f t="shared" si="31"/>
        <v>409200</v>
      </c>
      <c r="Q36" s="23">
        <f t="shared" si="31"/>
        <v>409200</v>
      </c>
      <c r="R36" s="23">
        <f t="shared" si="31"/>
        <v>409200</v>
      </c>
      <c r="S36" s="23">
        <f t="shared" si="31"/>
        <v>409200</v>
      </c>
      <c r="T36" s="23">
        <f t="shared" si="31"/>
        <v>409200</v>
      </c>
      <c r="U36" s="23">
        <f t="shared" si="31"/>
        <v>409200</v>
      </c>
      <c r="V36" s="23">
        <f t="shared" si="31"/>
        <v>409200</v>
      </c>
      <c r="W36" s="23">
        <f t="shared" si="31"/>
        <v>409200</v>
      </c>
      <c r="X36" s="23">
        <f t="shared" si="31"/>
        <v>409200</v>
      </c>
      <c r="Y36" s="23">
        <f t="shared" si="31"/>
        <v>409200</v>
      </c>
      <c r="Z36" s="23">
        <f t="shared" si="31"/>
        <v>409200</v>
      </c>
      <c r="AA36" s="23">
        <f t="shared" si="31"/>
        <v>409200</v>
      </c>
      <c r="AB36" s="23">
        <f t="shared" si="31"/>
        <v>409200</v>
      </c>
    </row>
    <row r="37" spans="1:28" ht="15.75" customHeight="1" x14ac:dyDescent="0.3">
      <c r="A37" s="12">
        <f>RAW!$A$16</f>
        <v>818800</v>
      </c>
      <c r="B37" s="2"/>
      <c r="C37" s="24" t="s">
        <v>29</v>
      </c>
      <c r="D37" s="23">
        <f t="shared" si="21"/>
        <v>818800</v>
      </c>
      <c r="E37" s="2"/>
      <c r="F37" s="24" t="s">
        <v>29</v>
      </c>
      <c r="G37" s="23">
        <f t="shared" ref="G37:AB37" si="32">$A37/G$5</f>
        <v>818800</v>
      </c>
      <c r="H37" s="23">
        <f t="shared" si="32"/>
        <v>818800</v>
      </c>
      <c r="I37" s="23">
        <f t="shared" si="32"/>
        <v>818800</v>
      </c>
      <c r="J37" s="23">
        <f t="shared" si="32"/>
        <v>818800</v>
      </c>
      <c r="K37" s="23">
        <f t="shared" si="32"/>
        <v>818800</v>
      </c>
      <c r="L37" s="23">
        <f t="shared" si="32"/>
        <v>818800</v>
      </c>
      <c r="M37" s="23">
        <f t="shared" si="32"/>
        <v>818800</v>
      </c>
      <c r="N37" s="23">
        <f t="shared" si="32"/>
        <v>818800</v>
      </c>
      <c r="O37" s="23">
        <f t="shared" si="32"/>
        <v>818800</v>
      </c>
      <c r="P37" s="23">
        <f t="shared" si="32"/>
        <v>818800</v>
      </c>
      <c r="Q37" s="23">
        <f t="shared" si="32"/>
        <v>818800</v>
      </c>
      <c r="R37" s="23">
        <f t="shared" si="32"/>
        <v>818800</v>
      </c>
      <c r="S37" s="23">
        <f t="shared" si="32"/>
        <v>818800</v>
      </c>
      <c r="T37" s="23">
        <f t="shared" si="32"/>
        <v>818800</v>
      </c>
      <c r="U37" s="23">
        <f t="shared" si="32"/>
        <v>818800</v>
      </c>
      <c r="V37" s="23">
        <f t="shared" si="32"/>
        <v>818800</v>
      </c>
      <c r="W37" s="23">
        <f t="shared" si="32"/>
        <v>818800</v>
      </c>
      <c r="X37" s="23">
        <f t="shared" si="32"/>
        <v>818800</v>
      </c>
      <c r="Y37" s="23">
        <f t="shared" si="32"/>
        <v>818800</v>
      </c>
      <c r="Z37" s="23">
        <f t="shared" si="32"/>
        <v>818800</v>
      </c>
      <c r="AA37" s="23">
        <f t="shared" si="32"/>
        <v>818800</v>
      </c>
      <c r="AB37" s="23">
        <f t="shared" si="32"/>
        <v>818800</v>
      </c>
    </row>
    <row r="38" spans="1:28" ht="15.75" customHeight="1" x14ac:dyDescent="0.3">
      <c r="A38" s="12">
        <f>RAW!$A$17</f>
        <v>1638000</v>
      </c>
      <c r="B38" s="2"/>
      <c r="C38" s="24" t="s">
        <v>30</v>
      </c>
      <c r="D38" s="23">
        <f t="shared" si="21"/>
        <v>1638000</v>
      </c>
      <c r="E38" s="2"/>
      <c r="F38" s="24" t="s">
        <v>30</v>
      </c>
      <c r="G38" s="23">
        <f t="shared" ref="G38:AB38" si="33">$A38/G$5</f>
        <v>1638000</v>
      </c>
      <c r="H38" s="23">
        <f t="shared" si="33"/>
        <v>1638000</v>
      </c>
      <c r="I38" s="23">
        <f t="shared" si="33"/>
        <v>1638000</v>
      </c>
      <c r="J38" s="23">
        <f t="shared" si="33"/>
        <v>1638000</v>
      </c>
      <c r="K38" s="23">
        <f t="shared" si="33"/>
        <v>1638000</v>
      </c>
      <c r="L38" s="23">
        <f t="shared" si="33"/>
        <v>1638000</v>
      </c>
      <c r="M38" s="23">
        <f t="shared" si="33"/>
        <v>1638000</v>
      </c>
      <c r="N38" s="23">
        <f t="shared" si="33"/>
        <v>1638000</v>
      </c>
      <c r="O38" s="23">
        <f t="shared" si="33"/>
        <v>1638000</v>
      </c>
      <c r="P38" s="23">
        <f t="shared" si="33"/>
        <v>1638000</v>
      </c>
      <c r="Q38" s="23">
        <f t="shared" si="33"/>
        <v>1638000</v>
      </c>
      <c r="R38" s="23">
        <f t="shared" si="33"/>
        <v>1638000</v>
      </c>
      <c r="S38" s="23">
        <f t="shared" si="33"/>
        <v>1638000</v>
      </c>
      <c r="T38" s="23">
        <f t="shared" si="33"/>
        <v>1638000</v>
      </c>
      <c r="U38" s="23">
        <f t="shared" si="33"/>
        <v>1638000</v>
      </c>
      <c r="V38" s="23">
        <f t="shared" si="33"/>
        <v>1638000</v>
      </c>
      <c r="W38" s="23">
        <f t="shared" si="33"/>
        <v>1638000</v>
      </c>
      <c r="X38" s="23">
        <f t="shared" si="33"/>
        <v>1638000</v>
      </c>
      <c r="Y38" s="23">
        <f t="shared" si="33"/>
        <v>1638000</v>
      </c>
      <c r="Z38" s="23">
        <f t="shared" si="33"/>
        <v>1638000</v>
      </c>
      <c r="AA38" s="23">
        <f t="shared" si="33"/>
        <v>1638000</v>
      </c>
      <c r="AB38" s="23">
        <f t="shared" si="33"/>
        <v>1638000</v>
      </c>
    </row>
    <row r="39" spans="1:28" ht="15.75" customHeight="1" x14ac:dyDescent="0.3">
      <c r="A39" s="12">
        <f>RAW!$A$18</f>
        <v>3276400</v>
      </c>
      <c r="B39" s="2"/>
      <c r="C39" s="24" t="s">
        <v>31</v>
      </c>
      <c r="D39" s="23">
        <f t="shared" si="21"/>
        <v>3276400</v>
      </c>
      <c r="E39" s="2"/>
      <c r="F39" s="24" t="s">
        <v>31</v>
      </c>
      <c r="G39" s="23">
        <f t="shared" ref="G39:AB39" si="34">$A39/G$5</f>
        <v>3276400</v>
      </c>
      <c r="H39" s="23">
        <f t="shared" si="34"/>
        <v>3276400</v>
      </c>
      <c r="I39" s="23">
        <f t="shared" si="34"/>
        <v>3276400</v>
      </c>
      <c r="J39" s="23">
        <f t="shared" si="34"/>
        <v>3276400</v>
      </c>
      <c r="K39" s="23">
        <f t="shared" si="34"/>
        <v>3276400</v>
      </c>
      <c r="L39" s="23">
        <f t="shared" si="34"/>
        <v>3276400</v>
      </c>
      <c r="M39" s="23">
        <f t="shared" si="34"/>
        <v>3276400</v>
      </c>
      <c r="N39" s="23">
        <f t="shared" si="34"/>
        <v>3276400</v>
      </c>
      <c r="O39" s="23">
        <f t="shared" si="34"/>
        <v>3276400</v>
      </c>
      <c r="P39" s="23">
        <f t="shared" si="34"/>
        <v>3276400</v>
      </c>
      <c r="Q39" s="23">
        <f t="shared" si="34"/>
        <v>3276400</v>
      </c>
      <c r="R39" s="23">
        <f t="shared" si="34"/>
        <v>3276400</v>
      </c>
      <c r="S39" s="23">
        <f t="shared" si="34"/>
        <v>3276400</v>
      </c>
      <c r="T39" s="23">
        <f t="shared" si="34"/>
        <v>3276400</v>
      </c>
      <c r="U39" s="23">
        <f t="shared" si="34"/>
        <v>3276400</v>
      </c>
      <c r="V39" s="23">
        <f t="shared" si="34"/>
        <v>3276400</v>
      </c>
      <c r="W39" s="23">
        <f t="shared" si="34"/>
        <v>3276400</v>
      </c>
      <c r="X39" s="23">
        <f t="shared" si="34"/>
        <v>3276400</v>
      </c>
      <c r="Y39" s="23">
        <f t="shared" si="34"/>
        <v>3276400</v>
      </c>
      <c r="Z39" s="23">
        <f t="shared" si="34"/>
        <v>3276400</v>
      </c>
      <c r="AA39" s="23">
        <f t="shared" si="34"/>
        <v>3276400</v>
      </c>
      <c r="AB39" s="23">
        <f t="shared" si="34"/>
        <v>3276400</v>
      </c>
    </row>
    <row r="40" spans="1:28" ht="15.75" customHeight="1" x14ac:dyDescent="0.3">
      <c r="A40" s="12">
        <f>RAW!$A$19</f>
        <v>6553200</v>
      </c>
      <c r="B40" s="2"/>
      <c r="C40" s="24" t="s">
        <v>32</v>
      </c>
      <c r="D40" s="23">
        <f t="shared" si="21"/>
        <v>6553200</v>
      </c>
      <c r="E40" s="2"/>
      <c r="F40" s="24" t="s">
        <v>32</v>
      </c>
      <c r="G40" s="23">
        <f t="shared" ref="G40:AB40" si="35">$A40/G$5</f>
        <v>6553200</v>
      </c>
      <c r="H40" s="23">
        <f t="shared" si="35"/>
        <v>6553200</v>
      </c>
      <c r="I40" s="23">
        <f t="shared" si="35"/>
        <v>6553200</v>
      </c>
      <c r="J40" s="23">
        <f t="shared" si="35"/>
        <v>6553200</v>
      </c>
      <c r="K40" s="23">
        <f t="shared" si="35"/>
        <v>6553200</v>
      </c>
      <c r="L40" s="23">
        <f t="shared" si="35"/>
        <v>6553200</v>
      </c>
      <c r="M40" s="23">
        <f t="shared" si="35"/>
        <v>6553200</v>
      </c>
      <c r="N40" s="23">
        <f t="shared" si="35"/>
        <v>6553200</v>
      </c>
      <c r="O40" s="23">
        <f t="shared" si="35"/>
        <v>6553200</v>
      </c>
      <c r="P40" s="23">
        <f t="shared" si="35"/>
        <v>6553200</v>
      </c>
      <c r="Q40" s="23">
        <f t="shared" si="35"/>
        <v>6553200</v>
      </c>
      <c r="R40" s="23">
        <f t="shared" si="35"/>
        <v>6553200</v>
      </c>
      <c r="S40" s="23">
        <f t="shared" si="35"/>
        <v>6553200</v>
      </c>
      <c r="T40" s="23">
        <f t="shared" si="35"/>
        <v>6553200</v>
      </c>
      <c r="U40" s="23">
        <f t="shared" si="35"/>
        <v>6553200</v>
      </c>
      <c r="V40" s="23">
        <f t="shared" si="35"/>
        <v>6553200</v>
      </c>
      <c r="W40" s="23">
        <f t="shared" si="35"/>
        <v>6553200</v>
      </c>
      <c r="X40" s="23">
        <f t="shared" si="35"/>
        <v>6553200</v>
      </c>
      <c r="Y40" s="23">
        <f t="shared" si="35"/>
        <v>6553200</v>
      </c>
      <c r="Z40" s="23">
        <f t="shared" si="35"/>
        <v>6553200</v>
      </c>
      <c r="AA40" s="23">
        <f t="shared" si="35"/>
        <v>6553200</v>
      </c>
      <c r="AB40" s="23">
        <f t="shared" si="35"/>
        <v>6553200</v>
      </c>
    </row>
    <row r="41" spans="1:28" ht="15.75" customHeight="1" x14ac:dyDescent="0.3">
      <c r="A41" s="12">
        <f>RAW!$A$20</f>
        <v>13106800</v>
      </c>
      <c r="B41" s="2"/>
      <c r="C41" s="24" t="s">
        <v>33</v>
      </c>
      <c r="D41" s="23">
        <f t="shared" si="21"/>
        <v>13106800</v>
      </c>
      <c r="E41" s="2"/>
      <c r="F41" s="24" t="s">
        <v>33</v>
      </c>
      <c r="G41" s="23">
        <f t="shared" ref="G41:AB41" si="36">$A41/G$5</f>
        <v>13106800</v>
      </c>
      <c r="H41" s="23">
        <f t="shared" si="36"/>
        <v>13106800</v>
      </c>
      <c r="I41" s="23">
        <f t="shared" si="36"/>
        <v>13106800</v>
      </c>
      <c r="J41" s="23">
        <f t="shared" si="36"/>
        <v>13106800</v>
      </c>
      <c r="K41" s="23">
        <f t="shared" si="36"/>
        <v>13106800</v>
      </c>
      <c r="L41" s="23">
        <f t="shared" si="36"/>
        <v>13106800</v>
      </c>
      <c r="M41" s="23">
        <f t="shared" si="36"/>
        <v>13106800</v>
      </c>
      <c r="N41" s="23">
        <f t="shared" si="36"/>
        <v>13106800</v>
      </c>
      <c r="O41" s="23">
        <f t="shared" si="36"/>
        <v>13106800</v>
      </c>
      <c r="P41" s="23">
        <f t="shared" si="36"/>
        <v>13106800</v>
      </c>
      <c r="Q41" s="23">
        <f t="shared" si="36"/>
        <v>13106800</v>
      </c>
      <c r="R41" s="23">
        <f t="shared" si="36"/>
        <v>13106800</v>
      </c>
      <c r="S41" s="23">
        <f t="shared" si="36"/>
        <v>13106800</v>
      </c>
      <c r="T41" s="23">
        <f t="shared" si="36"/>
        <v>13106800</v>
      </c>
      <c r="U41" s="23">
        <f t="shared" si="36"/>
        <v>13106800</v>
      </c>
      <c r="V41" s="23">
        <f t="shared" si="36"/>
        <v>13106800</v>
      </c>
      <c r="W41" s="23">
        <f t="shared" si="36"/>
        <v>13106800</v>
      </c>
      <c r="X41" s="23">
        <f t="shared" si="36"/>
        <v>13106800</v>
      </c>
      <c r="Y41" s="23">
        <f t="shared" si="36"/>
        <v>13106800</v>
      </c>
      <c r="Z41" s="23">
        <f t="shared" si="36"/>
        <v>13106800</v>
      </c>
      <c r="AA41" s="23">
        <f t="shared" si="36"/>
        <v>13106800</v>
      </c>
      <c r="AB41" s="23">
        <f t="shared" si="36"/>
        <v>13106800</v>
      </c>
    </row>
    <row r="42" spans="1:28" ht="15.75" customHeight="1" x14ac:dyDescent="0.3">
      <c r="A42" s="12">
        <f>RAW!$A$21</f>
        <v>26214000</v>
      </c>
      <c r="B42" s="2"/>
      <c r="C42" s="24" t="s">
        <v>34</v>
      </c>
      <c r="D42" s="23">
        <f t="shared" si="21"/>
        <v>26214000</v>
      </c>
      <c r="E42" s="2"/>
      <c r="F42" s="24" t="s">
        <v>34</v>
      </c>
      <c r="G42" s="23">
        <f t="shared" ref="G42:AB42" si="37">$A42/G$5</f>
        <v>26214000</v>
      </c>
      <c r="H42" s="23">
        <f t="shared" si="37"/>
        <v>26214000</v>
      </c>
      <c r="I42" s="23">
        <f t="shared" si="37"/>
        <v>26214000</v>
      </c>
      <c r="J42" s="23">
        <f t="shared" si="37"/>
        <v>26214000</v>
      </c>
      <c r="K42" s="23">
        <f t="shared" si="37"/>
        <v>26214000</v>
      </c>
      <c r="L42" s="23">
        <f t="shared" si="37"/>
        <v>26214000</v>
      </c>
      <c r="M42" s="23">
        <f t="shared" si="37"/>
        <v>26214000</v>
      </c>
      <c r="N42" s="23">
        <f t="shared" si="37"/>
        <v>26214000</v>
      </c>
      <c r="O42" s="23">
        <f t="shared" si="37"/>
        <v>26214000</v>
      </c>
      <c r="P42" s="23">
        <f t="shared" si="37"/>
        <v>26214000</v>
      </c>
      <c r="Q42" s="23">
        <f t="shared" si="37"/>
        <v>26214000</v>
      </c>
      <c r="R42" s="23">
        <f t="shared" si="37"/>
        <v>26214000</v>
      </c>
      <c r="S42" s="23">
        <f t="shared" si="37"/>
        <v>26214000</v>
      </c>
      <c r="T42" s="23">
        <f t="shared" si="37"/>
        <v>26214000</v>
      </c>
      <c r="U42" s="23">
        <f t="shared" si="37"/>
        <v>26214000</v>
      </c>
      <c r="V42" s="23">
        <f t="shared" si="37"/>
        <v>26214000</v>
      </c>
      <c r="W42" s="23">
        <f t="shared" si="37"/>
        <v>26214000</v>
      </c>
      <c r="X42" s="23">
        <f t="shared" si="37"/>
        <v>26214000</v>
      </c>
      <c r="Y42" s="23">
        <f t="shared" si="37"/>
        <v>26214000</v>
      </c>
      <c r="Z42" s="23">
        <f t="shared" si="37"/>
        <v>26214000</v>
      </c>
      <c r="AA42" s="23">
        <f t="shared" si="37"/>
        <v>26214000</v>
      </c>
      <c r="AB42" s="23">
        <f t="shared" si="37"/>
        <v>26214000</v>
      </c>
    </row>
    <row r="43" spans="1:28" ht="15.75" customHeight="1" x14ac:dyDescent="0.3">
      <c r="A43" s="12">
        <f>RAW!$A$22</f>
        <v>52428400</v>
      </c>
      <c r="B43" s="2"/>
      <c r="C43" s="24" t="s">
        <v>35</v>
      </c>
      <c r="D43" s="23">
        <f t="shared" si="21"/>
        <v>52428400</v>
      </c>
      <c r="E43" s="2"/>
      <c r="F43" s="24" t="s">
        <v>35</v>
      </c>
      <c r="G43" s="23">
        <f t="shared" ref="G43:AB43" si="38">$A43/G$5</f>
        <v>52428400</v>
      </c>
      <c r="H43" s="23">
        <f t="shared" si="38"/>
        <v>52428400</v>
      </c>
      <c r="I43" s="23">
        <f t="shared" si="38"/>
        <v>52428400</v>
      </c>
      <c r="J43" s="23">
        <f t="shared" si="38"/>
        <v>52428400</v>
      </c>
      <c r="K43" s="23">
        <f t="shared" si="38"/>
        <v>52428400</v>
      </c>
      <c r="L43" s="23">
        <f t="shared" si="38"/>
        <v>52428400</v>
      </c>
      <c r="M43" s="23">
        <f t="shared" si="38"/>
        <v>52428400</v>
      </c>
      <c r="N43" s="23">
        <f t="shared" si="38"/>
        <v>52428400</v>
      </c>
      <c r="O43" s="23">
        <f t="shared" si="38"/>
        <v>52428400</v>
      </c>
      <c r="P43" s="23">
        <f t="shared" si="38"/>
        <v>52428400</v>
      </c>
      <c r="Q43" s="23">
        <f t="shared" si="38"/>
        <v>52428400</v>
      </c>
      <c r="R43" s="23">
        <f t="shared" si="38"/>
        <v>52428400</v>
      </c>
      <c r="S43" s="23">
        <f t="shared" si="38"/>
        <v>52428400</v>
      </c>
      <c r="T43" s="23">
        <f t="shared" si="38"/>
        <v>52428400</v>
      </c>
      <c r="U43" s="23">
        <f t="shared" si="38"/>
        <v>52428400</v>
      </c>
      <c r="V43" s="23">
        <f t="shared" si="38"/>
        <v>52428400</v>
      </c>
      <c r="W43" s="23">
        <f t="shared" si="38"/>
        <v>52428400</v>
      </c>
      <c r="X43" s="23">
        <f t="shared" si="38"/>
        <v>52428400</v>
      </c>
      <c r="Y43" s="23">
        <f t="shared" si="38"/>
        <v>52428400</v>
      </c>
      <c r="Z43" s="23">
        <f t="shared" si="38"/>
        <v>52428400</v>
      </c>
      <c r="AA43" s="23">
        <f t="shared" si="38"/>
        <v>52428400</v>
      </c>
      <c r="AB43" s="23">
        <f t="shared" si="38"/>
        <v>52428400</v>
      </c>
    </row>
    <row r="44" spans="1:28" ht="15.75" customHeight="1" x14ac:dyDescent="0.3">
      <c r="A44" s="3"/>
      <c r="B44" s="2"/>
      <c r="C44" s="29"/>
      <c r="D44" s="30"/>
      <c r="E44" s="2"/>
      <c r="F44" s="3"/>
      <c r="G44" s="31" t="s">
        <v>38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15.75" customHeight="1" x14ac:dyDescent="0.3">
      <c r="A45" s="19" t="s">
        <v>37</v>
      </c>
      <c r="B45" s="2"/>
      <c r="C45" s="10" t="s">
        <v>9</v>
      </c>
      <c r="D45" s="10" t="s">
        <v>10</v>
      </c>
      <c r="E45" s="2"/>
      <c r="F45" s="20" t="s">
        <v>9</v>
      </c>
      <c r="G45" s="11" t="str">
        <f t="shared" ref="G45:AB45" si="39">G26</f>
        <v>Gamal</v>
      </c>
      <c r="H45" s="11" t="str">
        <f t="shared" si="39"/>
        <v>Naunet</v>
      </c>
      <c r="I45" s="11">
        <f t="shared" si="39"/>
        <v>0</v>
      </c>
      <c r="J45" s="11">
        <f t="shared" si="39"/>
        <v>0</v>
      </c>
      <c r="K45" s="11">
        <f t="shared" si="39"/>
        <v>0</v>
      </c>
      <c r="L45" s="11">
        <f t="shared" si="39"/>
        <v>0</v>
      </c>
      <c r="M45" s="11">
        <f t="shared" si="39"/>
        <v>0</v>
      </c>
      <c r="N45" s="11">
        <f t="shared" si="39"/>
        <v>0</v>
      </c>
      <c r="O45" s="11">
        <f t="shared" si="39"/>
        <v>0</v>
      </c>
      <c r="P45" s="11">
        <f t="shared" si="39"/>
        <v>0</v>
      </c>
      <c r="Q45" s="11">
        <f t="shared" si="39"/>
        <v>0</v>
      </c>
      <c r="R45" s="11">
        <f t="shared" si="39"/>
        <v>0</v>
      </c>
      <c r="S45" s="11">
        <f t="shared" si="39"/>
        <v>0</v>
      </c>
      <c r="T45" s="11">
        <f t="shared" si="39"/>
        <v>0</v>
      </c>
      <c r="U45" s="11">
        <f t="shared" si="39"/>
        <v>0</v>
      </c>
      <c r="V45" s="11">
        <f t="shared" si="39"/>
        <v>0</v>
      </c>
      <c r="W45" s="11">
        <f t="shared" si="39"/>
        <v>0</v>
      </c>
      <c r="X45" s="11">
        <f t="shared" si="39"/>
        <v>0</v>
      </c>
      <c r="Y45" s="11">
        <f t="shared" si="39"/>
        <v>0</v>
      </c>
      <c r="Z45" s="11">
        <f t="shared" si="39"/>
        <v>0</v>
      </c>
      <c r="AA45" s="11">
        <f t="shared" si="39"/>
        <v>0</v>
      </c>
      <c r="AB45" s="11">
        <f t="shared" si="39"/>
        <v>0</v>
      </c>
    </row>
    <row r="46" spans="1:28" ht="15.75" customHeight="1" x14ac:dyDescent="0.3">
      <c r="A46" s="12">
        <f>RAW!$A$6</f>
        <v>400</v>
      </c>
      <c r="B46" s="2"/>
      <c r="C46" s="21" t="s">
        <v>19</v>
      </c>
      <c r="D46" s="22">
        <f t="shared" ref="D46:D62" si="40">($A46/D$5)/365</f>
        <v>1.095890410958904</v>
      </c>
      <c r="E46" s="2"/>
      <c r="F46" s="21" t="s">
        <v>19</v>
      </c>
      <c r="G46" s="23">
        <f t="shared" ref="G46:AB46" si="41">($A46/G$5)/365</f>
        <v>1.095890410958904</v>
      </c>
      <c r="H46" s="23">
        <f t="shared" si="41"/>
        <v>1.095890410958904</v>
      </c>
      <c r="I46" s="23">
        <f t="shared" si="41"/>
        <v>1.095890410958904</v>
      </c>
      <c r="J46" s="23">
        <f t="shared" si="41"/>
        <v>1.095890410958904</v>
      </c>
      <c r="K46" s="23">
        <f t="shared" si="41"/>
        <v>1.095890410958904</v>
      </c>
      <c r="L46" s="23">
        <f t="shared" si="41"/>
        <v>1.095890410958904</v>
      </c>
      <c r="M46" s="23">
        <f t="shared" si="41"/>
        <v>1.095890410958904</v>
      </c>
      <c r="N46" s="23">
        <f t="shared" si="41"/>
        <v>1.095890410958904</v>
      </c>
      <c r="O46" s="23">
        <f t="shared" si="41"/>
        <v>1.095890410958904</v>
      </c>
      <c r="P46" s="23">
        <f t="shared" si="41"/>
        <v>1.095890410958904</v>
      </c>
      <c r="Q46" s="23">
        <f t="shared" si="41"/>
        <v>1.095890410958904</v>
      </c>
      <c r="R46" s="23">
        <f t="shared" si="41"/>
        <v>1.095890410958904</v>
      </c>
      <c r="S46" s="23">
        <f t="shared" si="41"/>
        <v>1.095890410958904</v>
      </c>
      <c r="T46" s="23">
        <f t="shared" si="41"/>
        <v>1.095890410958904</v>
      </c>
      <c r="U46" s="23">
        <f t="shared" si="41"/>
        <v>1.095890410958904</v>
      </c>
      <c r="V46" s="23">
        <f t="shared" si="41"/>
        <v>1.095890410958904</v>
      </c>
      <c r="W46" s="23">
        <f t="shared" si="41"/>
        <v>1.095890410958904</v>
      </c>
      <c r="X46" s="23">
        <f t="shared" si="41"/>
        <v>1.095890410958904</v>
      </c>
      <c r="Y46" s="23">
        <f t="shared" si="41"/>
        <v>1.095890410958904</v>
      </c>
      <c r="Z46" s="23">
        <f t="shared" si="41"/>
        <v>1.095890410958904</v>
      </c>
      <c r="AA46" s="23">
        <f t="shared" si="41"/>
        <v>1.095890410958904</v>
      </c>
      <c r="AB46" s="23">
        <f t="shared" si="41"/>
        <v>1.095890410958904</v>
      </c>
    </row>
    <row r="47" spans="1:28" ht="15.75" customHeight="1" x14ac:dyDescent="0.3">
      <c r="A47" s="12">
        <f>RAW!$A$7</f>
        <v>1200</v>
      </c>
      <c r="B47" s="2"/>
      <c r="C47" s="24" t="s">
        <v>20</v>
      </c>
      <c r="D47" s="23">
        <f t="shared" si="40"/>
        <v>3.2876712328767121</v>
      </c>
      <c r="E47" s="2"/>
      <c r="F47" s="24" t="s">
        <v>20</v>
      </c>
      <c r="G47" s="23">
        <f t="shared" ref="G47:AB47" si="42">($A47/G$5)/365</f>
        <v>3.2876712328767121</v>
      </c>
      <c r="H47" s="23">
        <f t="shared" si="42"/>
        <v>3.2876712328767121</v>
      </c>
      <c r="I47" s="23">
        <f t="shared" si="42"/>
        <v>3.2876712328767121</v>
      </c>
      <c r="J47" s="23">
        <f t="shared" si="42"/>
        <v>3.2876712328767121</v>
      </c>
      <c r="K47" s="23">
        <f t="shared" si="42"/>
        <v>3.2876712328767121</v>
      </c>
      <c r="L47" s="23">
        <f t="shared" si="42"/>
        <v>3.2876712328767121</v>
      </c>
      <c r="M47" s="23">
        <f t="shared" si="42"/>
        <v>3.2876712328767121</v>
      </c>
      <c r="N47" s="23">
        <f t="shared" si="42"/>
        <v>3.2876712328767121</v>
      </c>
      <c r="O47" s="23">
        <f t="shared" si="42"/>
        <v>3.2876712328767121</v>
      </c>
      <c r="P47" s="23">
        <f t="shared" si="42"/>
        <v>3.2876712328767121</v>
      </c>
      <c r="Q47" s="23">
        <f t="shared" si="42"/>
        <v>3.2876712328767121</v>
      </c>
      <c r="R47" s="23">
        <f t="shared" si="42"/>
        <v>3.2876712328767121</v>
      </c>
      <c r="S47" s="23">
        <f t="shared" si="42"/>
        <v>3.2876712328767121</v>
      </c>
      <c r="T47" s="23">
        <f t="shared" si="42"/>
        <v>3.2876712328767121</v>
      </c>
      <c r="U47" s="23">
        <f t="shared" si="42"/>
        <v>3.2876712328767121</v>
      </c>
      <c r="V47" s="23">
        <f t="shared" si="42"/>
        <v>3.2876712328767121</v>
      </c>
      <c r="W47" s="23">
        <f t="shared" si="42"/>
        <v>3.2876712328767121</v>
      </c>
      <c r="X47" s="23">
        <f t="shared" si="42"/>
        <v>3.2876712328767121</v>
      </c>
      <c r="Y47" s="23">
        <f t="shared" si="42"/>
        <v>3.2876712328767121</v>
      </c>
      <c r="Z47" s="23">
        <f t="shared" si="42"/>
        <v>3.2876712328767121</v>
      </c>
      <c r="AA47" s="23">
        <f t="shared" si="42"/>
        <v>3.2876712328767121</v>
      </c>
      <c r="AB47" s="23">
        <f t="shared" si="42"/>
        <v>3.2876712328767121</v>
      </c>
    </row>
    <row r="48" spans="1:28" ht="15.75" customHeight="1" x14ac:dyDescent="0.3">
      <c r="A48" s="12">
        <f>RAW!$A$8</f>
        <v>2800</v>
      </c>
      <c r="B48" s="2"/>
      <c r="C48" s="24" t="s">
        <v>21</v>
      </c>
      <c r="D48" s="23">
        <f t="shared" si="40"/>
        <v>7.6712328767123283</v>
      </c>
      <c r="E48" s="2"/>
      <c r="F48" s="24" t="s">
        <v>21</v>
      </c>
      <c r="G48" s="23">
        <f t="shared" ref="G48:AB48" si="43">($A48/G$5)/365</f>
        <v>7.6712328767123283</v>
      </c>
      <c r="H48" s="23">
        <f t="shared" si="43"/>
        <v>7.6712328767123283</v>
      </c>
      <c r="I48" s="23">
        <f t="shared" si="43"/>
        <v>7.6712328767123283</v>
      </c>
      <c r="J48" s="23">
        <f t="shared" si="43"/>
        <v>7.6712328767123283</v>
      </c>
      <c r="K48" s="23">
        <f t="shared" si="43"/>
        <v>7.6712328767123283</v>
      </c>
      <c r="L48" s="23">
        <f t="shared" si="43"/>
        <v>7.6712328767123283</v>
      </c>
      <c r="M48" s="23">
        <f t="shared" si="43"/>
        <v>7.6712328767123283</v>
      </c>
      <c r="N48" s="23">
        <f t="shared" si="43"/>
        <v>7.6712328767123283</v>
      </c>
      <c r="O48" s="23">
        <f t="shared" si="43"/>
        <v>7.6712328767123283</v>
      </c>
      <c r="P48" s="23">
        <f t="shared" si="43"/>
        <v>7.6712328767123283</v>
      </c>
      <c r="Q48" s="23">
        <f t="shared" si="43"/>
        <v>7.6712328767123283</v>
      </c>
      <c r="R48" s="23">
        <f t="shared" si="43"/>
        <v>7.6712328767123283</v>
      </c>
      <c r="S48" s="23">
        <f t="shared" si="43"/>
        <v>7.6712328767123283</v>
      </c>
      <c r="T48" s="23">
        <f t="shared" si="43"/>
        <v>7.6712328767123283</v>
      </c>
      <c r="U48" s="23">
        <f t="shared" si="43"/>
        <v>7.6712328767123283</v>
      </c>
      <c r="V48" s="23">
        <f t="shared" si="43"/>
        <v>7.6712328767123283</v>
      </c>
      <c r="W48" s="23">
        <f t="shared" si="43"/>
        <v>7.6712328767123283</v>
      </c>
      <c r="X48" s="23">
        <f t="shared" si="43"/>
        <v>7.6712328767123283</v>
      </c>
      <c r="Y48" s="23">
        <f t="shared" si="43"/>
        <v>7.6712328767123283</v>
      </c>
      <c r="Z48" s="23">
        <f t="shared" si="43"/>
        <v>7.6712328767123283</v>
      </c>
      <c r="AA48" s="23">
        <f t="shared" si="43"/>
        <v>7.6712328767123283</v>
      </c>
      <c r="AB48" s="23">
        <f t="shared" si="43"/>
        <v>7.6712328767123283</v>
      </c>
    </row>
    <row r="49" spans="1:28" ht="15.75" customHeight="1" x14ac:dyDescent="0.3">
      <c r="A49" s="12">
        <f>RAW!$A$9</f>
        <v>6000</v>
      </c>
      <c r="B49" s="2"/>
      <c r="C49" s="24" t="s">
        <v>22</v>
      </c>
      <c r="D49" s="23">
        <f t="shared" si="40"/>
        <v>16.438356164383563</v>
      </c>
      <c r="E49" s="2"/>
      <c r="F49" s="24" t="s">
        <v>22</v>
      </c>
      <c r="G49" s="23">
        <f t="shared" ref="G49:AB49" si="44">($A49/G$5)/365</f>
        <v>16.438356164383563</v>
      </c>
      <c r="H49" s="23">
        <f t="shared" si="44"/>
        <v>16.438356164383563</v>
      </c>
      <c r="I49" s="23">
        <f t="shared" si="44"/>
        <v>16.438356164383563</v>
      </c>
      <c r="J49" s="23">
        <f t="shared" si="44"/>
        <v>16.438356164383563</v>
      </c>
      <c r="K49" s="23">
        <f t="shared" si="44"/>
        <v>16.438356164383563</v>
      </c>
      <c r="L49" s="23">
        <f t="shared" si="44"/>
        <v>16.438356164383563</v>
      </c>
      <c r="M49" s="23">
        <f t="shared" si="44"/>
        <v>16.438356164383563</v>
      </c>
      <c r="N49" s="23">
        <f t="shared" si="44"/>
        <v>16.438356164383563</v>
      </c>
      <c r="O49" s="23">
        <f t="shared" si="44"/>
        <v>16.438356164383563</v>
      </c>
      <c r="P49" s="23">
        <f t="shared" si="44"/>
        <v>16.438356164383563</v>
      </c>
      <c r="Q49" s="23">
        <f t="shared" si="44"/>
        <v>16.438356164383563</v>
      </c>
      <c r="R49" s="23">
        <f t="shared" si="44"/>
        <v>16.438356164383563</v>
      </c>
      <c r="S49" s="23">
        <f t="shared" si="44"/>
        <v>16.438356164383563</v>
      </c>
      <c r="T49" s="23">
        <f t="shared" si="44"/>
        <v>16.438356164383563</v>
      </c>
      <c r="U49" s="23">
        <f t="shared" si="44"/>
        <v>16.438356164383563</v>
      </c>
      <c r="V49" s="23">
        <f t="shared" si="44"/>
        <v>16.438356164383563</v>
      </c>
      <c r="W49" s="23">
        <f t="shared" si="44"/>
        <v>16.438356164383563</v>
      </c>
      <c r="X49" s="23">
        <f t="shared" si="44"/>
        <v>16.438356164383563</v>
      </c>
      <c r="Y49" s="23">
        <f t="shared" si="44"/>
        <v>16.438356164383563</v>
      </c>
      <c r="Z49" s="23">
        <f t="shared" si="44"/>
        <v>16.438356164383563</v>
      </c>
      <c r="AA49" s="23">
        <f t="shared" si="44"/>
        <v>16.438356164383563</v>
      </c>
      <c r="AB49" s="23">
        <f t="shared" si="44"/>
        <v>16.438356164383563</v>
      </c>
    </row>
    <row r="50" spans="1:28" ht="15.75" customHeight="1" x14ac:dyDescent="0.3">
      <c r="A50" s="12">
        <f>RAW!$A$10</f>
        <v>12400</v>
      </c>
      <c r="B50" s="2"/>
      <c r="C50" s="24" t="s">
        <v>23</v>
      </c>
      <c r="D50" s="23">
        <f t="shared" si="40"/>
        <v>33.972602739726028</v>
      </c>
      <c r="E50" s="2"/>
      <c r="F50" s="24" t="s">
        <v>23</v>
      </c>
      <c r="G50" s="23">
        <f t="shared" ref="G50:AB50" si="45">($A50/G$5)/365</f>
        <v>33.972602739726028</v>
      </c>
      <c r="H50" s="23">
        <f t="shared" si="45"/>
        <v>33.972602739726028</v>
      </c>
      <c r="I50" s="23">
        <f t="shared" si="45"/>
        <v>33.972602739726028</v>
      </c>
      <c r="J50" s="23">
        <f t="shared" si="45"/>
        <v>33.972602739726028</v>
      </c>
      <c r="K50" s="23">
        <f t="shared" si="45"/>
        <v>33.972602739726028</v>
      </c>
      <c r="L50" s="23">
        <f t="shared" si="45"/>
        <v>33.972602739726028</v>
      </c>
      <c r="M50" s="23">
        <f t="shared" si="45"/>
        <v>33.972602739726028</v>
      </c>
      <c r="N50" s="23">
        <f t="shared" si="45"/>
        <v>33.972602739726028</v>
      </c>
      <c r="O50" s="23">
        <f t="shared" si="45"/>
        <v>33.972602739726028</v>
      </c>
      <c r="P50" s="23">
        <f t="shared" si="45"/>
        <v>33.972602739726028</v>
      </c>
      <c r="Q50" s="23">
        <f t="shared" si="45"/>
        <v>33.972602739726028</v>
      </c>
      <c r="R50" s="23">
        <f t="shared" si="45"/>
        <v>33.972602739726028</v>
      </c>
      <c r="S50" s="23">
        <f t="shared" si="45"/>
        <v>33.972602739726028</v>
      </c>
      <c r="T50" s="23">
        <f t="shared" si="45"/>
        <v>33.972602739726028</v>
      </c>
      <c r="U50" s="23">
        <f t="shared" si="45"/>
        <v>33.972602739726028</v>
      </c>
      <c r="V50" s="23">
        <f t="shared" si="45"/>
        <v>33.972602739726028</v>
      </c>
      <c r="W50" s="23">
        <f t="shared" si="45"/>
        <v>33.972602739726028</v>
      </c>
      <c r="X50" s="23">
        <f t="shared" si="45"/>
        <v>33.972602739726028</v>
      </c>
      <c r="Y50" s="23">
        <f t="shared" si="45"/>
        <v>33.972602739726028</v>
      </c>
      <c r="Z50" s="23">
        <f t="shared" si="45"/>
        <v>33.972602739726028</v>
      </c>
      <c r="AA50" s="23">
        <f t="shared" si="45"/>
        <v>33.972602739726028</v>
      </c>
      <c r="AB50" s="23">
        <f t="shared" si="45"/>
        <v>33.972602739726028</v>
      </c>
    </row>
    <row r="51" spans="1:28" ht="15.75" customHeight="1" x14ac:dyDescent="0.3">
      <c r="A51" s="12">
        <f>RAW!$A$11</f>
        <v>25200</v>
      </c>
      <c r="B51" s="2"/>
      <c r="C51" s="24" t="s">
        <v>24</v>
      </c>
      <c r="D51" s="23">
        <f t="shared" si="40"/>
        <v>69.041095890410958</v>
      </c>
      <c r="E51" s="2"/>
      <c r="F51" s="24" t="s">
        <v>24</v>
      </c>
      <c r="G51" s="23">
        <f t="shared" ref="G51:AB51" si="46">($A51/G$5)/365</f>
        <v>69.041095890410958</v>
      </c>
      <c r="H51" s="23">
        <f t="shared" si="46"/>
        <v>69.041095890410958</v>
      </c>
      <c r="I51" s="23">
        <f t="shared" si="46"/>
        <v>69.041095890410958</v>
      </c>
      <c r="J51" s="23">
        <f t="shared" si="46"/>
        <v>69.041095890410958</v>
      </c>
      <c r="K51" s="23">
        <f t="shared" si="46"/>
        <v>69.041095890410958</v>
      </c>
      <c r="L51" s="23">
        <f t="shared" si="46"/>
        <v>69.041095890410958</v>
      </c>
      <c r="M51" s="23">
        <f t="shared" si="46"/>
        <v>69.041095890410958</v>
      </c>
      <c r="N51" s="23">
        <f t="shared" si="46"/>
        <v>69.041095890410958</v>
      </c>
      <c r="O51" s="23">
        <f t="shared" si="46"/>
        <v>69.041095890410958</v>
      </c>
      <c r="P51" s="23">
        <f t="shared" si="46"/>
        <v>69.041095890410958</v>
      </c>
      <c r="Q51" s="23">
        <f t="shared" si="46"/>
        <v>69.041095890410958</v>
      </c>
      <c r="R51" s="23">
        <f t="shared" si="46"/>
        <v>69.041095890410958</v>
      </c>
      <c r="S51" s="23">
        <f t="shared" si="46"/>
        <v>69.041095890410958</v>
      </c>
      <c r="T51" s="23">
        <f t="shared" si="46"/>
        <v>69.041095890410958</v>
      </c>
      <c r="U51" s="23">
        <f t="shared" si="46"/>
        <v>69.041095890410958</v>
      </c>
      <c r="V51" s="23">
        <f t="shared" si="46"/>
        <v>69.041095890410958</v>
      </c>
      <c r="W51" s="23">
        <f t="shared" si="46"/>
        <v>69.041095890410958</v>
      </c>
      <c r="X51" s="23">
        <f t="shared" si="46"/>
        <v>69.041095890410958</v>
      </c>
      <c r="Y51" s="23">
        <f t="shared" si="46"/>
        <v>69.041095890410958</v>
      </c>
      <c r="Z51" s="23">
        <f t="shared" si="46"/>
        <v>69.041095890410958</v>
      </c>
      <c r="AA51" s="23">
        <f t="shared" si="46"/>
        <v>69.041095890410958</v>
      </c>
      <c r="AB51" s="23">
        <f t="shared" si="46"/>
        <v>69.041095890410958</v>
      </c>
    </row>
    <row r="52" spans="1:28" ht="15.75" customHeight="1" x14ac:dyDescent="0.3">
      <c r="A52" s="12">
        <f>RAW!$A$12</f>
        <v>50800</v>
      </c>
      <c r="B52" s="2"/>
      <c r="C52" s="24" t="s">
        <v>25</v>
      </c>
      <c r="D52" s="23">
        <f t="shared" si="40"/>
        <v>139.17808219178082</v>
      </c>
      <c r="E52" s="2"/>
      <c r="F52" s="24" t="s">
        <v>25</v>
      </c>
      <c r="G52" s="23">
        <f t="shared" ref="G52:AB52" si="47">($A52/G$5)/365</f>
        <v>139.17808219178082</v>
      </c>
      <c r="H52" s="23">
        <f t="shared" si="47"/>
        <v>139.17808219178082</v>
      </c>
      <c r="I52" s="23">
        <f t="shared" si="47"/>
        <v>139.17808219178082</v>
      </c>
      <c r="J52" s="23">
        <f t="shared" si="47"/>
        <v>139.17808219178082</v>
      </c>
      <c r="K52" s="23">
        <f t="shared" si="47"/>
        <v>139.17808219178082</v>
      </c>
      <c r="L52" s="23">
        <f t="shared" si="47"/>
        <v>139.17808219178082</v>
      </c>
      <c r="M52" s="23">
        <f t="shared" si="47"/>
        <v>139.17808219178082</v>
      </c>
      <c r="N52" s="23">
        <f t="shared" si="47"/>
        <v>139.17808219178082</v>
      </c>
      <c r="O52" s="23">
        <f t="shared" si="47"/>
        <v>139.17808219178082</v>
      </c>
      <c r="P52" s="23">
        <f t="shared" si="47"/>
        <v>139.17808219178082</v>
      </c>
      <c r="Q52" s="23">
        <f t="shared" si="47"/>
        <v>139.17808219178082</v>
      </c>
      <c r="R52" s="23">
        <f t="shared" si="47"/>
        <v>139.17808219178082</v>
      </c>
      <c r="S52" s="23">
        <f t="shared" si="47"/>
        <v>139.17808219178082</v>
      </c>
      <c r="T52" s="23">
        <f t="shared" si="47"/>
        <v>139.17808219178082</v>
      </c>
      <c r="U52" s="23">
        <f t="shared" si="47"/>
        <v>139.17808219178082</v>
      </c>
      <c r="V52" s="23">
        <f t="shared" si="47"/>
        <v>139.17808219178082</v>
      </c>
      <c r="W52" s="23">
        <f t="shared" si="47"/>
        <v>139.17808219178082</v>
      </c>
      <c r="X52" s="23">
        <f t="shared" si="47"/>
        <v>139.17808219178082</v>
      </c>
      <c r="Y52" s="23">
        <f t="shared" si="47"/>
        <v>139.17808219178082</v>
      </c>
      <c r="Z52" s="23">
        <f t="shared" si="47"/>
        <v>139.17808219178082</v>
      </c>
      <c r="AA52" s="23">
        <f t="shared" si="47"/>
        <v>139.17808219178082</v>
      </c>
      <c r="AB52" s="23">
        <f t="shared" si="47"/>
        <v>139.17808219178082</v>
      </c>
    </row>
    <row r="53" spans="1:28" ht="15.75" customHeight="1" x14ac:dyDescent="0.3">
      <c r="A53" s="12">
        <f>RAW!$A$13</f>
        <v>102000</v>
      </c>
      <c r="B53" s="2"/>
      <c r="C53" s="24" t="s">
        <v>26</v>
      </c>
      <c r="D53" s="23">
        <f t="shared" si="40"/>
        <v>279.45205479452056</v>
      </c>
      <c r="E53" s="2"/>
      <c r="F53" s="24" t="s">
        <v>26</v>
      </c>
      <c r="G53" s="23">
        <f t="shared" ref="G53:AB53" si="48">($A53/G$5)/365</f>
        <v>279.45205479452056</v>
      </c>
      <c r="H53" s="23">
        <f t="shared" si="48"/>
        <v>279.45205479452056</v>
      </c>
      <c r="I53" s="23">
        <f t="shared" si="48"/>
        <v>279.45205479452056</v>
      </c>
      <c r="J53" s="23">
        <f t="shared" si="48"/>
        <v>279.45205479452056</v>
      </c>
      <c r="K53" s="23">
        <f t="shared" si="48"/>
        <v>279.45205479452056</v>
      </c>
      <c r="L53" s="23">
        <f t="shared" si="48"/>
        <v>279.45205479452056</v>
      </c>
      <c r="M53" s="23">
        <f t="shared" si="48"/>
        <v>279.45205479452056</v>
      </c>
      <c r="N53" s="23">
        <f t="shared" si="48"/>
        <v>279.45205479452056</v>
      </c>
      <c r="O53" s="23">
        <f t="shared" si="48"/>
        <v>279.45205479452056</v>
      </c>
      <c r="P53" s="23">
        <f t="shared" si="48"/>
        <v>279.45205479452056</v>
      </c>
      <c r="Q53" s="23">
        <f t="shared" si="48"/>
        <v>279.45205479452056</v>
      </c>
      <c r="R53" s="23">
        <f t="shared" si="48"/>
        <v>279.45205479452056</v>
      </c>
      <c r="S53" s="23">
        <f t="shared" si="48"/>
        <v>279.45205479452056</v>
      </c>
      <c r="T53" s="23">
        <f t="shared" si="48"/>
        <v>279.45205479452056</v>
      </c>
      <c r="U53" s="23">
        <f t="shared" si="48"/>
        <v>279.45205479452056</v>
      </c>
      <c r="V53" s="23">
        <f t="shared" si="48"/>
        <v>279.45205479452056</v>
      </c>
      <c r="W53" s="23">
        <f t="shared" si="48"/>
        <v>279.45205479452056</v>
      </c>
      <c r="X53" s="23">
        <f t="shared" si="48"/>
        <v>279.45205479452056</v>
      </c>
      <c r="Y53" s="23">
        <f t="shared" si="48"/>
        <v>279.45205479452056</v>
      </c>
      <c r="Z53" s="23">
        <f t="shared" si="48"/>
        <v>279.45205479452056</v>
      </c>
      <c r="AA53" s="23">
        <f t="shared" si="48"/>
        <v>279.45205479452056</v>
      </c>
      <c r="AB53" s="23">
        <f t="shared" si="48"/>
        <v>279.45205479452056</v>
      </c>
    </row>
    <row r="54" spans="1:28" ht="15.75" customHeight="1" x14ac:dyDescent="0.3">
      <c r="A54" s="12">
        <f>RAW!$A$14</f>
        <v>204400</v>
      </c>
      <c r="B54" s="2"/>
      <c r="C54" s="24" t="s">
        <v>27</v>
      </c>
      <c r="D54" s="23">
        <f t="shared" si="40"/>
        <v>560</v>
      </c>
      <c r="E54" s="2"/>
      <c r="F54" s="24" t="s">
        <v>27</v>
      </c>
      <c r="G54" s="23">
        <f t="shared" ref="G54:AB54" si="49">($A54/G$5)/365</f>
        <v>560</v>
      </c>
      <c r="H54" s="23">
        <f t="shared" si="49"/>
        <v>560</v>
      </c>
      <c r="I54" s="23">
        <f t="shared" si="49"/>
        <v>560</v>
      </c>
      <c r="J54" s="23">
        <f t="shared" si="49"/>
        <v>560</v>
      </c>
      <c r="K54" s="23">
        <f t="shared" si="49"/>
        <v>560</v>
      </c>
      <c r="L54" s="23">
        <f t="shared" si="49"/>
        <v>560</v>
      </c>
      <c r="M54" s="23">
        <f t="shared" si="49"/>
        <v>560</v>
      </c>
      <c r="N54" s="23">
        <f t="shared" si="49"/>
        <v>560</v>
      </c>
      <c r="O54" s="23">
        <f t="shared" si="49"/>
        <v>560</v>
      </c>
      <c r="P54" s="23">
        <f t="shared" si="49"/>
        <v>560</v>
      </c>
      <c r="Q54" s="23">
        <f t="shared" si="49"/>
        <v>560</v>
      </c>
      <c r="R54" s="23">
        <f t="shared" si="49"/>
        <v>560</v>
      </c>
      <c r="S54" s="23">
        <f t="shared" si="49"/>
        <v>560</v>
      </c>
      <c r="T54" s="23">
        <f t="shared" si="49"/>
        <v>560</v>
      </c>
      <c r="U54" s="23">
        <f t="shared" si="49"/>
        <v>560</v>
      </c>
      <c r="V54" s="23">
        <f t="shared" si="49"/>
        <v>560</v>
      </c>
      <c r="W54" s="23">
        <f t="shared" si="49"/>
        <v>560</v>
      </c>
      <c r="X54" s="23">
        <f t="shared" si="49"/>
        <v>560</v>
      </c>
      <c r="Y54" s="23">
        <f t="shared" si="49"/>
        <v>560</v>
      </c>
      <c r="Z54" s="23">
        <f t="shared" si="49"/>
        <v>560</v>
      </c>
      <c r="AA54" s="23">
        <f t="shared" si="49"/>
        <v>560</v>
      </c>
      <c r="AB54" s="23">
        <f t="shared" si="49"/>
        <v>560</v>
      </c>
    </row>
    <row r="55" spans="1:28" ht="15.75" customHeight="1" x14ac:dyDescent="0.3">
      <c r="A55" s="12">
        <f>RAW!$A$15</f>
        <v>409200</v>
      </c>
      <c r="B55" s="2"/>
      <c r="C55" s="24" t="s">
        <v>28</v>
      </c>
      <c r="D55" s="23">
        <f t="shared" si="40"/>
        <v>1121.0958904109589</v>
      </c>
      <c r="E55" s="2"/>
      <c r="F55" s="24" t="s">
        <v>28</v>
      </c>
      <c r="G55" s="23">
        <f t="shared" ref="G55:AB55" si="50">($A55/G$5)/365</f>
        <v>1121.0958904109589</v>
      </c>
      <c r="H55" s="23">
        <f t="shared" si="50"/>
        <v>1121.0958904109589</v>
      </c>
      <c r="I55" s="23">
        <f t="shared" si="50"/>
        <v>1121.0958904109589</v>
      </c>
      <c r="J55" s="23">
        <f t="shared" si="50"/>
        <v>1121.0958904109589</v>
      </c>
      <c r="K55" s="23">
        <f t="shared" si="50"/>
        <v>1121.0958904109589</v>
      </c>
      <c r="L55" s="23">
        <f t="shared" si="50"/>
        <v>1121.0958904109589</v>
      </c>
      <c r="M55" s="23">
        <f t="shared" si="50"/>
        <v>1121.0958904109589</v>
      </c>
      <c r="N55" s="23">
        <f t="shared" si="50"/>
        <v>1121.0958904109589</v>
      </c>
      <c r="O55" s="23">
        <f t="shared" si="50"/>
        <v>1121.0958904109589</v>
      </c>
      <c r="P55" s="23">
        <f t="shared" si="50"/>
        <v>1121.0958904109589</v>
      </c>
      <c r="Q55" s="23">
        <f t="shared" si="50"/>
        <v>1121.0958904109589</v>
      </c>
      <c r="R55" s="23">
        <f t="shared" si="50"/>
        <v>1121.0958904109589</v>
      </c>
      <c r="S55" s="23">
        <f t="shared" si="50"/>
        <v>1121.0958904109589</v>
      </c>
      <c r="T55" s="23">
        <f t="shared" si="50"/>
        <v>1121.0958904109589</v>
      </c>
      <c r="U55" s="23">
        <f t="shared" si="50"/>
        <v>1121.0958904109589</v>
      </c>
      <c r="V55" s="23">
        <f t="shared" si="50"/>
        <v>1121.0958904109589</v>
      </c>
      <c r="W55" s="23">
        <f t="shared" si="50"/>
        <v>1121.0958904109589</v>
      </c>
      <c r="X55" s="23">
        <f t="shared" si="50"/>
        <v>1121.0958904109589</v>
      </c>
      <c r="Y55" s="23">
        <f t="shared" si="50"/>
        <v>1121.0958904109589</v>
      </c>
      <c r="Z55" s="23">
        <f t="shared" si="50"/>
        <v>1121.0958904109589</v>
      </c>
      <c r="AA55" s="23">
        <f t="shared" si="50"/>
        <v>1121.0958904109589</v>
      </c>
      <c r="AB55" s="23">
        <f t="shared" si="50"/>
        <v>1121.0958904109589</v>
      </c>
    </row>
    <row r="56" spans="1:28" ht="15.75" customHeight="1" x14ac:dyDescent="0.3">
      <c r="A56" s="12">
        <f>RAW!$A$16</f>
        <v>818800</v>
      </c>
      <c r="B56" s="2"/>
      <c r="C56" s="24" t="s">
        <v>29</v>
      </c>
      <c r="D56" s="23">
        <f t="shared" si="40"/>
        <v>2243.2876712328766</v>
      </c>
      <c r="E56" s="2"/>
      <c r="F56" s="24" t="s">
        <v>29</v>
      </c>
      <c r="G56" s="23">
        <f t="shared" ref="G56:AB56" si="51">($A56/G$5)/365</f>
        <v>2243.2876712328766</v>
      </c>
      <c r="H56" s="23">
        <f t="shared" si="51"/>
        <v>2243.2876712328766</v>
      </c>
      <c r="I56" s="23">
        <f t="shared" si="51"/>
        <v>2243.2876712328766</v>
      </c>
      <c r="J56" s="23">
        <f t="shared" si="51"/>
        <v>2243.2876712328766</v>
      </c>
      <c r="K56" s="23">
        <f t="shared" si="51"/>
        <v>2243.2876712328766</v>
      </c>
      <c r="L56" s="23">
        <f t="shared" si="51"/>
        <v>2243.2876712328766</v>
      </c>
      <c r="M56" s="23">
        <f t="shared" si="51"/>
        <v>2243.2876712328766</v>
      </c>
      <c r="N56" s="23">
        <f t="shared" si="51"/>
        <v>2243.2876712328766</v>
      </c>
      <c r="O56" s="23">
        <f t="shared" si="51"/>
        <v>2243.2876712328766</v>
      </c>
      <c r="P56" s="23">
        <f t="shared" si="51"/>
        <v>2243.2876712328766</v>
      </c>
      <c r="Q56" s="23">
        <f t="shared" si="51"/>
        <v>2243.2876712328766</v>
      </c>
      <c r="R56" s="23">
        <f t="shared" si="51"/>
        <v>2243.2876712328766</v>
      </c>
      <c r="S56" s="23">
        <f t="shared" si="51"/>
        <v>2243.2876712328766</v>
      </c>
      <c r="T56" s="23">
        <f t="shared" si="51"/>
        <v>2243.2876712328766</v>
      </c>
      <c r="U56" s="23">
        <f t="shared" si="51"/>
        <v>2243.2876712328766</v>
      </c>
      <c r="V56" s="23">
        <f t="shared" si="51"/>
        <v>2243.2876712328766</v>
      </c>
      <c r="W56" s="23">
        <f t="shared" si="51"/>
        <v>2243.2876712328766</v>
      </c>
      <c r="X56" s="23">
        <f t="shared" si="51"/>
        <v>2243.2876712328766</v>
      </c>
      <c r="Y56" s="23">
        <f t="shared" si="51"/>
        <v>2243.2876712328766</v>
      </c>
      <c r="Z56" s="23">
        <f t="shared" si="51"/>
        <v>2243.2876712328766</v>
      </c>
      <c r="AA56" s="23">
        <f t="shared" si="51"/>
        <v>2243.2876712328766</v>
      </c>
      <c r="AB56" s="23">
        <f t="shared" si="51"/>
        <v>2243.2876712328766</v>
      </c>
    </row>
    <row r="57" spans="1:28" ht="15.75" customHeight="1" x14ac:dyDescent="0.3">
      <c r="A57" s="12">
        <f>RAW!$A$17</f>
        <v>1638000</v>
      </c>
      <c r="B57" s="2"/>
      <c r="C57" s="24" t="s">
        <v>30</v>
      </c>
      <c r="D57" s="23">
        <f t="shared" si="40"/>
        <v>4487.6712328767126</v>
      </c>
      <c r="E57" s="2"/>
      <c r="F57" s="24" t="s">
        <v>30</v>
      </c>
      <c r="G57" s="23">
        <f t="shared" ref="G57:AB57" si="52">($A57/G$5)/365</f>
        <v>4487.6712328767126</v>
      </c>
      <c r="H57" s="23">
        <f t="shared" si="52"/>
        <v>4487.6712328767126</v>
      </c>
      <c r="I57" s="23">
        <f t="shared" si="52"/>
        <v>4487.6712328767126</v>
      </c>
      <c r="J57" s="23">
        <f t="shared" si="52"/>
        <v>4487.6712328767126</v>
      </c>
      <c r="K57" s="23">
        <f t="shared" si="52"/>
        <v>4487.6712328767126</v>
      </c>
      <c r="L57" s="23">
        <f t="shared" si="52"/>
        <v>4487.6712328767126</v>
      </c>
      <c r="M57" s="23">
        <f t="shared" si="52"/>
        <v>4487.6712328767126</v>
      </c>
      <c r="N57" s="23">
        <f t="shared" si="52"/>
        <v>4487.6712328767126</v>
      </c>
      <c r="O57" s="23">
        <f t="shared" si="52"/>
        <v>4487.6712328767126</v>
      </c>
      <c r="P57" s="23">
        <f t="shared" si="52"/>
        <v>4487.6712328767126</v>
      </c>
      <c r="Q57" s="23">
        <f t="shared" si="52"/>
        <v>4487.6712328767126</v>
      </c>
      <c r="R57" s="23">
        <f t="shared" si="52"/>
        <v>4487.6712328767126</v>
      </c>
      <c r="S57" s="23">
        <f t="shared" si="52"/>
        <v>4487.6712328767126</v>
      </c>
      <c r="T57" s="23">
        <f t="shared" si="52"/>
        <v>4487.6712328767126</v>
      </c>
      <c r="U57" s="23">
        <f t="shared" si="52"/>
        <v>4487.6712328767126</v>
      </c>
      <c r="V57" s="23">
        <f t="shared" si="52"/>
        <v>4487.6712328767126</v>
      </c>
      <c r="W57" s="23">
        <f t="shared" si="52"/>
        <v>4487.6712328767126</v>
      </c>
      <c r="X57" s="23">
        <f t="shared" si="52"/>
        <v>4487.6712328767126</v>
      </c>
      <c r="Y57" s="23">
        <f t="shared" si="52"/>
        <v>4487.6712328767126</v>
      </c>
      <c r="Z57" s="23">
        <f t="shared" si="52"/>
        <v>4487.6712328767126</v>
      </c>
      <c r="AA57" s="23">
        <f t="shared" si="52"/>
        <v>4487.6712328767126</v>
      </c>
      <c r="AB57" s="23">
        <f t="shared" si="52"/>
        <v>4487.6712328767126</v>
      </c>
    </row>
    <row r="58" spans="1:28" ht="15.75" customHeight="1" x14ac:dyDescent="0.3">
      <c r="A58" s="12">
        <f>RAW!$A$18</f>
        <v>3276400</v>
      </c>
      <c r="B58" s="2"/>
      <c r="C58" s="24" t="s">
        <v>31</v>
      </c>
      <c r="D58" s="23">
        <f t="shared" si="40"/>
        <v>8976.4383561643845</v>
      </c>
      <c r="E58" s="2"/>
      <c r="F58" s="24" t="s">
        <v>31</v>
      </c>
      <c r="G58" s="23">
        <f t="shared" ref="G58:AB58" si="53">($A58/G$5)/365</f>
        <v>8976.4383561643845</v>
      </c>
      <c r="H58" s="23">
        <f t="shared" si="53"/>
        <v>8976.4383561643845</v>
      </c>
      <c r="I58" s="23">
        <f t="shared" si="53"/>
        <v>8976.4383561643845</v>
      </c>
      <c r="J58" s="23">
        <f t="shared" si="53"/>
        <v>8976.4383561643845</v>
      </c>
      <c r="K58" s="23">
        <f t="shared" si="53"/>
        <v>8976.4383561643845</v>
      </c>
      <c r="L58" s="23">
        <f t="shared" si="53"/>
        <v>8976.4383561643845</v>
      </c>
      <c r="M58" s="23">
        <f t="shared" si="53"/>
        <v>8976.4383561643845</v>
      </c>
      <c r="N58" s="23">
        <f t="shared" si="53"/>
        <v>8976.4383561643845</v>
      </c>
      <c r="O58" s="23">
        <f t="shared" si="53"/>
        <v>8976.4383561643845</v>
      </c>
      <c r="P58" s="23">
        <f t="shared" si="53"/>
        <v>8976.4383561643845</v>
      </c>
      <c r="Q58" s="23">
        <f t="shared" si="53"/>
        <v>8976.4383561643845</v>
      </c>
      <c r="R58" s="23">
        <f t="shared" si="53"/>
        <v>8976.4383561643845</v>
      </c>
      <c r="S58" s="23">
        <f t="shared" si="53"/>
        <v>8976.4383561643845</v>
      </c>
      <c r="T58" s="23">
        <f t="shared" si="53"/>
        <v>8976.4383561643845</v>
      </c>
      <c r="U58" s="23">
        <f t="shared" si="53"/>
        <v>8976.4383561643845</v>
      </c>
      <c r="V58" s="23">
        <f t="shared" si="53"/>
        <v>8976.4383561643845</v>
      </c>
      <c r="W58" s="23">
        <f t="shared" si="53"/>
        <v>8976.4383561643845</v>
      </c>
      <c r="X58" s="23">
        <f t="shared" si="53"/>
        <v>8976.4383561643845</v>
      </c>
      <c r="Y58" s="23">
        <f t="shared" si="53"/>
        <v>8976.4383561643845</v>
      </c>
      <c r="Z58" s="23">
        <f t="shared" si="53"/>
        <v>8976.4383561643845</v>
      </c>
      <c r="AA58" s="23">
        <f t="shared" si="53"/>
        <v>8976.4383561643845</v>
      </c>
      <c r="AB58" s="23">
        <f t="shared" si="53"/>
        <v>8976.4383561643845</v>
      </c>
    </row>
    <row r="59" spans="1:28" ht="15.75" customHeight="1" x14ac:dyDescent="0.3">
      <c r="A59" s="12">
        <f>RAW!$A$19</f>
        <v>6553200</v>
      </c>
      <c r="B59" s="2"/>
      <c r="C59" s="24" t="s">
        <v>32</v>
      </c>
      <c r="D59" s="23">
        <f t="shared" si="40"/>
        <v>17953.972602739726</v>
      </c>
      <c r="E59" s="2"/>
      <c r="F59" s="24" t="s">
        <v>32</v>
      </c>
      <c r="G59" s="23">
        <f t="shared" ref="G59:AB59" si="54">($A59/G$5)/365</f>
        <v>17953.972602739726</v>
      </c>
      <c r="H59" s="23">
        <f t="shared" si="54"/>
        <v>17953.972602739726</v>
      </c>
      <c r="I59" s="23">
        <f t="shared" si="54"/>
        <v>17953.972602739726</v>
      </c>
      <c r="J59" s="23">
        <f t="shared" si="54"/>
        <v>17953.972602739726</v>
      </c>
      <c r="K59" s="23">
        <f t="shared" si="54"/>
        <v>17953.972602739726</v>
      </c>
      <c r="L59" s="23">
        <f t="shared" si="54"/>
        <v>17953.972602739726</v>
      </c>
      <c r="M59" s="23">
        <f t="shared" si="54"/>
        <v>17953.972602739726</v>
      </c>
      <c r="N59" s="23">
        <f t="shared" si="54"/>
        <v>17953.972602739726</v>
      </c>
      <c r="O59" s="23">
        <f t="shared" si="54"/>
        <v>17953.972602739726</v>
      </c>
      <c r="P59" s="23">
        <f t="shared" si="54"/>
        <v>17953.972602739726</v>
      </c>
      <c r="Q59" s="23">
        <f t="shared" si="54"/>
        <v>17953.972602739726</v>
      </c>
      <c r="R59" s="23">
        <f t="shared" si="54"/>
        <v>17953.972602739726</v>
      </c>
      <c r="S59" s="23">
        <f t="shared" si="54"/>
        <v>17953.972602739726</v>
      </c>
      <c r="T59" s="23">
        <f t="shared" si="54"/>
        <v>17953.972602739726</v>
      </c>
      <c r="U59" s="23">
        <f t="shared" si="54"/>
        <v>17953.972602739726</v>
      </c>
      <c r="V59" s="23">
        <f t="shared" si="54"/>
        <v>17953.972602739726</v>
      </c>
      <c r="W59" s="23">
        <f t="shared" si="54"/>
        <v>17953.972602739726</v>
      </c>
      <c r="X59" s="23">
        <f t="shared" si="54"/>
        <v>17953.972602739726</v>
      </c>
      <c r="Y59" s="23">
        <f t="shared" si="54"/>
        <v>17953.972602739726</v>
      </c>
      <c r="Z59" s="23">
        <f t="shared" si="54"/>
        <v>17953.972602739726</v>
      </c>
      <c r="AA59" s="23">
        <f t="shared" si="54"/>
        <v>17953.972602739726</v>
      </c>
      <c r="AB59" s="23">
        <f t="shared" si="54"/>
        <v>17953.972602739726</v>
      </c>
    </row>
    <row r="60" spans="1:28" ht="15.75" customHeight="1" x14ac:dyDescent="0.3">
      <c r="A60" s="12">
        <f>RAW!$A$20</f>
        <v>13106800</v>
      </c>
      <c r="B60" s="2"/>
      <c r="C60" s="24" t="s">
        <v>33</v>
      </c>
      <c r="D60" s="23">
        <f t="shared" si="40"/>
        <v>35909.04109589041</v>
      </c>
      <c r="E60" s="2"/>
      <c r="F60" s="24" t="s">
        <v>33</v>
      </c>
      <c r="G60" s="23">
        <f t="shared" ref="G60:AB60" si="55">($A60/G$5)/365</f>
        <v>35909.04109589041</v>
      </c>
      <c r="H60" s="23">
        <f t="shared" si="55"/>
        <v>35909.04109589041</v>
      </c>
      <c r="I60" s="23">
        <f t="shared" si="55"/>
        <v>35909.04109589041</v>
      </c>
      <c r="J60" s="23">
        <f t="shared" si="55"/>
        <v>35909.04109589041</v>
      </c>
      <c r="K60" s="23">
        <f t="shared" si="55"/>
        <v>35909.04109589041</v>
      </c>
      <c r="L60" s="23">
        <f t="shared" si="55"/>
        <v>35909.04109589041</v>
      </c>
      <c r="M60" s="23">
        <f t="shared" si="55"/>
        <v>35909.04109589041</v>
      </c>
      <c r="N60" s="23">
        <f t="shared" si="55"/>
        <v>35909.04109589041</v>
      </c>
      <c r="O60" s="23">
        <f t="shared" si="55"/>
        <v>35909.04109589041</v>
      </c>
      <c r="P60" s="23">
        <f t="shared" si="55"/>
        <v>35909.04109589041</v>
      </c>
      <c r="Q60" s="23">
        <f t="shared" si="55"/>
        <v>35909.04109589041</v>
      </c>
      <c r="R60" s="23">
        <f t="shared" si="55"/>
        <v>35909.04109589041</v>
      </c>
      <c r="S60" s="23">
        <f t="shared" si="55"/>
        <v>35909.04109589041</v>
      </c>
      <c r="T60" s="23">
        <f t="shared" si="55"/>
        <v>35909.04109589041</v>
      </c>
      <c r="U60" s="23">
        <f t="shared" si="55"/>
        <v>35909.04109589041</v>
      </c>
      <c r="V60" s="23">
        <f t="shared" si="55"/>
        <v>35909.04109589041</v>
      </c>
      <c r="W60" s="23">
        <f t="shared" si="55"/>
        <v>35909.04109589041</v>
      </c>
      <c r="X60" s="23">
        <f t="shared" si="55"/>
        <v>35909.04109589041</v>
      </c>
      <c r="Y60" s="23">
        <f t="shared" si="55"/>
        <v>35909.04109589041</v>
      </c>
      <c r="Z60" s="23">
        <f t="shared" si="55"/>
        <v>35909.04109589041</v>
      </c>
      <c r="AA60" s="23">
        <f t="shared" si="55"/>
        <v>35909.04109589041</v>
      </c>
      <c r="AB60" s="23">
        <f t="shared" si="55"/>
        <v>35909.04109589041</v>
      </c>
    </row>
    <row r="61" spans="1:28" ht="15.75" customHeight="1" x14ac:dyDescent="0.3">
      <c r="A61" s="12">
        <f>RAW!$A$21</f>
        <v>26214000</v>
      </c>
      <c r="B61" s="2"/>
      <c r="C61" s="24" t="s">
        <v>34</v>
      </c>
      <c r="D61" s="23">
        <f t="shared" si="40"/>
        <v>71819.178082191778</v>
      </c>
      <c r="E61" s="2"/>
      <c r="F61" s="24" t="s">
        <v>34</v>
      </c>
      <c r="G61" s="23">
        <f t="shared" ref="G61:AB61" si="56">($A61/G$5)/365</f>
        <v>71819.178082191778</v>
      </c>
      <c r="H61" s="23">
        <f t="shared" si="56"/>
        <v>71819.178082191778</v>
      </c>
      <c r="I61" s="23">
        <f t="shared" si="56"/>
        <v>71819.178082191778</v>
      </c>
      <c r="J61" s="23">
        <f t="shared" si="56"/>
        <v>71819.178082191778</v>
      </c>
      <c r="K61" s="23">
        <f t="shared" si="56"/>
        <v>71819.178082191778</v>
      </c>
      <c r="L61" s="23">
        <f t="shared" si="56"/>
        <v>71819.178082191778</v>
      </c>
      <c r="M61" s="23">
        <f t="shared" si="56"/>
        <v>71819.178082191778</v>
      </c>
      <c r="N61" s="23">
        <f t="shared" si="56"/>
        <v>71819.178082191778</v>
      </c>
      <c r="O61" s="23">
        <f t="shared" si="56"/>
        <v>71819.178082191778</v>
      </c>
      <c r="P61" s="23">
        <f t="shared" si="56"/>
        <v>71819.178082191778</v>
      </c>
      <c r="Q61" s="23">
        <f t="shared" si="56"/>
        <v>71819.178082191778</v>
      </c>
      <c r="R61" s="23">
        <f t="shared" si="56"/>
        <v>71819.178082191778</v>
      </c>
      <c r="S61" s="23">
        <f t="shared" si="56"/>
        <v>71819.178082191778</v>
      </c>
      <c r="T61" s="23">
        <f t="shared" si="56"/>
        <v>71819.178082191778</v>
      </c>
      <c r="U61" s="23">
        <f t="shared" si="56"/>
        <v>71819.178082191778</v>
      </c>
      <c r="V61" s="23">
        <f t="shared" si="56"/>
        <v>71819.178082191778</v>
      </c>
      <c r="W61" s="23">
        <f t="shared" si="56"/>
        <v>71819.178082191778</v>
      </c>
      <c r="X61" s="23">
        <f t="shared" si="56"/>
        <v>71819.178082191778</v>
      </c>
      <c r="Y61" s="23">
        <f t="shared" si="56"/>
        <v>71819.178082191778</v>
      </c>
      <c r="Z61" s="23">
        <f t="shared" si="56"/>
        <v>71819.178082191778</v>
      </c>
      <c r="AA61" s="23">
        <f t="shared" si="56"/>
        <v>71819.178082191778</v>
      </c>
      <c r="AB61" s="23">
        <f t="shared" si="56"/>
        <v>71819.178082191778</v>
      </c>
    </row>
    <row r="62" spans="1:28" ht="15.75" customHeight="1" x14ac:dyDescent="0.3">
      <c r="A62" s="12">
        <f>RAW!$A$22</f>
        <v>52428400</v>
      </c>
      <c r="B62" s="2"/>
      <c r="C62" s="24" t="s">
        <v>35</v>
      </c>
      <c r="D62" s="23">
        <f t="shared" si="40"/>
        <v>143639.45205479453</v>
      </c>
      <c r="E62" s="2"/>
      <c r="F62" s="24" t="s">
        <v>35</v>
      </c>
      <c r="G62" s="23">
        <f t="shared" ref="G62:AB62" si="57">($A62/G$5)/365</f>
        <v>143639.45205479453</v>
      </c>
      <c r="H62" s="23">
        <f t="shared" si="57"/>
        <v>143639.45205479453</v>
      </c>
      <c r="I62" s="23">
        <f t="shared" si="57"/>
        <v>143639.45205479453</v>
      </c>
      <c r="J62" s="23">
        <f t="shared" si="57"/>
        <v>143639.45205479453</v>
      </c>
      <c r="K62" s="23">
        <f t="shared" si="57"/>
        <v>143639.45205479453</v>
      </c>
      <c r="L62" s="23">
        <f t="shared" si="57"/>
        <v>143639.45205479453</v>
      </c>
      <c r="M62" s="23">
        <f t="shared" si="57"/>
        <v>143639.45205479453</v>
      </c>
      <c r="N62" s="23">
        <f t="shared" si="57"/>
        <v>143639.45205479453</v>
      </c>
      <c r="O62" s="23">
        <f t="shared" si="57"/>
        <v>143639.45205479453</v>
      </c>
      <c r="P62" s="23">
        <f t="shared" si="57"/>
        <v>143639.45205479453</v>
      </c>
      <c r="Q62" s="23">
        <f t="shared" si="57"/>
        <v>143639.45205479453</v>
      </c>
      <c r="R62" s="23">
        <f t="shared" si="57"/>
        <v>143639.45205479453</v>
      </c>
      <c r="S62" s="23">
        <f t="shared" si="57"/>
        <v>143639.45205479453</v>
      </c>
      <c r="T62" s="23">
        <f t="shared" si="57"/>
        <v>143639.45205479453</v>
      </c>
      <c r="U62" s="23">
        <f t="shared" si="57"/>
        <v>143639.45205479453</v>
      </c>
      <c r="V62" s="23">
        <f t="shared" si="57"/>
        <v>143639.45205479453</v>
      </c>
      <c r="W62" s="23">
        <f t="shared" si="57"/>
        <v>143639.45205479453</v>
      </c>
      <c r="X62" s="23">
        <f t="shared" si="57"/>
        <v>143639.45205479453</v>
      </c>
      <c r="Y62" s="23">
        <f t="shared" si="57"/>
        <v>143639.45205479453</v>
      </c>
      <c r="Z62" s="23">
        <f t="shared" si="57"/>
        <v>143639.45205479453</v>
      </c>
      <c r="AA62" s="23">
        <f t="shared" si="57"/>
        <v>143639.45205479453</v>
      </c>
      <c r="AB62" s="23">
        <f t="shared" si="57"/>
        <v>143639.45205479453</v>
      </c>
    </row>
    <row r="63" spans="1:28" ht="15.75" customHeight="1" x14ac:dyDescent="0.3">
      <c r="B63" s="2"/>
      <c r="E63" s="2"/>
    </row>
    <row r="64" spans="1:28" ht="15.75" customHeight="1" x14ac:dyDescent="0.3">
      <c r="B64" s="2"/>
      <c r="E64" s="2"/>
    </row>
    <row r="65" spans="2:5" ht="15.75" customHeight="1" x14ac:dyDescent="0.3">
      <c r="B65" s="2"/>
      <c r="E65" s="2"/>
    </row>
    <row r="66" spans="2:5" ht="15.75" customHeight="1" x14ac:dyDescent="0.3">
      <c r="B66" s="2"/>
      <c r="E66" s="2"/>
    </row>
    <row r="67" spans="2:5" ht="15.75" customHeight="1" x14ac:dyDescent="0.3">
      <c r="B67" s="2"/>
      <c r="E67" s="2"/>
    </row>
    <row r="68" spans="2:5" ht="15.75" customHeight="1" x14ac:dyDescent="0.3">
      <c r="B68" s="2"/>
      <c r="E68" s="2"/>
    </row>
    <row r="69" spans="2:5" ht="15.75" customHeight="1" x14ac:dyDescent="0.3">
      <c r="B69" s="2"/>
      <c r="E69" s="2"/>
    </row>
    <row r="70" spans="2:5" ht="15.75" customHeight="1" x14ac:dyDescent="0.3">
      <c r="B70" s="2"/>
      <c r="E70" s="2"/>
    </row>
    <row r="71" spans="2:5" ht="15.75" customHeight="1" x14ac:dyDescent="0.3">
      <c r="B71" s="2"/>
      <c r="E71" s="2"/>
    </row>
    <row r="72" spans="2:5" ht="15.75" customHeight="1" x14ac:dyDescent="0.3">
      <c r="B72" s="2"/>
      <c r="E72" s="2"/>
    </row>
    <row r="73" spans="2:5" ht="15.75" customHeight="1" x14ac:dyDescent="0.3">
      <c r="B73" s="2"/>
      <c r="E73" s="2"/>
    </row>
    <row r="74" spans="2:5" ht="15.75" customHeight="1" x14ac:dyDescent="0.3">
      <c r="B74" s="2"/>
      <c r="E74" s="2"/>
    </row>
    <row r="75" spans="2:5" ht="15.75" customHeight="1" x14ac:dyDescent="0.3">
      <c r="B75" s="2"/>
      <c r="E75" s="2"/>
    </row>
    <row r="76" spans="2:5" ht="15.75" customHeight="1" x14ac:dyDescent="0.3">
      <c r="B76" s="2"/>
      <c r="E76" s="2"/>
    </row>
    <row r="77" spans="2:5" ht="15.75" customHeight="1" x14ac:dyDescent="0.3">
      <c r="B77" s="2"/>
      <c r="E77" s="2"/>
    </row>
    <row r="78" spans="2:5" ht="15.75" customHeight="1" x14ac:dyDescent="0.3">
      <c r="B78" s="2"/>
      <c r="E78" s="2"/>
    </row>
    <row r="79" spans="2:5" ht="15.75" customHeight="1" x14ac:dyDescent="0.3">
      <c r="B79" s="2"/>
      <c r="E79" s="2"/>
    </row>
    <row r="80" spans="2:5" ht="15.75" customHeight="1" x14ac:dyDescent="0.3">
      <c r="B80" s="2"/>
      <c r="E80" s="2"/>
    </row>
    <row r="81" spans="2:5" ht="15.75" customHeight="1" x14ac:dyDescent="0.3">
      <c r="B81" s="2"/>
      <c r="E81" s="2"/>
    </row>
    <row r="82" spans="2:5" ht="15.75" customHeight="1" x14ac:dyDescent="0.3">
      <c r="B82" s="2"/>
      <c r="E82" s="2"/>
    </row>
    <row r="83" spans="2:5" ht="15.75" customHeight="1" x14ac:dyDescent="0.3">
      <c r="B83" s="2"/>
      <c r="E83" s="2"/>
    </row>
    <row r="84" spans="2:5" ht="15.75" customHeight="1" x14ac:dyDescent="0.3">
      <c r="B84" s="2"/>
      <c r="E84" s="2"/>
    </row>
    <row r="85" spans="2:5" ht="15.75" customHeight="1" x14ac:dyDescent="0.3">
      <c r="B85" s="2"/>
      <c r="E85" s="2"/>
    </row>
    <row r="86" spans="2:5" ht="15.75" customHeight="1" x14ac:dyDescent="0.3">
      <c r="B86" s="2"/>
      <c r="E86" s="2"/>
    </row>
    <row r="87" spans="2:5" ht="15.75" customHeight="1" x14ac:dyDescent="0.3">
      <c r="B87" s="2"/>
      <c r="E87" s="2"/>
    </row>
    <row r="88" spans="2:5" ht="15.75" customHeight="1" x14ac:dyDescent="0.3">
      <c r="B88" s="2"/>
      <c r="E88" s="2"/>
    </row>
    <row r="89" spans="2:5" ht="15.75" customHeight="1" x14ac:dyDescent="0.3">
      <c r="B89" s="2"/>
      <c r="E89" s="2"/>
    </row>
    <row r="90" spans="2:5" ht="15.75" customHeight="1" x14ac:dyDescent="0.3">
      <c r="B90" s="2"/>
      <c r="E90" s="2"/>
    </row>
    <row r="91" spans="2:5" ht="15.75" customHeight="1" x14ac:dyDescent="0.3">
      <c r="B91" s="2"/>
      <c r="E91" s="2"/>
    </row>
    <row r="92" spans="2:5" ht="15.75" customHeight="1" x14ac:dyDescent="0.3">
      <c r="B92" s="2"/>
      <c r="E92" s="2"/>
    </row>
    <row r="93" spans="2:5" ht="15.75" customHeight="1" x14ac:dyDescent="0.3">
      <c r="B93" s="2"/>
      <c r="E93" s="2"/>
    </row>
    <row r="94" spans="2:5" ht="15.75" customHeight="1" x14ac:dyDescent="0.3">
      <c r="B94" s="2"/>
      <c r="E94" s="2"/>
    </row>
    <row r="95" spans="2:5" ht="15.75" customHeight="1" x14ac:dyDescent="0.3">
      <c r="B95" s="2"/>
      <c r="E95" s="2"/>
    </row>
    <row r="96" spans="2:5" ht="15.75" customHeight="1" x14ac:dyDescent="0.3">
      <c r="B96" s="2"/>
      <c r="E96" s="2"/>
    </row>
    <row r="97" spans="2:5" ht="15.75" customHeight="1" x14ac:dyDescent="0.3">
      <c r="B97" s="2"/>
      <c r="E97" s="2"/>
    </row>
    <row r="98" spans="2:5" ht="15.75" customHeight="1" x14ac:dyDescent="0.3">
      <c r="B98" s="2"/>
      <c r="E98" s="2"/>
    </row>
    <row r="99" spans="2:5" ht="15.75" customHeight="1" x14ac:dyDescent="0.3">
      <c r="B99" s="2"/>
      <c r="E99" s="2"/>
    </row>
    <row r="100" spans="2:5" ht="15.75" customHeight="1" x14ac:dyDescent="0.3">
      <c r="B100" s="2"/>
      <c r="E100" s="2"/>
    </row>
    <row r="101" spans="2:5" ht="15.75" customHeight="1" x14ac:dyDescent="0.3">
      <c r="B101" s="2"/>
      <c r="E101" s="2"/>
    </row>
    <row r="102" spans="2:5" ht="15.75" customHeight="1" x14ac:dyDescent="0.3">
      <c r="B102" s="2"/>
      <c r="E102" s="2"/>
    </row>
    <row r="103" spans="2:5" ht="15.75" customHeight="1" x14ac:dyDescent="0.3">
      <c r="B103" s="2"/>
      <c r="E103" s="2"/>
    </row>
    <row r="104" spans="2:5" ht="15.75" customHeight="1" x14ac:dyDescent="0.3">
      <c r="B104" s="2"/>
      <c r="E104" s="2"/>
    </row>
    <row r="105" spans="2:5" ht="15.75" customHeight="1" x14ac:dyDescent="0.3">
      <c r="B105" s="2"/>
      <c r="E105" s="2"/>
    </row>
    <row r="106" spans="2:5" ht="15.75" customHeight="1" x14ac:dyDescent="0.3">
      <c r="B106" s="2"/>
      <c r="E106" s="2"/>
    </row>
    <row r="107" spans="2:5" ht="15.75" customHeight="1" x14ac:dyDescent="0.3">
      <c r="B107" s="2"/>
      <c r="E107" s="2"/>
    </row>
    <row r="108" spans="2:5" ht="15.75" customHeight="1" x14ac:dyDescent="0.3">
      <c r="B108" s="2"/>
      <c r="E108" s="2"/>
    </row>
    <row r="109" spans="2:5" ht="15.75" customHeight="1" x14ac:dyDescent="0.3">
      <c r="B109" s="2"/>
      <c r="E109" s="2"/>
    </row>
    <row r="110" spans="2:5" ht="15.75" customHeight="1" x14ac:dyDescent="0.3">
      <c r="B110" s="2"/>
      <c r="E110" s="2"/>
    </row>
    <row r="111" spans="2:5" ht="15.75" customHeight="1" x14ac:dyDescent="0.3">
      <c r="B111" s="2"/>
      <c r="E111" s="2"/>
    </row>
    <row r="112" spans="2:5" ht="15.75" customHeight="1" x14ac:dyDescent="0.3">
      <c r="B112" s="2"/>
      <c r="E112" s="2"/>
    </row>
    <row r="113" spans="2:5" ht="15.75" customHeight="1" x14ac:dyDescent="0.3">
      <c r="B113" s="2"/>
      <c r="E113" s="2"/>
    </row>
    <row r="114" spans="2:5" ht="15.75" customHeight="1" x14ac:dyDescent="0.3">
      <c r="B114" s="2"/>
      <c r="E114" s="2"/>
    </row>
    <row r="115" spans="2:5" ht="15.75" customHeight="1" x14ac:dyDescent="0.3">
      <c r="B115" s="2"/>
      <c r="E115" s="2"/>
    </row>
    <row r="116" spans="2:5" ht="15.75" customHeight="1" x14ac:dyDescent="0.3">
      <c r="B116" s="2"/>
      <c r="E116" s="2"/>
    </row>
    <row r="117" spans="2:5" ht="15.75" customHeight="1" x14ac:dyDescent="0.3">
      <c r="B117" s="2"/>
      <c r="E117" s="2"/>
    </row>
    <row r="118" spans="2:5" ht="15.75" customHeight="1" x14ac:dyDescent="0.3">
      <c r="B118" s="2"/>
      <c r="E118" s="2"/>
    </row>
    <row r="119" spans="2:5" ht="15.75" customHeight="1" x14ac:dyDescent="0.3">
      <c r="B119" s="2"/>
      <c r="E119" s="2"/>
    </row>
    <row r="120" spans="2:5" ht="15.75" customHeight="1" x14ac:dyDescent="0.3">
      <c r="B120" s="2"/>
      <c r="E120" s="2"/>
    </row>
    <row r="121" spans="2:5" ht="15.75" customHeight="1" x14ac:dyDescent="0.3">
      <c r="B121" s="2"/>
      <c r="E121" s="2"/>
    </row>
    <row r="122" spans="2:5" ht="15.75" customHeight="1" x14ac:dyDescent="0.3">
      <c r="B122" s="2"/>
      <c r="E122" s="2"/>
    </row>
    <row r="123" spans="2:5" ht="15.75" customHeight="1" x14ac:dyDescent="0.3">
      <c r="B123" s="2"/>
      <c r="E123" s="2"/>
    </row>
    <row r="124" spans="2:5" ht="15.75" customHeight="1" x14ac:dyDescent="0.3">
      <c r="B124" s="2"/>
      <c r="E124" s="2"/>
    </row>
    <row r="125" spans="2:5" ht="15.75" customHeight="1" x14ac:dyDescent="0.3">
      <c r="B125" s="2"/>
      <c r="E125" s="2"/>
    </row>
    <row r="126" spans="2:5" ht="15.75" customHeight="1" x14ac:dyDescent="0.3">
      <c r="B126" s="2"/>
      <c r="E126" s="2"/>
    </row>
    <row r="127" spans="2:5" ht="15.75" customHeight="1" x14ac:dyDescent="0.3">
      <c r="B127" s="2"/>
      <c r="E127" s="2"/>
    </row>
    <row r="128" spans="2:5" ht="15.75" customHeight="1" x14ac:dyDescent="0.3">
      <c r="B128" s="2"/>
      <c r="E128" s="2"/>
    </row>
    <row r="129" spans="2:5" ht="15.75" customHeight="1" x14ac:dyDescent="0.3">
      <c r="B129" s="2"/>
      <c r="E129" s="2"/>
    </row>
    <row r="130" spans="2:5" ht="15.75" customHeight="1" x14ac:dyDescent="0.3">
      <c r="B130" s="2"/>
      <c r="E130" s="2"/>
    </row>
    <row r="131" spans="2:5" ht="15.75" customHeight="1" x14ac:dyDescent="0.3">
      <c r="B131" s="2"/>
      <c r="E131" s="2"/>
    </row>
    <row r="132" spans="2:5" ht="15.75" customHeight="1" x14ac:dyDescent="0.3">
      <c r="B132" s="2"/>
      <c r="E132" s="2"/>
    </row>
    <row r="133" spans="2:5" ht="15.75" customHeight="1" x14ac:dyDescent="0.3">
      <c r="B133" s="2"/>
      <c r="E133" s="2"/>
    </row>
    <row r="134" spans="2:5" ht="15.75" customHeight="1" x14ac:dyDescent="0.3">
      <c r="B134" s="2"/>
      <c r="E134" s="2"/>
    </row>
    <row r="135" spans="2:5" ht="15.75" customHeight="1" x14ac:dyDescent="0.3">
      <c r="B135" s="2"/>
      <c r="E135" s="2"/>
    </row>
    <row r="136" spans="2:5" ht="15.75" customHeight="1" x14ac:dyDescent="0.3">
      <c r="B136" s="2"/>
      <c r="E136" s="2"/>
    </row>
    <row r="137" spans="2:5" ht="15.75" customHeight="1" x14ac:dyDescent="0.3">
      <c r="B137" s="2"/>
      <c r="E137" s="2"/>
    </row>
    <row r="138" spans="2:5" ht="15.75" customHeight="1" x14ac:dyDescent="0.3">
      <c r="B138" s="2"/>
      <c r="E138" s="2"/>
    </row>
    <row r="139" spans="2:5" ht="15.75" customHeight="1" x14ac:dyDescent="0.3">
      <c r="B139" s="2"/>
      <c r="E139" s="2"/>
    </row>
    <row r="140" spans="2:5" ht="15.75" customHeight="1" x14ac:dyDescent="0.3">
      <c r="B140" s="2"/>
      <c r="E140" s="2"/>
    </row>
    <row r="141" spans="2:5" ht="15.75" customHeight="1" x14ac:dyDescent="0.3">
      <c r="B141" s="2"/>
      <c r="E141" s="2"/>
    </row>
    <row r="142" spans="2:5" ht="15.75" customHeight="1" x14ac:dyDescent="0.3">
      <c r="B142" s="2"/>
      <c r="E142" s="2"/>
    </row>
    <row r="143" spans="2:5" ht="15.75" customHeight="1" x14ac:dyDescent="0.3">
      <c r="B143" s="2"/>
      <c r="E143" s="2"/>
    </row>
    <row r="144" spans="2:5" ht="15.75" customHeight="1" x14ac:dyDescent="0.3">
      <c r="B144" s="2"/>
      <c r="E144" s="2"/>
    </row>
    <row r="145" spans="2:5" ht="15.75" customHeight="1" x14ac:dyDescent="0.3">
      <c r="B145" s="2"/>
      <c r="E145" s="2"/>
    </row>
    <row r="146" spans="2:5" ht="15.75" customHeight="1" x14ac:dyDescent="0.3">
      <c r="B146" s="2"/>
      <c r="E146" s="2"/>
    </row>
    <row r="147" spans="2:5" ht="15.75" customHeight="1" x14ac:dyDescent="0.3">
      <c r="B147" s="2"/>
      <c r="E147" s="2"/>
    </row>
    <row r="148" spans="2:5" ht="15.75" customHeight="1" x14ac:dyDescent="0.3">
      <c r="B148" s="2"/>
      <c r="E148" s="2"/>
    </row>
    <row r="149" spans="2:5" ht="15.75" customHeight="1" x14ac:dyDescent="0.3">
      <c r="B149" s="2"/>
      <c r="E149" s="2"/>
    </row>
    <row r="150" spans="2:5" ht="15.75" customHeight="1" x14ac:dyDescent="0.3">
      <c r="B150" s="2"/>
      <c r="E150" s="2"/>
    </row>
    <row r="151" spans="2:5" ht="15.75" customHeight="1" x14ac:dyDescent="0.3">
      <c r="B151" s="2"/>
      <c r="E151" s="2"/>
    </row>
    <row r="152" spans="2:5" ht="15.75" customHeight="1" x14ac:dyDescent="0.3">
      <c r="B152" s="2"/>
      <c r="E152" s="2"/>
    </row>
    <row r="153" spans="2:5" ht="15.75" customHeight="1" x14ac:dyDescent="0.3">
      <c r="B153" s="2"/>
      <c r="E153" s="2"/>
    </row>
    <row r="154" spans="2:5" ht="15.75" customHeight="1" x14ac:dyDescent="0.3">
      <c r="B154" s="2"/>
      <c r="E154" s="2"/>
    </row>
    <row r="155" spans="2:5" ht="15.75" customHeight="1" x14ac:dyDescent="0.3">
      <c r="B155" s="2"/>
      <c r="E155" s="2"/>
    </row>
    <row r="156" spans="2:5" ht="15.75" customHeight="1" x14ac:dyDescent="0.3">
      <c r="B156" s="2"/>
      <c r="E156" s="2"/>
    </row>
    <row r="157" spans="2:5" ht="15.75" customHeight="1" x14ac:dyDescent="0.3">
      <c r="B157" s="2"/>
      <c r="E157" s="2"/>
    </row>
    <row r="158" spans="2:5" ht="15.75" customHeight="1" x14ac:dyDescent="0.3">
      <c r="B158" s="2"/>
      <c r="E158" s="2"/>
    </row>
    <row r="159" spans="2:5" ht="15.75" customHeight="1" x14ac:dyDescent="0.3">
      <c r="B159" s="2"/>
      <c r="E159" s="2"/>
    </row>
    <row r="160" spans="2:5" ht="15.75" customHeight="1" x14ac:dyDescent="0.3">
      <c r="B160" s="2"/>
      <c r="E160" s="2"/>
    </row>
    <row r="161" spans="2:5" ht="15.75" customHeight="1" x14ac:dyDescent="0.3">
      <c r="B161" s="2"/>
      <c r="E161" s="2"/>
    </row>
    <row r="162" spans="2:5" ht="15.75" customHeight="1" x14ac:dyDescent="0.3">
      <c r="B162" s="2"/>
      <c r="E162" s="2"/>
    </row>
    <row r="163" spans="2:5" ht="15.75" customHeight="1" x14ac:dyDescent="0.3">
      <c r="B163" s="2"/>
      <c r="E163" s="2"/>
    </row>
    <row r="164" spans="2:5" ht="15.75" customHeight="1" x14ac:dyDescent="0.3">
      <c r="B164" s="2"/>
      <c r="E164" s="2"/>
    </row>
    <row r="165" spans="2:5" ht="15.75" customHeight="1" x14ac:dyDescent="0.3">
      <c r="B165" s="2"/>
      <c r="E165" s="2"/>
    </row>
    <row r="166" spans="2:5" ht="15.75" customHeight="1" x14ac:dyDescent="0.3">
      <c r="B166" s="2"/>
      <c r="E166" s="2"/>
    </row>
    <row r="167" spans="2:5" ht="15.75" customHeight="1" x14ac:dyDescent="0.3">
      <c r="B167" s="2"/>
      <c r="E167" s="2"/>
    </row>
    <row r="168" spans="2:5" ht="15.75" customHeight="1" x14ac:dyDescent="0.3">
      <c r="B168" s="2"/>
      <c r="E168" s="2"/>
    </row>
    <row r="169" spans="2:5" ht="15.75" customHeight="1" x14ac:dyDescent="0.3">
      <c r="B169" s="2"/>
      <c r="E169" s="2"/>
    </row>
    <row r="170" spans="2:5" ht="15.75" customHeight="1" x14ac:dyDescent="0.3">
      <c r="B170" s="2"/>
      <c r="E170" s="2"/>
    </row>
    <row r="171" spans="2:5" ht="15.75" customHeight="1" x14ac:dyDescent="0.3">
      <c r="B171" s="2"/>
      <c r="E171" s="2"/>
    </row>
    <row r="172" spans="2:5" ht="15.75" customHeight="1" x14ac:dyDescent="0.3">
      <c r="B172" s="2"/>
      <c r="E172" s="2"/>
    </row>
    <row r="173" spans="2:5" ht="15.75" customHeight="1" x14ac:dyDescent="0.3">
      <c r="B173" s="2"/>
      <c r="E173" s="2"/>
    </row>
    <row r="174" spans="2:5" ht="15.75" customHeight="1" x14ac:dyDescent="0.3">
      <c r="B174" s="2"/>
      <c r="E174" s="2"/>
    </row>
    <row r="175" spans="2:5" ht="15.75" customHeight="1" x14ac:dyDescent="0.3">
      <c r="B175" s="2"/>
      <c r="E175" s="2"/>
    </row>
    <row r="176" spans="2:5" ht="15.75" customHeight="1" x14ac:dyDescent="0.3">
      <c r="B176" s="2"/>
      <c r="E176" s="2"/>
    </row>
    <row r="177" spans="2:5" ht="15.75" customHeight="1" x14ac:dyDescent="0.3">
      <c r="B177" s="2"/>
      <c r="E177" s="2"/>
    </row>
    <row r="178" spans="2:5" ht="15.75" customHeight="1" x14ac:dyDescent="0.3">
      <c r="B178" s="2"/>
      <c r="E178" s="2"/>
    </row>
    <row r="179" spans="2:5" ht="15.75" customHeight="1" x14ac:dyDescent="0.3">
      <c r="B179" s="2"/>
      <c r="E179" s="2"/>
    </row>
    <row r="180" spans="2:5" ht="15.75" customHeight="1" x14ac:dyDescent="0.3">
      <c r="B180" s="2"/>
      <c r="E180" s="2"/>
    </row>
    <row r="181" spans="2:5" ht="15.75" customHeight="1" x14ac:dyDescent="0.3">
      <c r="B181" s="2"/>
      <c r="E181" s="2"/>
    </row>
    <row r="182" spans="2:5" ht="15.75" customHeight="1" x14ac:dyDescent="0.3">
      <c r="B182" s="2"/>
      <c r="E182" s="2"/>
    </row>
    <row r="183" spans="2:5" ht="15.75" customHeight="1" x14ac:dyDescent="0.3">
      <c r="B183" s="2"/>
      <c r="E183" s="2"/>
    </row>
    <row r="184" spans="2:5" ht="15.75" customHeight="1" x14ac:dyDescent="0.3">
      <c r="B184" s="2"/>
      <c r="E184" s="2"/>
    </row>
    <row r="185" spans="2:5" ht="15.75" customHeight="1" x14ac:dyDescent="0.3">
      <c r="B185" s="2"/>
      <c r="E185" s="2"/>
    </row>
    <row r="186" spans="2:5" ht="15.75" customHeight="1" x14ac:dyDescent="0.3">
      <c r="B186" s="2"/>
      <c r="E186" s="2"/>
    </row>
    <row r="187" spans="2:5" ht="15.75" customHeight="1" x14ac:dyDescent="0.3">
      <c r="B187" s="2"/>
      <c r="E187" s="2"/>
    </row>
    <row r="188" spans="2:5" ht="15.75" customHeight="1" x14ac:dyDescent="0.3">
      <c r="B188" s="2"/>
      <c r="E188" s="2"/>
    </row>
    <row r="189" spans="2:5" ht="15.75" customHeight="1" x14ac:dyDescent="0.3">
      <c r="B189" s="2"/>
      <c r="E189" s="2"/>
    </row>
    <row r="190" spans="2:5" ht="15.75" customHeight="1" x14ac:dyDescent="0.3">
      <c r="B190" s="2"/>
      <c r="E190" s="2"/>
    </row>
    <row r="191" spans="2:5" ht="15.75" customHeight="1" x14ac:dyDescent="0.3">
      <c r="B191" s="2"/>
      <c r="E191" s="2"/>
    </row>
    <row r="192" spans="2:5" ht="15.75" customHeight="1" x14ac:dyDescent="0.3">
      <c r="B192" s="2"/>
      <c r="E192" s="2"/>
    </row>
    <row r="193" spans="2:5" ht="15.75" customHeight="1" x14ac:dyDescent="0.3">
      <c r="B193" s="2"/>
      <c r="E193" s="2"/>
    </row>
    <row r="194" spans="2:5" ht="15.75" customHeight="1" x14ac:dyDescent="0.3">
      <c r="B194" s="2"/>
      <c r="E194" s="2"/>
    </row>
    <row r="195" spans="2:5" ht="15.75" customHeight="1" x14ac:dyDescent="0.3">
      <c r="B195" s="2"/>
      <c r="E195" s="2"/>
    </row>
    <row r="196" spans="2:5" ht="15.75" customHeight="1" x14ac:dyDescent="0.3">
      <c r="B196" s="2"/>
      <c r="E196" s="2"/>
    </row>
    <row r="197" spans="2:5" ht="15.75" customHeight="1" x14ac:dyDescent="0.3">
      <c r="B197" s="2"/>
      <c r="E197" s="2"/>
    </row>
    <row r="198" spans="2:5" ht="15.75" customHeight="1" x14ac:dyDescent="0.3">
      <c r="B198" s="2"/>
      <c r="E198" s="2"/>
    </row>
    <row r="199" spans="2:5" ht="15.75" customHeight="1" x14ac:dyDescent="0.3">
      <c r="B199" s="2"/>
      <c r="E199" s="2"/>
    </row>
    <row r="200" spans="2:5" ht="15.75" customHeight="1" x14ac:dyDescent="0.3">
      <c r="B200" s="2"/>
      <c r="E200" s="2"/>
    </row>
    <row r="201" spans="2:5" ht="15.75" customHeight="1" x14ac:dyDescent="0.3">
      <c r="B201" s="2"/>
      <c r="E201" s="2"/>
    </row>
    <row r="202" spans="2:5" ht="15.75" customHeight="1" x14ac:dyDescent="0.3">
      <c r="B202" s="2"/>
      <c r="E202" s="2"/>
    </row>
    <row r="203" spans="2:5" ht="15.75" customHeight="1" x14ac:dyDescent="0.3">
      <c r="B203" s="2"/>
      <c r="E203" s="2"/>
    </row>
    <row r="204" spans="2:5" ht="15.75" customHeight="1" x14ac:dyDescent="0.3">
      <c r="B204" s="2"/>
      <c r="E204" s="2"/>
    </row>
    <row r="205" spans="2:5" ht="15.75" customHeight="1" x14ac:dyDescent="0.3">
      <c r="B205" s="2"/>
      <c r="E205" s="2"/>
    </row>
    <row r="206" spans="2:5" ht="15.75" customHeight="1" x14ac:dyDescent="0.3">
      <c r="B206" s="2"/>
      <c r="E206" s="2"/>
    </row>
    <row r="207" spans="2:5" ht="15.75" customHeight="1" x14ac:dyDescent="0.3">
      <c r="B207" s="2"/>
      <c r="E207" s="2"/>
    </row>
    <row r="208" spans="2:5" ht="15.75" customHeight="1" x14ac:dyDescent="0.3">
      <c r="B208" s="2"/>
      <c r="E208" s="2"/>
    </row>
    <row r="209" spans="2:5" ht="15.75" customHeight="1" x14ac:dyDescent="0.3">
      <c r="B209" s="2"/>
      <c r="E209" s="2"/>
    </row>
    <row r="210" spans="2:5" ht="15.75" customHeight="1" x14ac:dyDescent="0.3">
      <c r="B210" s="2"/>
      <c r="E210" s="2"/>
    </row>
    <row r="211" spans="2:5" ht="15.75" customHeight="1" x14ac:dyDescent="0.3">
      <c r="B211" s="2"/>
      <c r="E211" s="2"/>
    </row>
    <row r="212" spans="2:5" ht="15.75" customHeight="1" x14ac:dyDescent="0.3">
      <c r="B212" s="2"/>
      <c r="E212" s="2"/>
    </row>
    <row r="213" spans="2:5" ht="15.75" customHeight="1" x14ac:dyDescent="0.3">
      <c r="B213" s="2"/>
      <c r="E213" s="2"/>
    </row>
    <row r="214" spans="2:5" ht="15.75" customHeight="1" x14ac:dyDescent="0.3">
      <c r="B214" s="2"/>
      <c r="E214" s="2"/>
    </row>
    <row r="215" spans="2:5" ht="15.75" customHeight="1" x14ac:dyDescent="0.3">
      <c r="B215" s="2"/>
      <c r="E215" s="2"/>
    </row>
    <row r="216" spans="2:5" ht="15.75" customHeight="1" x14ac:dyDescent="0.3">
      <c r="B216" s="2"/>
      <c r="E216" s="2"/>
    </row>
    <row r="217" spans="2:5" ht="15.75" customHeight="1" x14ac:dyDescent="0.3">
      <c r="B217" s="2"/>
      <c r="E217" s="2"/>
    </row>
    <row r="218" spans="2:5" ht="15.75" customHeight="1" x14ac:dyDescent="0.3">
      <c r="B218" s="2"/>
      <c r="E218" s="2"/>
    </row>
    <row r="219" spans="2:5" ht="15.75" customHeight="1" x14ac:dyDescent="0.3">
      <c r="B219" s="2"/>
      <c r="E219" s="2"/>
    </row>
    <row r="220" spans="2:5" ht="15.75" customHeight="1" x14ac:dyDescent="0.3">
      <c r="B220" s="2"/>
      <c r="E220" s="2"/>
    </row>
    <row r="221" spans="2:5" ht="15.75" customHeight="1" x14ac:dyDescent="0.3">
      <c r="B221" s="2"/>
      <c r="E221" s="2"/>
    </row>
    <row r="222" spans="2:5" ht="15.75" customHeight="1" x14ac:dyDescent="0.3">
      <c r="B222" s="2"/>
      <c r="E222" s="2"/>
    </row>
    <row r="223" spans="2:5" ht="15.75" customHeight="1" x14ac:dyDescent="0.3">
      <c r="B223" s="2"/>
      <c r="E223" s="2"/>
    </row>
    <row r="224" spans="2:5" ht="15.75" customHeight="1" x14ac:dyDescent="0.3">
      <c r="B224" s="2"/>
      <c r="E224" s="2"/>
    </row>
    <row r="225" spans="2:5" ht="15.75" customHeight="1" x14ac:dyDescent="0.3">
      <c r="B225" s="2"/>
      <c r="E225" s="2"/>
    </row>
    <row r="226" spans="2:5" ht="15.75" customHeight="1" x14ac:dyDescent="0.3">
      <c r="B226" s="2"/>
      <c r="E226" s="2"/>
    </row>
    <row r="227" spans="2:5" ht="15.75" customHeight="1" x14ac:dyDescent="0.3">
      <c r="B227" s="2"/>
      <c r="E227" s="2"/>
    </row>
    <row r="228" spans="2:5" ht="15.75" customHeight="1" x14ac:dyDescent="0.3">
      <c r="B228" s="2"/>
      <c r="E228" s="2"/>
    </row>
    <row r="229" spans="2:5" ht="15.75" customHeight="1" x14ac:dyDescent="0.3">
      <c r="B229" s="2"/>
      <c r="E229" s="2"/>
    </row>
    <row r="230" spans="2:5" ht="15.75" customHeight="1" x14ac:dyDescent="0.3">
      <c r="B230" s="2"/>
      <c r="E230" s="2"/>
    </row>
    <row r="231" spans="2:5" ht="15.75" customHeight="1" x14ac:dyDescent="0.3">
      <c r="B231" s="2"/>
      <c r="E231" s="2"/>
    </row>
    <row r="232" spans="2:5" ht="15.75" customHeight="1" x14ac:dyDescent="0.3">
      <c r="B232" s="2"/>
      <c r="E232" s="2"/>
    </row>
    <row r="233" spans="2:5" ht="15.75" customHeight="1" x14ac:dyDescent="0.3">
      <c r="B233" s="2"/>
      <c r="E233" s="2"/>
    </row>
    <row r="234" spans="2:5" ht="15.75" customHeight="1" x14ac:dyDescent="0.3">
      <c r="B234" s="2"/>
      <c r="E234" s="2"/>
    </row>
    <row r="235" spans="2:5" ht="15.75" customHeight="1" x14ac:dyDescent="0.3">
      <c r="B235" s="2"/>
      <c r="E235" s="2"/>
    </row>
    <row r="236" spans="2:5" ht="15.75" customHeight="1" x14ac:dyDescent="0.3">
      <c r="B236" s="2"/>
      <c r="E236" s="2"/>
    </row>
    <row r="237" spans="2:5" ht="15.75" customHeight="1" x14ac:dyDescent="0.3">
      <c r="B237" s="2"/>
      <c r="E237" s="2"/>
    </row>
    <row r="238" spans="2:5" ht="15.75" customHeight="1" x14ac:dyDescent="0.3">
      <c r="B238" s="2"/>
      <c r="E238" s="2"/>
    </row>
    <row r="239" spans="2:5" ht="15.75" customHeight="1" x14ac:dyDescent="0.3">
      <c r="B239" s="2"/>
      <c r="E239" s="2"/>
    </row>
    <row r="240" spans="2:5" ht="15.75" customHeight="1" x14ac:dyDescent="0.3">
      <c r="B240" s="2"/>
      <c r="E240" s="2"/>
    </row>
    <row r="241" spans="2:5" ht="15.75" customHeight="1" x14ac:dyDescent="0.3">
      <c r="B241" s="2"/>
      <c r="E241" s="2"/>
    </row>
    <row r="242" spans="2:5" ht="15.75" customHeight="1" x14ac:dyDescent="0.3">
      <c r="B242" s="2"/>
      <c r="E242" s="2"/>
    </row>
    <row r="243" spans="2:5" ht="15.75" customHeight="1" x14ac:dyDescent="0.3">
      <c r="B243" s="2"/>
      <c r="E243" s="2"/>
    </row>
    <row r="244" spans="2:5" ht="15.75" customHeight="1" x14ac:dyDescent="0.3">
      <c r="B244" s="2"/>
      <c r="E244" s="2"/>
    </row>
    <row r="245" spans="2:5" ht="15.75" customHeight="1" x14ac:dyDescent="0.3">
      <c r="B245" s="2"/>
      <c r="E245" s="2"/>
    </row>
    <row r="246" spans="2:5" ht="15.75" customHeight="1" x14ac:dyDescent="0.3">
      <c r="B246" s="2"/>
      <c r="E246" s="2"/>
    </row>
    <row r="247" spans="2:5" ht="15.75" customHeight="1" x14ac:dyDescent="0.3">
      <c r="B247" s="2"/>
      <c r="E247" s="2"/>
    </row>
    <row r="248" spans="2:5" ht="15.75" customHeight="1" x14ac:dyDescent="0.3">
      <c r="B248" s="2"/>
      <c r="E248" s="2"/>
    </row>
    <row r="249" spans="2:5" ht="15.75" customHeight="1" x14ac:dyDescent="0.3">
      <c r="B249" s="2"/>
      <c r="E249" s="2"/>
    </row>
    <row r="250" spans="2:5" ht="15.75" customHeight="1" x14ac:dyDescent="0.3">
      <c r="B250" s="2"/>
      <c r="E250" s="2"/>
    </row>
    <row r="251" spans="2:5" ht="15.75" customHeight="1" x14ac:dyDescent="0.3">
      <c r="B251" s="2"/>
      <c r="E251" s="2"/>
    </row>
    <row r="252" spans="2:5" ht="15.75" customHeight="1" x14ac:dyDescent="0.3">
      <c r="B252" s="2"/>
      <c r="E252" s="2"/>
    </row>
    <row r="253" spans="2:5" ht="15.75" customHeight="1" x14ac:dyDescent="0.3">
      <c r="B253" s="2"/>
      <c r="E253" s="2"/>
    </row>
    <row r="254" spans="2:5" ht="15.75" customHeight="1" x14ac:dyDescent="0.3">
      <c r="B254" s="2"/>
      <c r="E254" s="2"/>
    </row>
    <row r="255" spans="2:5" ht="15.75" customHeight="1" x14ac:dyDescent="0.3">
      <c r="B255" s="2"/>
      <c r="E255" s="2"/>
    </row>
    <row r="256" spans="2:5" ht="15.75" customHeight="1" x14ac:dyDescent="0.3">
      <c r="B256" s="2"/>
      <c r="E256" s="2"/>
    </row>
    <row r="257" spans="2:5" ht="15.75" customHeight="1" x14ac:dyDescent="0.3">
      <c r="B257" s="2"/>
      <c r="E257" s="2"/>
    </row>
    <row r="258" spans="2:5" ht="15.75" customHeight="1" x14ac:dyDescent="0.3">
      <c r="B258" s="2"/>
      <c r="E258" s="2"/>
    </row>
    <row r="259" spans="2:5" ht="15.75" customHeight="1" x14ac:dyDescent="0.3">
      <c r="B259" s="2"/>
      <c r="E259" s="2"/>
    </row>
    <row r="260" spans="2:5" ht="15.75" customHeight="1" x14ac:dyDescent="0.3">
      <c r="B260" s="2"/>
      <c r="E260" s="2"/>
    </row>
    <row r="261" spans="2:5" ht="15.75" customHeight="1" x14ac:dyDescent="0.3">
      <c r="B261" s="2"/>
      <c r="E261" s="2"/>
    </row>
    <row r="262" spans="2:5" ht="15.75" customHeight="1" x14ac:dyDescent="0.3">
      <c r="B262" s="2"/>
      <c r="E262" s="2"/>
    </row>
    <row r="263" spans="2:5" ht="15.75" customHeight="1" x14ac:dyDescent="0.3"/>
    <row r="264" spans="2:5" ht="15.75" customHeight="1" x14ac:dyDescent="0.3"/>
    <row r="265" spans="2:5" ht="15.75" customHeight="1" x14ac:dyDescent="0.3"/>
    <row r="266" spans="2:5" ht="15.75" customHeight="1" x14ac:dyDescent="0.3"/>
    <row r="267" spans="2:5" ht="15.75" customHeight="1" x14ac:dyDescent="0.3"/>
    <row r="268" spans="2:5" ht="15.75" customHeight="1" x14ac:dyDescent="0.3"/>
    <row r="269" spans="2:5" ht="15.75" customHeight="1" x14ac:dyDescent="0.3"/>
    <row r="270" spans="2:5" ht="15.75" customHeight="1" x14ac:dyDescent="0.3"/>
    <row r="271" spans="2:5" ht="15.75" customHeight="1" x14ac:dyDescent="0.3"/>
    <row r="272" spans="2:5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C44:D44"/>
    <mergeCell ref="G44:AB44"/>
    <mergeCell ref="C1:D1"/>
    <mergeCell ref="G1:AB1"/>
    <mergeCell ref="A2:A5"/>
    <mergeCell ref="C6:D6"/>
    <mergeCell ref="G6:AB6"/>
    <mergeCell ref="C25:D25"/>
    <mergeCell ref="G25:AB25"/>
  </mergeCells>
  <conditionalFormatting sqref="D8:D24">
    <cfRule type="cellIs" dxfId="212" priority="22" operator="greaterThanOrEqual">
      <formula>$D$4</formula>
    </cfRule>
    <cfRule type="cellIs" dxfId="211" priority="24" operator="between">
      <formula>$D$3</formula>
      <formula>$D$4</formula>
    </cfRule>
    <cfRule type="cellIs" dxfId="210" priority="23" operator="lessThanOrEqual">
      <formula>$D$2</formula>
    </cfRule>
  </conditionalFormatting>
  <conditionalFormatting sqref="D27:D43 G27:AB43">
    <cfRule type="cellIs" dxfId="209" priority="21" operator="greaterThanOrEqual">
      <formula>365</formula>
    </cfRule>
  </conditionalFormatting>
  <conditionalFormatting sqref="D46:D62 G46:AB62">
    <cfRule type="cellIs" dxfId="208" priority="20" operator="lessThanOrEqual">
      <formula>1</formula>
    </cfRule>
  </conditionalFormatting>
  <conditionalFormatting sqref="G8:G24">
    <cfRule type="cellIs" dxfId="207" priority="1" operator="greaterThanOrEqual">
      <formula>$G$4</formula>
    </cfRule>
    <cfRule type="cellIs" dxfId="206" priority="19" operator="lessThanOrEqual">
      <formula>$G$2</formula>
    </cfRule>
    <cfRule type="cellIs" dxfId="205" priority="10" operator="between">
      <formula>$G$3</formula>
      <formula>$G$4</formula>
    </cfRule>
  </conditionalFormatting>
  <conditionalFormatting sqref="H8:H24">
    <cfRule type="cellIs" dxfId="204" priority="2" operator="greaterThanOrEqual">
      <formula>$H$4</formula>
    </cfRule>
    <cfRule type="cellIs" dxfId="203" priority="11" operator="between">
      <formula>$H$3</formula>
      <formula>$H$4</formula>
    </cfRule>
    <cfRule type="cellIs" dxfId="202" priority="26" operator="lessThanOrEqual">
      <formula>$H$2</formula>
    </cfRule>
  </conditionalFormatting>
  <conditionalFormatting sqref="I8:I24">
    <cfRule type="cellIs" dxfId="201" priority="3" operator="greaterThanOrEqual">
      <formula>$I$4</formula>
    </cfRule>
    <cfRule type="cellIs" dxfId="200" priority="12" operator="between">
      <formula>I$3</formula>
      <formula>I$4</formula>
    </cfRule>
    <cfRule type="cellIs" dxfId="199" priority="27" operator="lessThanOrEqual">
      <formula>$I$2</formula>
    </cfRule>
  </conditionalFormatting>
  <conditionalFormatting sqref="J8:J24">
    <cfRule type="cellIs" dxfId="198" priority="4" operator="greaterThanOrEqual">
      <formula>$J$4</formula>
    </cfRule>
    <cfRule type="cellIs" dxfId="197" priority="13" operator="between">
      <formula>$J$3</formula>
      <formula>$J$4</formula>
    </cfRule>
    <cfRule type="cellIs" dxfId="196" priority="28" operator="lessThanOrEqual">
      <formula>$J$2</formula>
    </cfRule>
  </conditionalFormatting>
  <conditionalFormatting sqref="K8:K24">
    <cfRule type="cellIs" dxfId="195" priority="5" operator="greaterThanOrEqual">
      <formula>$K$4</formula>
    </cfRule>
    <cfRule type="cellIs" dxfId="194" priority="14" operator="between">
      <formula>$K$3</formula>
      <formula>$K$4</formula>
    </cfRule>
    <cfRule type="cellIs" dxfId="193" priority="29" operator="lessThanOrEqual">
      <formula>$K$2</formula>
    </cfRule>
  </conditionalFormatting>
  <conditionalFormatting sqref="L8:L24">
    <cfRule type="cellIs" dxfId="192" priority="6" operator="greaterThanOrEqual">
      <formula>$L$4</formula>
    </cfRule>
    <cfRule type="cellIs" dxfId="191" priority="15" operator="between">
      <formula>$L$3</formula>
      <formula>$L$4</formula>
    </cfRule>
    <cfRule type="cellIs" dxfId="190" priority="30" operator="lessThanOrEqual">
      <formula>$L$2</formula>
    </cfRule>
  </conditionalFormatting>
  <conditionalFormatting sqref="M8:M24">
    <cfRule type="cellIs" dxfId="189" priority="7" operator="greaterThanOrEqual">
      <formula>$M$4</formula>
    </cfRule>
    <cfRule type="cellIs" dxfId="188" priority="16" operator="between">
      <formula>$M$3</formula>
      <formula>$M$4</formula>
    </cfRule>
    <cfRule type="cellIs" dxfId="187" priority="31" operator="lessThanOrEqual">
      <formula>$M$2</formula>
    </cfRule>
  </conditionalFormatting>
  <conditionalFormatting sqref="N8:N24">
    <cfRule type="cellIs" dxfId="186" priority="8" operator="greaterThanOrEqual">
      <formula>$N$4</formula>
    </cfRule>
    <cfRule type="cellIs" dxfId="185" priority="17" operator="between">
      <formula>$N$3</formula>
      <formula>$N$4</formula>
    </cfRule>
    <cfRule type="cellIs" dxfId="184" priority="32" operator="lessThanOrEqual">
      <formula>$N$2</formula>
    </cfRule>
  </conditionalFormatting>
  <conditionalFormatting sqref="O8:O24">
    <cfRule type="cellIs" dxfId="183" priority="18" operator="between">
      <formula>$O$3</formula>
      <formula>$O$4</formula>
    </cfRule>
    <cfRule type="cellIs" dxfId="182" priority="9" operator="greaterThanOrEqual">
      <formula>$O$4</formula>
    </cfRule>
    <cfRule type="cellIs" dxfId="181" priority="33" operator="lessThanOrEqual">
      <formula>$O$2</formula>
    </cfRule>
  </conditionalFormatting>
  <conditionalFormatting sqref="P7:P24">
    <cfRule type="cellIs" dxfId="180" priority="46" operator="between">
      <formula>$P$3</formula>
      <formula>$P$4</formula>
    </cfRule>
  </conditionalFormatting>
  <conditionalFormatting sqref="P8:P24">
    <cfRule type="cellIs" dxfId="179" priority="25" operator="lessThanOrEqual">
      <formula>$P$2</formula>
    </cfRule>
    <cfRule type="cellIs" dxfId="178" priority="59" operator="greaterThanOrEqual">
      <formula>$P$4</formula>
    </cfRule>
  </conditionalFormatting>
  <conditionalFormatting sqref="Q8:Q24">
    <cfRule type="cellIs" dxfId="177" priority="34" operator="lessThanOrEqual">
      <formula>$Q$2</formula>
    </cfRule>
    <cfRule type="cellIs" dxfId="176" priority="47" operator="between">
      <formula>$Q$3</formula>
      <formula>$Q$4</formula>
    </cfRule>
    <cfRule type="cellIs" dxfId="175" priority="60" operator="greaterThanOrEqual">
      <formula>$Q$4</formula>
    </cfRule>
  </conditionalFormatting>
  <conditionalFormatting sqref="R8:R24">
    <cfRule type="cellIs" dxfId="174" priority="48" operator="between">
      <formula>$R$3</formula>
      <formula>$R$4</formula>
    </cfRule>
    <cfRule type="cellIs" dxfId="173" priority="35" operator="lessThanOrEqual">
      <formula>$R$2</formula>
    </cfRule>
    <cfRule type="cellIs" dxfId="172" priority="61" operator="greaterThanOrEqual">
      <formula>$R$4</formula>
    </cfRule>
  </conditionalFormatting>
  <conditionalFormatting sqref="S8:S24">
    <cfRule type="cellIs" dxfId="171" priority="49" operator="between">
      <formula>$S$3</formula>
      <formula>$S$4</formula>
    </cfRule>
    <cfRule type="cellIs" dxfId="170" priority="36" operator="lessThanOrEqual">
      <formula>$S$2</formula>
    </cfRule>
    <cfRule type="cellIs" dxfId="169" priority="62" operator="greaterThanOrEqual">
      <formula>$S$4</formula>
    </cfRule>
  </conditionalFormatting>
  <conditionalFormatting sqref="T8:T24">
    <cfRule type="cellIs" dxfId="168" priority="37" operator="lessThanOrEqual">
      <formula>$T$2</formula>
    </cfRule>
    <cfRule type="cellIs" dxfId="167" priority="50" operator="between">
      <formula>$T$3</formula>
      <formula>$T$4</formula>
    </cfRule>
    <cfRule type="cellIs" dxfId="166" priority="63" operator="greaterThanOrEqual">
      <formula>$T$4</formula>
    </cfRule>
  </conditionalFormatting>
  <conditionalFormatting sqref="U8:U24">
    <cfRule type="cellIs" dxfId="165" priority="38" operator="lessThanOrEqual">
      <formula>$U$2</formula>
    </cfRule>
    <cfRule type="cellIs" dxfId="164" priority="51" operator="between">
      <formula>$U$3</formula>
      <formula>$U$4</formula>
    </cfRule>
    <cfRule type="cellIs" dxfId="163" priority="64" operator="greaterThanOrEqual">
      <formula>$U$4</formula>
    </cfRule>
  </conditionalFormatting>
  <conditionalFormatting sqref="V8:V24">
    <cfRule type="cellIs" dxfId="162" priority="39" operator="lessThanOrEqual">
      <formula>$V$2</formula>
    </cfRule>
    <cfRule type="cellIs" dxfId="161" priority="52" operator="between">
      <formula>$V$3</formula>
      <formula>$V$4</formula>
    </cfRule>
    <cfRule type="cellIs" dxfId="160" priority="65" operator="greaterThanOrEqual">
      <formula>$V$4</formula>
    </cfRule>
  </conditionalFormatting>
  <conditionalFormatting sqref="W8:W24">
    <cfRule type="cellIs" dxfId="159" priority="40" operator="lessThanOrEqual">
      <formula>$W$2</formula>
    </cfRule>
    <cfRule type="cellIs" dxfId="158" priority="53" operator="between">
      <formula>$W$3</formula>
      <formula>$W$4</formula>
    </cfRule>
    <cfRule type="cellIs" dxfId="157" priority="66" operator="greaterThanOrEqual">
      <formula>$W$4</formula>
    </cfRule>
  </conditionalFormatting>
  <conditionalFormatting sqref="X8:X24">
    <cfRule type="cellIs" dxfId="156" priority="54" operator="between">
      <formula>$X$3</formula>
      <formula>$X$4</formula>
    </cfRule>
    <cfRule type="cellIs" dxfId="155" priority="41" operator="lessThanOrEqual">
      <formula>$X$2</formula>
    </cfRule>
    <cfRule type="cellIs" dxfId="154" priority="67" operator="greaterThanOrEqual">
      <formula>$X$4</formula>
    </cfRule>
  </conditionalFormatting>
  <conditionalFormatting sqref="Y8:Y24">
    <cfRule type="cellIs" dxfId="153" priority="42" operator="lessThanOrEqual">
      <formula>$Y$2</formula>
    </cfRule>
    <cfRule type="cellIs" dxfId="152" priority="55" operator="between">
      <formula>$Y$3</formula>
      <formula>$Y$4</formula>
    </cfRule>
    <cfRule type="cellIs" dxfId="151" priority="68" operator="greaterThanOrEqual">
      <formula>$Y$4</formula>
    </cfRule>
  </conditionalFormatting>
  <conditionalFormatting sqref="Z8:Z24">
    <cfRule type="cellIs" dxfId="150" priority="56" operator="between">
      <formula>$Z$3</formula>
      <formula>$Z$4</formula>
    </cfRule>
    <cfRule type="cellIs" dxfId="149" priority="43" operator="lessThanOrEqual">
      <formula>$Z$2</formula>
    </cfRule>
    <cfRule type="cellIs" dxfId="148" priority="69" operator="greaterThanOrEqual">
      <formula>$Z$4</formula>
    </cfRule>
  </conditionalFormatting>
  <conditionalFormatting sqref="AA8:AA24">
    <cfRule type="cellIs" dxfId="147" priority="57" operator="between">
      <formula>$AA$3</formula>
      <formula>$AA$4</formula>
    </cfRule>
    <cfRule type="cellIs" dxfId="146" priority="44" operator="lessThanOrEqual">
      <formula>$AA$2</formula>
    </cfRule>
    <cfRule type="cellIs" dxfId="145" priority="70" operator="greaterThanOrEqual">
      <formula>$AA$4</formula>
    </cfRule>
  </conditionalFormatting>
  <conditionalFormatting sqref="AB8:AB24">
    <cfRule type="cellIs" dxfId="144" priority="45" operator="lessThanOrEqual">
      <formula>$AB$2</formula>
    </cfRule>
    <cfRule type="cellIs" dxfId="143" priority="58" operator="between">
      <formula>$AB$3</formula>
      <formula>$AB$4</formula>
    </cfRule>
    <cfRule type="cellIs" dxfId="142" priority="71" operator="greaterThanOrEqual">
      <formula>$AB$4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B1000"/>
  <sheetViews>
    <sheetView workbookViewId="0">
      <selection activeCell="A46" sqref="A46:A62"/>
    </sheetView>
  </sheetViews>
  <sheetFormatPr defaultColWidth="12.61328125" defaultRowHeight="15" customHeight="1" x14ac:dyDescent="0.3"/>
  <cols>
    <col min="1" max="1" width="10.4609375" customWidth="1"/>
    <col min="2" max="2" width="2.3828125" customWidth="1"/>
    <col min="3" max="3" width="10.4609375" customWidth="1"/>
    <col min="4" max="4" width="12.61328125" customWidth="1"/>
    <col min="5" max="5" width="2.3828125" customWidth="1"/>
    <col min="6" max="6" width="10.4609375" customWidth="1"/>
    <col min="9" max="10" width="14.61328125" customWidth="1"/>
  </cols>
  <sheetData>
    <row r="1" spans="1:28" ht="15.75" customHeight="1" x14ac:dyDescent="0.3">
      <c r="A1" s="1"/>
      <c r="B1" s="2"/>
      <c r="C1" s="32" t="s">
        <v>0</v>
      </c>
      <c r="D1" s="30"/>
      <c r="E1" s="2"/>
      <c r="F1" s="3"/>
      <c r="G1" s="32" t="s">
        <v>1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ht="15.75" customHeight="1" x14ac:dyDescent="0.3">
      <c r="A2" s="33" t="s">
        <v>2</v>
      </c>
      <c r="B2" s="2"/>
      <c r="C2" s="4" t="s">
        <v>3</v>
      </c>
      <c r="D2" s="5">
        <f>D3/12</f>
        <v>1.893939393939394E-2</v>
      </c>
      <c r="E2" s="2"/>
      <c r="F2" s="4" t="s">
        <v>3</v>
      </c>
      <c r="G2" s="5">
        <f t="shared" ref="G2:AB2" si="0">G3/12</f>
        <v>1.893939393939394E-2</v>
      </c>
      <c r="H2" s="5">
        <f t="shared" si="0"/>
        <v>1.893939393939394E-2</v>
      </c>
      <c r="I2" s="5">
        <f t="shared" si="0"/>
        <v>1.893939393939394E-2</v>
      </c>
      <c r="J2" s="5">
        <f t="shared" si="0"/>
        <v>1.893939393939394E-2</v>
      </c>
      <c r="K2" s="5">
        <f t="shared" si="0"/>
        <v>1.893939393939394E-2</v>
      </c>
      <c r="L2" s="5">
        <f t="shared" si="0"/>
        <v>1.893939393939394E-2</v>
      </c>
      <c r="M2" s="5">
        <f t="shared" si="0"/>
        <v>1.893939393939394E-2</v>
      </c>
      <c r="N2" s="5">
        <f t="shared" si="0"/>
        <v>1.893939393939394E-2</v>
      </c>
      <c r="O2" s="5">
        <f t="shared" si="0"/>
        <v>1.7992424242424241</v>
      </c>
      <c r="P2" s="5">
        <f t="shared" si="0"/>
        <v>1.893939393939394E-2</v>
      </c>
      <c r="Q2" s="5">
        <f t="shared" si="0"/>
        <v>1.893939393939394E-2</v>
      </c>
      <c r="R2" s="5">
        <f t="shared" si="0"/>
        <v>1.893939393939394E-2</v>
      </c>
      <c r="S2" s="5">
        <f t="shared" si="0"/>
        <v>1.893939393939394E-2</v>
      </c>
      <c r="T2" s="5">
        <f t="shared" si="0"/>
        <v>1.893939393939394E-2</v>
      </c>
      <c r="U2" s="5">
        <f t="shared" si="0"/>
        <v>1.893939393939394E-2</v>
      </c>
      <c r="V2" s="5">
        <f t="shared" si="0"/>
        <v>1.893939393939394E-2</v>
      </c>
      <c r="W2" s="5">
        <f t="shared" si="0"/>
        <v>1.893939393939394E-2</v>
      </c>
      <c r="X2" s="5">
        <f t="shared" si="0"/>
        <v>1.893939393939394E-2</v>
      </c>
      <c r="Y2" s="5">
        <f t="shared" si="0"/>
        <v>1.893939393939394E-2</v>
      </c>
      <c r="Z2" s="5">
        <f t="shared" si="0"/>
        <v>1.893939393939394E-2</v>
      </c>
      <c r="AA2" s="5">
        <f t="shared" si="0"/>
        <v>1.893939393939394E-2</v>
      </c>
      <c r="AB2" s="5">
        <f t="shared" si="0"/>
        <v>1.893939393939394E-2</v>
      </c>
    </row>
    <row r="3" spans="1:28" ht="15.75" customHeight="1" x14ac:dyDescent="0.3">
      <c r="A3" s="30"/>
      <c r="B3" s="2"/>
      <c r="C3" s="4" t="s">
        <v>4</v>
      </c>
      <c r="D3" s="5">
        <f>D4/4.4</f>
        <v>0.22727272727272727</v>
      </c>
      <c r="E3" s="2"/>
      <c r="F3" s="4" t="s">
        <v>4</v>
      </c>
      <c r="G3" s="5">
        <f t="shared" ref="G3:AB3" si="1">G4/4.4</f>
        <v>0.22727272727272727</v>
      </c>
      <c r="H3" s="5">
        <f t="shared" si="1"/>
        <v>0.22727272727272727</v>
      </c>
      <c r="I3" s="5">
        <f t="shared" si="1"/>
        <v>0.22727272727272727</v>
      </c>
      <c r="J3" s="5">
        <f t="shared" si="1"/>
        <v>0.22727272727272727</v>
      </c>
      <c r="K3" s="5">
        <f t="shared" si="1"/>
        <v>0.22727272727272727</v>
      </c>
      <c r="L3" s="5">
        <f t="shared" si="1"/>
        <v>0.22727272727272727</v>
      </c>
      <c r="M3" s="5">
        <f t="shared" si="1"/>
        <v>0.22727272727272727</v>
      </c>
      <c r="N3" s="5">
        <f t="shared" si="1"/>
        <v>0.22727272727272727</v>
      </c>
      <c r="O3" s="5">
        <f t="shared" si="1"/>
        <v>21.59090909090909</v>
      </c>
      <c r="P3" s="5">
        <f t="shared" si="1"/>
        <v>0.22727272727272727</v>
      </c>
      <c r="Q3" s="5">
        <f t="shared" si="1"/>
        <v>0.22727272727272727</v>
      </c>
      <c r="R3" s="5">
        <f t="shared" si="1"/>
        <v>0.22727272727272727</v>
      </c>
      <c r="S3" s="5">
        <f t="shared" si="1"/>
        <v>0.22727272727272727</v>
      </c>
      <c r="T3" s="5">
        <f t="shared" si="1"/>
        <v>0.22727272727272727</v>
      </c>
      <c r="U3" s="5">
        <f t="shared" si="1"/>
        <v>0.22727272727272727</v>
      </c>
      <c r="V3" s="5">
        <f t="shared" si="1"/>
        <v>0.22727272727272727</v>
      </c>
      <c r="W3" s="5">
        <f t="shared" si="1"/>
        <v>0.22727272727272727</v>
      </c>
      <c r="X3" s="5">
        <f t="shared" si="1"/>
        <v>0.22727272727272727</v>
      </c>
      <c r="Y3" s="5">
        <f t="shared" si="1"/>
        <v>0.22727272727272727</v>
      </c>
      <c r="Z3" s="5">
        <f t="shared" si="1"/>
        <v>0.22727272727272727</v>
      </c>
      <c r="AA3" s="5">
        <f t="shared" si="1"/>
        <v>0.22727272727272727</v>
      </c>
      <c r="AB3" s="5">
        <f t="shared" si="1"/>
        <v>0.22727272727272727</v>
      </c>
    </row>
    <row r="4" spans="1:28" ht="15.75" customHeight="1" x14ac:dyDescent="0.3">
      <c r="A4" s="30"/>
      <c r="B4" s="2"/>
      <c r="C4" s="4" t="s">
        <v>5</v>
      </c>
      <c r="D4" s="6">
        <v>1</v>
      </c>
      <c r="E4" s="2"/>
      <c r="F4" s="4" t="s">
        <v>5</v>
      </c>
      <c r="G4" s="25">
        <v>1</v>
      </c>
      <c r="H4" s="26">
        <v>1</v>
      </c>
      <c r="I4" s="26">
        <v>1</v>
      </c>
      <c r="J4" s="26">
        <v>1</v>
      </c>
      <c r="K4" s="25">
        <v>1</v>
      </c>
      <c r="L4" s="26">
        <v>1</v>
      </c>
      <c r="M4" s="26">
        <v>1</v>
      </c>
      <c r="N4" s="26">
        <v>1</v>
      </c>
      <c r="O4" s="25">
        <v>95</v>
      </c>
      <c r="P4" s="26">
        <v>1</v>
      </c>
      <c r="Q4" s="26">
        <v>1</v>
      </c>
      <c r="R4" s="25">
        <v>1</v>
      </c>
      <c r="S4" s="26">
        <v>1</v>
      </c>
      <c r="T4" s="26">
        <v>1</v>
      </c>
      <c r="U4" s="26">
        <v>1</v>
      </c>
      <c r="V4" s="25">
        <v>1</v>
      </c>
      <c r="W4" s="26">
        <v>1</v>
      </c>
      <c r="X4" s="25">
        <v>1</v>
      </c>
      <c r="Y4" s="25">
        <v>1</v>
      </c>
      <c r="Z4" s="26">
        <v>1</v>
      </c>
      <c r="AA4" s="26">
        <v>1</v>
      </c>
      <c r="AB4" s="26">
        <v>1</v>
      </c>
    </row>
    <row r="5" spans="1:28" ht="25.5" customHeight="1" x14ac:dyDescent="0.3">
      <c r="A5" s="30"/>
      <c r="B5" s="2"/>
      <c r="C5" s="7" t="s">
        <v>6</v>
      </c>
      <c r="D5" s="8">
        <v>1</v>
      </c>
      <c r="E5" s="2"/>
      <c r="F5" s="7" t="s">
        <v>6</v>
      </c>
      <c r="G5" s="27">
        <v>1</v>
      </c>
      <c r="H5" s="28">
        <v>1</v>
      </c>
      <c r="I5" s="28">
        <v>1</v>
      </c>
      <c r="J5" s="28">
        <v>1</v>
      </c>
      <c r="K5" s="27">
        <v>1</v>
      </c>
      <c r="L5" s="28">
        <v>1</v>
      </c>
      <c r="M5" s="28">
        <v>1</v>
      </c>
      <c r="N5" s="28">
        <v>1</v>
      </c>
      <c r="O5" s="27">
        <v>6</v>
      </c>
      <c r="P5" s="28">
        <v>1</v>
      </c>
      <c r="Q5" s="28">
        <v>1</v>
      </c>
      <c r="R5" s="27">
        <v>1</v>
      </c>
      <c r="S5" s="28">
        <v>1</v>
      </c>
      <c r="T5" s="28">
        <v>1</v>
      </c>
      <c r="U5" s="28">
        <v>1</v>
      </c>
      <c r="V5" s="27">
        <v>1</v>
      </c>
      <c r="W5" s="28">
        <v>1</v>
      </c>
      <c r="X5" s="27">
        <v>1</v>
      </c>
      <c r="Y5" s="27">
        <v>1</v>
      </c>
      <c r="Z5" s="28">
        <v>1</v>
      </c>
      <c r="AA5" s="28">
        <v>1</v>
      </c>
      <c r="AB5" s="28">
        <v>1</v>
      </c>
    </row>
    <row r="6" spans="1:28" ht="15.75" customHeight="1" x14ac:dyDescent="0.3">
      <c r="A6" s="3"/>
      <c r="B6" s="2"/>
      <c r="C6" s="29"/>
      <c r="D6" s="30"/>
      <c r="E6" s="2"/>
      <c r="F6" s="3"/>
      <c r="G6" s="31" t="s">
        <v>7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spans="1:28" ht="15.75" customHeight="1" x14ac:dyDescent="0.3">
      <c r="A7" s="9" t="s">
        <v>8</v>
      </c>
      <c r="B7" s="2"/>
      <c r="C7" s="10" t="s">
        <v>9</v>
      </c>
      <c r="D7" s="10" t="s">
        <v>10</v>
      </c>
      <c r="E7" s="2"/>
      <c r="F7" s="10" t="s">
        <v>9</v>
      </c>
      <c r="G7" s="10" t="s">
        <v>82</v>
      </c>
      <c r="H7" s="10" t="s">
        <v>83</v>
      </c>
      <c r="I7" s="10" t="s">
        <v>84</v>
      </c>
      <c r="J7" s="10" t="s">
        <v>85</v>
      </c>
      <c r="K7" s="10" t="s">
        <v>86</v>
      </c>
      <c r="L7" s="10" t="s">
        <v>87</v>
      </c>
      <c r="M7" s="10" t="s">
        <v>88</v>
      </c>
      <c r="N7" s="10" t="s">
        <v>89</v>
      </c>
      <c r="O7" s="10" t="s">
        <v>90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5.75" customHeight="1" x14ac:dyDescent="0.3">
      <c r="A8" s="12">
        <f>RAW!$A$6</f>
        <v>400</v>
      </c>
      <c r="B8" s="2"/>
      <c r="C8" s="13" t="s">
        <v>19</v>
      </c>
      <c r="D8" s="14">
        <f t="shared" ref="D8:D24" si="2">($A8/D$5)/365</f>
        <v>1.095890410958904</v>
      </c>
      <c r="E8" s="2"/>
      <c r="F8" s="13" t="s">
        <v>19</v>
      </c>
      <c r="G8" s="14">
        <f t="shared" ref="G8:AB8" si="3">($A8/G$5)/365</f>
        <v>1.095890410958904</v>
      </c>
      <c r="H8" s="14">
        <f t="shared" si="3"/>
        <v>1.095890410958904</v>
      </c>
      <c r="I8" s="14">
        <f t="shared" si="3"/>
        <v>1.095890410958904</v>
      </c>
      <c r="J8" s="14">
        <f t="shared" si="3"/>
        <v>1.095890410958904</v>
      </c>
      <c r="K8" s="14">
        <f t="shared" si="3"/>
        <v>1.095890410958904</v>
      </c>
      <c r="L8" s="14">
        <f t="shared" si="3"/>
        <v>1.095890410958904</v>
      </c>
      <c r="M8" s="14">
        <f t="shared" si="3"/>
        <v>1.095890410958904</v>
      </c>
      <c r="N8" s="14">
        <f t="shared" si="3"/>
        <v>1.095890410958904</v>
      </c>
      <c r="O8" s="15">
        <f t="shared" si="3"/>
        <v>0.18264840182648404</v>
      </c>
      <c r="P8" s="16">
        <f t="shared" si="3"/>
        <v>1.095890410958904</v>
      </c>
      <c r="Q8" s="16">
        <f t="shared" si="3"/>
        <v>1.095890410958904</v>
      </c>
      <c r="R8" s="16">
        <f t="shared" si="3"/>
        <v>1.095890410958904</v>
      </c>
      <c r="S8" s="16">
        <f t="shared" si="3"/>
        <v>1.095890410958904</v>
      </c>
      <c r="T8" s="16">
        <f t="shared" si="3"/>
        <v>1.095890410958904</v>
      </c>
      <c r="U8" s="16">
        <f t="shared" si="3"/>
        <v>1.095890410958904</v>
      </c>
      <c r="V8" s="16">
        <f t="shared" si="3"/>
        <v>1.095890410958904</v>
      </c>
      <c r="W8" s="16">
        <f t="shared" si="3"/>
        <v>1.095890410958904</v>
      </c>
      <c r="X8" s="16">
        <f t="shared" si="3"/>
        <v>1.095890410958904</v>
      </c>
      <c r="Y8" s="16">
        <f t="shared" si="3"/>
        <v>1.095890410958904</v>
      </c>
      <c r="Z8" s="16">
        <f t="shared" si="3"/>
        <v>1.095890410958904</v>
      </c>
      <c r="AA8" s="16">
        <f t="shared" si="3"/>
        <v>1.095890410958904</v>
      </c>
      <c r="AB8" s="16">
        <f t="shared" si="3"/>
        <v>1.095890410958904</v>
      </c>
    </row>
    <row r="9" spans="1:28" ht="15.75" customHeight="1" x14ac:dyDescent="0.3">
      <c r="A9" s="12">
        <f>RAW!$A$7</f>
        <v>1200</v>
      </c>
      <c r="B9" s="2"/>
      <c r="C9" s="17" t="s">
        <v>20</v>
      </c>
      <c r="D9" s="14">
        <f t="shared" si="2"/>
        <v>3.2876712328767121</v>
      </c>
      <c r="E9" s="2"/>
      <c r="F9" s="17" t="s">
        <v>20</v>
      </c>
      <c r="G9" s="14">
        <f t="shared" ref="G9:AB9" si="4">($A9/G$5)/365</f>
        <v>3.2876712328767121</v>
      </c>
      <c r="H9" s="14">
        <f t="shared" si="4"/>
        <v>3.2876712328767121</v>
      </c>
      <c r="I9" s="14">
        <f t="shared" si="4"/>
        <v>3.2876712328767121</v>
      </c>
      <c r="J9" s="14">
        <f t="shared" si="4"/>
        <v>3.2876712328767121</v>
      </c>
      <c r="K9" s="14">
        <f t="shared" si="4"/>
        <v>3.2876712328767121</v>
      </c>
      <c r="L9" s="14">
        <f t="shared" si="4"/>
        <v>3.2876712328767121</v>
      </c>
      <c r="M9" s="14">
        <f t="shared" si="4"/>
        <v>3.2876712328767121</v>
      </c>
      <c r="N9" s="14">
        <f t="shared" si="4"/>
        <v>3.2876712328767121</v>
      </c>
      <c r="O9" s="15">
        <f t="shared" si="4"/>
        <v>0.54794520547945202</v>
      </c>
      <c r="P9" s="16">
        <f t="shared" si="4"/>
        <v>3.2876712328767121</v>
      </c>
      <c r="Q9" s="16">
        <f t="shared" si="4"/>
        <v>3.2876712328767121</v>
      </c>
      <c r="R9" s="16">
        <f t="shared" si="4"/>
        <v>3.2876712328767121</v>
      </c>
      <c r="S9" s="16">
        <f t="shared" si="4"/>
        <v>3.2876712328767121</v>
      </c>
      <c r="T9" s="16">
        <f t="shared" si="4"/>
        <v>3.2876712328767121</v>
      </c>
      <c r="U9" s="16">
        <f t="shared" si="4"/>
        <v>3.2876712328767121</v>
      </c>
      <c r="V9" s="16">
        <f t="shared" si="4"/>
        <v>3.2876712328767121</v>
      </c>
      <c r="W9" s="16">
        <f t="shared" si="4"/>
        <v>3.2876712328767121</v>
      </c>
      <c r="X9" s="16">
        <f t="shared" si="4"/>
        <v>3.2876712328767121</v>
      </c>
      <c r="Y9" s="16">
        <f t="shared" si="4"/>
        <v>3.2876712328767121</v>
      </c>
      <c r="Z9" s="16">
        <f t="shared" si="4"/>
        <v>3.2876712328767121</v>
      </c>
      <c r="AA9" s="16">
        <f t="shared" si="4"/>
        <v>3.2876712328767121</v>
      </c>
      <c r="AB9" s="16">
        <f t="shared" si="4"/>
        <v>3.2876712328767121</v>
      </c>
    </row>
    <row r="10" spans="1:28" ht="15.75" customHeight="1" x14ac:dyDescent="0.3">
      <c r="A10" s="12">
        <f>RAW!$A$8</f>
        <v>2800</v>
      </c>
      <c r="B10" s="2"/>
      <c r="C10" s="17" t="s">
        <v>21</v>
      </c>
      <c r="D10" s="14">
        <f t="shared" si="2"/>
        <v>7.6712328767123283</v>
      </c>
      <c r="E10" s="2"/>
      <c r="F10" s="17" t="s">
        <v>21</v>
      </c>
      <c r="G10" s="14">
        <f t="shared" ref="G10:AB10" si="5">($A10/G$5)/365</f>
        <v>7.6712328767123283</v>
      </c>
      <c r="H10" s="14">
        <f t="shared" si="5"/>
        <v>7.6712328767123283</v>
      </c>
      <c r="I10" s="14">
        <f t="shared" si="5"/>
        <v>7.6712328767123283</v>
      </c>
      <c r="J10" s="14">
        <f t="shared" si="5"/>
        <v>7.6712328767123283</v>
      </c>
      <c r="K10" s="14">
        <f t="shared" si="5"/>
        <v>7.6712328767123283</v>
      </c>
      <c r="L10" s="14">
        <f t="shared" si="5"/>
        <v>7.6712328767123283</v>
      </c>
      <c r="M10" s="14">
        <f t="shared" si="5"/>
        <v>7.6712328767123283</v>
      </c>
      <c r="N10" s="14">
        <f t="shared" si="5"/>
        <v>7.6712328767123283</v>
      </c>
      <c r="O10" s="15">
        <f t="shared" si="5"/>
        <v>1.2785388127853883</v>
      </c>
      <c r="P10" s="16">
        <f t="shared" si="5"/>
        <v>7.6712328767123283</v>
      </c>
      <c r="Q10" s="16">
        <f t="shared" si="5"/>
        <v>7.6712328767123283</v>
      </c>
      <c r="R10" s="16">
        <f t="shared" si="5"/>
        <v>7.6712328767123283</v>
      </c>
      <c r="S10" s="16">
        <f t="shared" si="5"/>
        <v>7.6712328767123283</v>
      </c>
      <c r="T10" s="16">
        <f t="shared" si="5"/>
        <v>7.6712328767123283</v>
      </c>
      <c r="U10" s="16">
        <f t="shared" si="5"/>
        <v>7.6712328767123283</v>
      </c>
      <c r="V10" s="16">
        <f t="shared" si="5"/>
        <v>7.6712328767123283</v>
      </c>
      <c r="W10" s="16">
        <f t="shared" si="5"/>
        <v>7.6712328767123283</v>
      </c>
      <c r="X10" s="16">
        <f t="shared" si="5"/>
        <v>7.6712328767123283</v>
      </c>
      <c r="Y10" s="16">
        <f t="shared" si="5"/>
        <v>7.6712328767123283</v>
      </c>
      <c r="Z10" s="16">
        <f t="shared" si="5"/>
        <v>7.6712328767123283</v>
      </c>
      <c r="AA10" s="16">
        <f t="shared" si="5"/>
        <v>7.6712328767123283</v>
      </c>
      <c r="AB10" s="16">
        <f t="shared" si="5"/>
        <v>7.6712328767123283</v>
      </c>
    </row>
    <row r="11" spans="1:28" ht="15.75" customHeight="1" x14ac:dyDescent="0.3">
      <c r="A11" s="12">
        <f>RAW!$A$9</f>
        <v>6000</v>
      </c>
      <c r="B11" s="2"/>
      <c r="C11" s="17" t="s">
        <v>22</v>
      </c>
      <c r="D11" s="14">
        <f t="shared" si="2"/>
        <v>16.438356164383563</v>
      </c>
      <c r="E11" s="2"/>
      <c r="F11" s="17" t="s">
        <v>22</v>
      </c>
      <c r="G11" s="14">
        <f t="shared" ref="G11:AB11" si="6">($A11/G$5)/365</f>
        <v>16.438356164383563</v>
      </c>
      <c r="H11" s="14">
        <f t="shared" si="6"/>
        <v>16.438356164383563</v>
      </c>
      <c r="I11" s="14">
        <f t="shared" si="6"/>
        <v>16.438356164383563</v>
      </c>
      <c r="J11" s="14">
        <f t="shared" si="6"/>
        <v>16.438356164383563</v>
      </c>
      <c r="K11" s="14">
        <f t="shared" si="6"/>
        <v>16.438356164383563</v>
      </c>
      <c r="L11" s="14">
        <f t="shared" si="6"/>
        <v>16.438356164383563</v>
      </c>
      <c r="M11" s="14">
        <f t="shared" si="6"/>
        <v>16.438356164383563</v>
      </c>
      <c r="N11" s="14">
        <f t="shared" si="6"/>
        <v>16.438356164383563</v>
      </c>
      <c r="O11" s="15">
        <f t="shared" si="6"/>
        <v>2.7397260273972601</v>
      </c>
      <c r="P11" s="16">
        <f t="shared" si="6"/>
        <v>16.438356164383563</v>
      </c>
      <c r="Q11" s="16">
        <f t="shared" si="6"/>
        <v>16.438356164383563</v>
      </c>
      <c r="R11" s="16">
        <f t="shared" si="6"/>
        <v>16.438356164383563</v>
      </c>
      <c r="S11" s="16">
        <f t="shared" si="6"/>
        <v>16.438356164383563</v>
      </c>
      <c r="T11" s="16">
        <f t="shared" si="6"/>
        <v>16.438356164383563</v>
      </c>
      <c r="U11" s="16">
        <f t="shared" si="6"/>
        <v>16.438356164383563</v>
      </c>
      <c r="V11" s="16">
        <f t="shared" si="6"/>
        <v>16.438356164383563</v>
      </c>
      <c r="W11" s="16">
        <f t="shared" si="6"/>
        <v>16.438356164383563</v>
      </c>
      <c r="X11" s="16">
        <f t="shared" si="6"/>
        <v>16.438356164383563</v>
      </c>
      <c r="Y11" s="16">
        <f t="shared" si="6"/>
        <v>16.438356164383563</v>
      </c>
      <c r="Z11" s="16">
        <f t="shared" si="6"/>
        <v>16.438356164383563</v>
      </c>
      <c r="AA11" s="16">
        <f t="shared" si="6"/>
        <v>16.438356164383563</v>
      </c>
      <c r="AB11" s="16">
        <f t="shared" si="6"/>
        <v>16.438356164383563</v>
      </c>
    </row>
    <row r="12" spans="1:28" ht="15.75" customHeight="1" x14ac:dyDescent="0.3">
      <c r="A12" s="12">
        <f>RAW!$A$10</f>
        <v>12400</v>
      </c>
      <c r="B12" s="2"/>
      <c r="C12" s="17" t="s">
        <v>23</v>
      </c>
      <c r="D12" s="14">
        <f t="shared" si="2"/>
        <v>33.972602739726028</v>
      </c>
      <c r="E12" s="2"/>
      <c r="F12" s="17" t="s">
        <v>23</v>
      </c>
      <c r="G12" s="14">
        <f t="shared" ref="G12:AB12" si="7">($A12/G$5)/365</f>
        <v>33.972602739726028</v>
      </c>
      <c r="H12" s="14">
        <f t="shared" si="7"/>
        <v>33.972602739726028</v>
      </c>
      <c r="I12" s="14">
        <f t="shared" si="7"/>
        <v>33.972602739726028</v>
      </c>
      <c r="J12" s="14">
        <f t="shared" si="7"/>
        <v>33.972602739726028</v>
      </c>
      <c r="K12" s="14">
        <f t="shared" si="7"/>
        <v>33.972602739726028</v>
      </c>
      <c r="L12" s="14">
        <f t="shared" si="7"/>
        <v>33.972602739726028</v>
      </c>
      <c r="M12" s="14">
        <f t="shared" si="7"/>
        <v>33.972602739726028</v>
      </c>
      <c r="N12" s="14">
        <f t="shared" si="7"/>
        <v>33.972602739726028</v>
      </c>
      <c r="O12" s="15">
        <f t="shared" si="7"/>
        <v>5.6621004566210038</v>
      </c>
      <c r="P12" s="16">
        <f t="shared" si="7"/>
        <v>33.972602739726028</v>
      </c>
      <c r="Q12" s="16">
        <f t="shared" si="7"/>
        <v>33.972602739726028</v>
      </c>
      <c r="R12" s="16">
        <f t="shared" si="7"/>
        <v>33.972602739726028</v>
      </c>
      <c r="S12" s="16">
        <f t="shared" si="7"/>
        <v>33.972602739726028</v>
      </c>
      <c r="T12" s="16">
        <f t="shared" si="7"/>
        <v>33.972602739726028</v>
      </c>
      <c r="U12" s="16">
        <f t="shared" si="7"/>
        <v>33.972602739726028</v>
      </c>
      <c r="V12" s="16">
        <f t="shared" si="7"/>
        <v>33.972602739726028</v>
      </c>
      <c r="W12" s="16">
        <f t="shared" si="7"/>
        <v>33.972602739726028</v>
      </c>
      <c r="X12" s="16">
        <f t="shared" si="7"/>
        <v>33.972602739726028</v>
      </c>
      <c r="Y12" s="16">
        <f t="shared" si="7"/>
        <v>33.972602739726028</v>
      </c>
      <c r="Z12" s="16">
        <f t="shared" si="7"/>
        <v>33.972602739726028</v>
      </c>
      <c r="AA12" s="16">
        <f t="shared" si="7"/>
        <v>33.972602739726028</v>
      </c>
      <c r="AB12" s="16">
        <f t="shared" si="7"/>
        <v>33.972602739726028</v>
      </c>
    </row>
    <row r="13" spans="1:28" ht="15.75" customHeight="1" x14ac:dyDescent="0.3">
      <c r="A13" s="12">
        <f>RAW!$A$11</f>
        <v>25200</v>
      </c>
      <c r="B13" s="2"/>
      <c r="C13" s="17" t="s">
        <v>24</v>
      </c>
      <c r="D13" s="14">
        <f t="shared" si="2"/>
        <v>69.041095890410958</v>
      </c>
      <c r="E13" s="2"/>
      <c r="F13" s="17" t="s">
        <v>24</v>
      </c>
      <c r="G13" s="14">
        <f t="shared" ref="G13:AB13" si="8">($A13/G$5)/365</f>
        <v>69.041095890410958</v>
      </c>
      <c r="H13" s="14">
        <f t="shared" si="8"/>
        <v>69.041095890410958</v>
      </c>
      <c r="I13" s="14">
        <f t="shared" si="8"/>
        <v>69.041095890410958</v>
      </c>
      <c r="J13" s="14">
        <f t="shared" si="8"/>
        <v>69.041095890410958</v>
      </c>
      <c r="K13" s="14">
        <f t="shared" si="8"/>
        <v>69.041095890410958</v>
      </c>
      <c r="L13" s="14">
        <f t="shared" si="8"/>
        <v>69.041095890410958</v>
      </c>
      <c r="M13" s="14">
        <f t="shared" si="8"/>
        <v>69.041095890410958</v>
      </c>
      <c r="N13" s="14">
        <f t="shared" si="8"/>
        <v>69.041095890410958</v>
      </c>
      <c r="O13" s="15">
        <f t="shared" si="8"/>
        <v>11.506849315068493</v>
      </c>
      <c r="P13" s="16">
        <f t="shared" si="8"/>
        <v>69.041095890410958</v>
      </c>
      <c r="Q13" s="16">
        <f t="shared" si="8"/>
        <v>69.041095890410958</v>
      </c>
      <c r="R13" s="16">
        <f t="shared" si="8"/>
        <v>69.041095890410958</v>
      </c>
      <c r="S13" s="16">
        <f t="shared" si="8"/>
        <v>69.041095890410958</v>
      </c>
      <c r="T13" s="16">
        <f t="shared" si="8"/>
        <v>69.041095890410958</v>
      </c>
      <c r="U13" s="16">
        <f t="shared" si="8"/>
        <v>69.041095890410958</v>
      </c>
      <c r="V13" s="16">
        <f t="shared" si="8"/>
        <v>69.041095890410958</v>
      </c>
      <c r="W13" s="16">
        <f t="shared" si="8"/>
        <v>69.041095890410958</v>
      </c>
      <c r="X13" s="16">
        <f t="shared" si="8"/>
        <v>69.041095890410958</v>
      </c>
      <c r="Y13" s="16">
        <f t="shared" si="8"/>
        <v>69.041095890410958</v>
      </c>
      <c r="Z13" s="16">
        <f t="shared" si="8"/>
        <v>69.041095890410958</v>
      </c>
      <c r="AA13" s="16">
        <f t="shared" si="8"/>
        <v>69.041095890410958</v>
      </c>
      <c r="AB13" s="16">
        <f t="shared" si="8"/>
        <v>69.041095890410958</v>
      </c>
    </row>
    <row r="14" spans="1:28" ht="15.75" customHeight="1" x14ac:dyDescent="0.3">
      <c r="A14" s="12">
        <f>RAW!$A$12</f>
        <v>50800</v>
      </c>
      <c r="B14" s="2"/>
      <c r="C14" s="17" t="s">
        <v>25</v>
      </c>
      <c r="D14" s="14">
        <f t="shared" si="2"/>
        <v>139.17808219178082</v>
      </c>
      <c r="E14" s="2"/>
      <c r="F14" s="17" t="s">
        <v>25</v>
      </c>
      <c r="G14" s="14">
        <f t="shared" ref="G14:AB14" si="9">($A14/G$5)/365</f>
        <v>139.17808219178082</v>
      </c>
      <c r="H14" s="14">
        <f t="shared" si="9"/>
        <v>139.17808219178082</v>
      </c>
      <c r="I14" s="14">
        <f t="shared" si="9"/>
        <v>139.17808219178082</v>
      </c>
      <c r="J14" s="14">
        <f t="shared" si="9"/>
        <v>139.17808219178082</v>
      </c>
      <c r="K14" s="14">
        <f t="shared" si="9"/>
        <v>139.17808219178082</v>
      </c>
      <c r="L14" s="14">
        <f t="shared" si="9"/>
        <v>139.17808219178082</v>
      </c>
      <c r="M14" s="14">
        <f t="shared" si="9"/>
        <v>139.17808219178082</v>
      </c>
      <c r="N14" s="14">
        <f t="shared" si="9"/>
        <v>139.17808219178082</v>
      </c>
      <c r="O14" s="15">
        <f t="shared" si="9"/>
        <v>23.196347031963469</v>
      </c>
      <c r="P14" s="16">
        <f t="shared" si="9"/>
        <v>139.17808219178082</v>
      </c>
      <c r="Q14" s="16">
        <f t="shared" si="9"/>
        <v>139.17808219178082</v>
      </c>
      <c r="R14" s="16">
        <f t="shared" si="9"/>
        <v>139.17808219178082</v>
      </c>
      <c r="S14" s="16">
        <f t="shared" si="9"/>
        <v>139.17808219178082</v>
      </c>
      <c r="T14" s="16">
        <f t="shared" si="9"/>
        <v>139.17808219178082</v>
      </c>
      <c r="U14" s="16">
        <f t="shared" si="9"/>
        <v>139.17808219178082</v>
      </c>
      <c r="V14" s="16">
        <f t="shared" si="9"/>
        <v>139.17808219178082</v>
      </c>
      <c r="W14" s="16">
        <f t="shared" si="9"/>
        <v>139.17808219178082</v>
      </c>
      <c r="X14" s="16">
        <f t="shared" si="9"/>
        <v>139.17808219178082</v>
      </c>
      <c r="Y14" s="16">
        <f t="shared" si="9"/>
        <v>139.17808219178082</v>
      </c>
      <c r="Z14" s="16">
        <f t="shared" si="9"/>
        <v>139.17808219178082</v>
      </c>
      <c r="AA14" s="16">
        <f t="shared" si="9"/>
        <v>139.17808219178082</v>
      </c>
      <c r="AB14" s="16">
        <f t="shared" si="9"/>
        <v>139.17808219178082</v>
      </c>
    </row>
    <row r="15" spans="1:28" ht="15.75" customHeight="1" x14ac:dyDescent="0.3">
      <c r="A15" s="12">
        <f>RAW!$A$13</f>
        <v>102000</v>
      </c>
      <c r="B15" s="2"/>
      <c r="C15" s="17" t="s">
        <v>26</v>
      </c>
      <c r="D15" s="14">
        <f t="shared" si="2"/>
        <v>279.45205479452056</v>
      </c>
      <c r="E15" s="2"/>
      <c r="F15" s="17" t="s">
        <v>26</v>
      </c>
      <c r="G15" s="14">
        <f t="shared" ref="G15:AB15" si="10">($A15/G$5)/365</f>
        <v>279.45205479452056</v>
      </c>
      <c r="H15" s="14">
        <f t="shared" si="10"/>
        <v>279.45205479452056</v>
      </c>
      <c r="I15" s="14">
        <f t="shared" si="10"/>
        <v>279.45205479452056</v>
      </c>
      <c r="J15" s="14">
        <f t="shared" si="10"/>
        <v>279.45205479452056</v>
      </c>
      <c r="K15" s="14">
        <f t="shared" si="10"/>
        <v>279.45205479452056</v>
      </c>
      <c r="L15" s="14">
        <f t="shared" si="10"/>
        <v>279.45205479452056</v>
      </c>
      <c r="M15" s="14">
        <f t="shared" si="10"/>
        <v>279.45205479452056</v>
      </c>
      <c r="N15" s="14">
        <f t="shared" si="10"/>
        <v>279.45205479452056</v>
      </c>
      <c r="O15" s="15">
        <f t="shared" si="10"/>
        <v>46.575342465753423</v>
      </c>
      <c r="P15" s="16">
        <f t="shared" si="10"/>
        <v>279.45205479452056</v>
      </c>
      <c r="Q15" s="16">
        <f t="shared" si="10"/>
        <v>279.45205479452056</v>
      </c>
      <c r="R15" s="16">
        <f t="shared" si="10"/>
        <v>279.45205479452056</v>
      </c>
      <c r="S15" s="16">
        <f t="shared" si="10"/>
        <v>279.45205479452056</v>
      </c>
      <c r="T15" s="16">
        <f t="shared" si="10"/>
        <v>279.45205479452056</v>
      </c>
      <c r="U15" s="16">
        <f t="shared" si="10"/>
        <v>279.45205479452056</v>
      </c>
      <c r="V15" s="16">
        <f t="shared" si="10"/>
        <v>279.45205479452056</v>
      </c>
      <c r="W15" s="16">
        <f t="shared" si="10"/>
        <v>279.45205479452056</v>
      </c>
      <c r="X15" s="16">
        <f t="shared" si="10"/>
        <v>279.45205479452056</v>
      </c>
      <c r="Y15" s="16">
        <f t="shared" si="10"/>
        <v>279.45205479452056</v>
      </c>
      <c r="Z15" s="16">
        <f t="shared" si="10"/>
        <v>279.45205479452056</v>
      </c>
      <c r="AA15" s="16">
        <f t="shared" si="10"/>
        <v>279.45205479452056</v>
      </c>
      <c r="AB15" s="16">
        <f t="shared" si="10"/>
        <v>279.45205479452056</v>
      </c>
    </row>
    <row r="16" spans="1:28" ht="15.75" customHeight="1" x14ac:dyDescent="0.3">
      <c r="A16" s="12">
        <f>RAW!$A$14</f>
        <v>204400</v>
      </c>
      <c r="B16" s="2"/>
      <c r="C16" s="17" t="s">
        <v>27</v>
      </c>
      <c r="D16" s="14">
        <f t="shared" si="2"/>
        <v>560</v>
      </c>
      <c r="E16" s="2"/>
      <c r="F16" s="17" t="s">
        <v>27</v>
      </c>
      <c r="G16" s="14">
        <f t="shared" ref="G16:AB16" si="11">($A16/G$5)/365</f>
        <v>560</v>
      </c>
      <c r="H16" s="14">
        <f t="shared" si="11"/>
        <v>560</v>
      </c>
      <c r="I16" s="14">
        <f t="shared" si="11"/>
        <v>560</v>
      </c>
      <c r="J16" s="14">
        <f t="shared" si="11"/>
        <v>560</v>
      </c>
      <c r="K16" s="14">
        <f t="shared" si="11"/>
        <v>560</v>
      </c>
      <c r="L16" s="14">
        <f t="shared" si="11"/>
        <v>560</v>
      </c>
      <c r="M16" s="14">
        <f t="shared" si="11"/>
        <v>560</v>
      </c>
      <c r="N16" s="14">
        <f t="shared" si="11"/>
        <v>560</v>
      </c>
      <c r="O16" s="15">
        <f t="shared" si="11"/>
        <v>93.333333333333329</v>
      </c>
      <c r="P16" s="16">
        <f t="shared" si="11"/>
        <v>560</v>
      </c>
      <c r="Q16" s="16">
        <f t="shared" si="11"/>
        <v>560</v>
      </c>
      <c r="R16" s="16">
        <f t="shared" si="11"/>
        <v>560</v>
      </c>
      <c r="S16" s="16">
        <f t="shared" si="11"/>
        <v>560</v>
      </c>
      <c r="T16" s="16">
        <f t="shared" si="11"/>
        <v>560</v>
      </c>
      <c r="U16" s="16">
        <f t="shared" si="11"/>
        <v>560</v>
      </c>
      <c r="V16" s="16">
        <f t="shared" si="11"/>
        <v>560</v>
      </c>
      <c r="W16" s="16">
        <f t="shared" si="11"/>
        <v>560</v>
      </c>
      <c r="X16" s="16">
        <f t="shared" si="11"/>
        <v>560</v>
      </c>
      <c r="Y16" s="16">
        <f t="shared" si="11"/>
        <v>560</v>
      </c>
      <c r="Z16" s="16">
        <f t="shared" si="11"/>
        <v>560</v>
      </c>
      <c r="AA16" s="16">
        <f t="shared" si="11"/>
        <v>560</v>
      </c>
      <c r="AB16" s="16">
        <f t="shared" si="11"/>
        <v>560</v>
      </c>
    </row>
    <row r="17" spans="1:28" ht="15.75" customHeight="1" x14ac:dyDescent="0.3">
      <c r="A17" s="12">
        <f>RAW!$A$15</f>
        <v>409200</v>
      </c>
      <c r="B17" s="2"/>
      <c r="C17" s="17" t="s">
        <v>28</v>
      </c>
      <c r="D17" s="14">
        <f t="shared" si="2"/>
        <v>1121.0958904109589</v>
      </c>
      <c r="E17" s="2"/>
      <c r="F17" s="17" t="s">
        <v>28</v>
      </c>
      <c r="G17" s="14">
        <f t="shared" ref="G17:AB17" si="12">($A17/G$5)/365</f>
        <v>1121.0958904109589</v>
      </c>
      <c r="H17" s="14">
        <f t="shared" si="12"/>
        <v>1121.0958904109589</v>
      </c>
      <c r="I17" s="14">
        <f t="shared" si="12"/>
        <v>1121.0958904109589</v>
      </c>
      <c r="J17" s="14">
        <f t="shared" si="12"/>
        <v>1121.0958904109589</v>
      </c>
      <c r="K17" s="14">
        <f t="shared" si="12"/>
        <v>1121.0958904109589</v>
      </c>
      <c r="L17" s="14">
        <f t="shared" si="12"/>
        <v>1121.0958904109589</v>
      </c>
      <c r="M17" s="14">
        <f t="shared" si="12"/>
        <v>1121.0958904109589</v>
      </c>
      <c r="N17" s="14">
        <f t="shared" si="12"/>
        <v>1121.0958904109589</v>
      </c>
      <c r="O17" s="15">
        <f t="shared" si="12"/>
        <v>186.84931506849315</v>
      </c>
      <c r="P17" s="16">
        <f t="shared" si="12"/>
        <v>1121.0958904109589</v>
      </c>
      <c r="Q17" s="16">
        <f t="shared" si="12"/>
        <v>1121.0958904109589</v>
      </c>
      <c r="R17" s="16">
        <f t="shared" si="12"/>
        <v>1121.0958904109589</v>
      </c>
      <c r="S17" s="16">
        <f t="shared" si="12"/>
        <v>1121.0958904109589</v>
      </c>
      <c r="T17" s="16">
        <f t="shared" si="12"/>
        <v>1121.0958904109589</v>
      </c>
      <c r="U17" s="16">
        <f t="shared" si="12"/>
        <v>1121.0958904109589</v>
      </c>
      <c r="V17" s="16">
        <f t="shared" si="12"/>
        <v>1121.0958904109589</v>
      </c>
      <c r="W17" s="16">
        <f t="shared" si="12"/>
        <v>1121.0958904109589</v>
      </c>
      <c r="X17" s="16">
        <f t="shared" si="12"/>
        <v>1121.0958904109589</v>
      </c>
      <c r="Y17" s="16">
        <f t="shared" si="12"/>
        <v>1121.0958904109589</v>
      </c>
      <c r="Z17" s="16">
        <f t="shared" si="12"/>
        <v>1121.0958904109589</v>
      </c>
      <c r="AA17" s="16">
        <f t="shared" si="12"/>
        <v>1121.0958904109589</v>
      </c>
      <c r="AB17" s="16">
        <f t="shared" si="12"/>
        <v>1121.0958904109589</v>
      </c>
    </row>
    <row r="18" spans="1:28" ht="15.75" customHeight="1" x14ac:dyDescent="0.3">
      <c r="A18" s="12">
        <f>RAW!$A$16</f>
        <v>818800</v>
      </c>
      <c r="B18" s="2"/>
      <c r="C18" s="17" t="s">
        <v>29</v>
      </c>
      <c r="D18" s="14">
        <f t="shared" si="2"/>
        <v>2243.2876712328766</v>
      </c>
      <c r="E18" s="2"/>
      <c r="F18" s="17" t="s">
        <v>29</v>
      </c>
      <c r="G18" s="14">
        <f t="shared" ref="G18:AB18" si="13">($A18/G$5)/365</f>
        <v>2243.2876712328766</v>
      </c>
      <c r="H18" s="14">
        <f t="shared" si="13"/>
        <v>2243.2876712328766</v>
      </c>
      <c r="I18" s="14">
        <f t="shared" si="13"/>
        <v>2243.2876712328766</v>
      </c>
      <c r="J18" s="14">
        <f t="shared" si="13"/>
        <v>2243.2876712328766</v>
      </c>
      <c r="K18" s="14">
        <f t="shared" si="13"/>
        <v>2243.2876712328766</v>
      </c>
      <c r="L18" s="14">
        <f t="shared" si="13"/>
        <v>2243.2876712328766</v>
      </c>
      <c r="M18" s="14">
        <f t="shared" si="13"/>
        <v>2243.2876712328766</v>
      </c>
      <c r="N18" s="14">
        <f t="shared" si="13"/>
        <v>2243.2876712328766</v>
      </c>
      <c r="O18" s="15">
        <f t="shared" si="13"/>
        <v>373.88127853881275</v>
      </c>
      <c r="P18" s="16">
        <f t="shared" si="13"/>
        <v>2243.2876712328766</v>
      </c>
      <c r="Q18" s="16">
        <f t="shared" si="13"/>
        <v>2243.2876712328766</v>
      </c>
      <c r="R18" s="16">
        <f t="shared" si="13"/>
        <v>2243.2876712328766</v>
      </c>
      <c r="S18" s="16">
        <f t="shared" si="13"/>
        <v>2243.2876712328766</v>
      </c>
      <c r="T18" s="16">
        <f t="shared" si="13"/>
        <v>2243.2876712328766</v>
      </c>
      <c r="U18" s="16">
        <f t="shared" si="13"/>
        <v>2243.2876712328766</v>
      </c>
      <c r="V18" s="16">
        <f t="shared" si="13"/>
        <v>2243.2876712328766</v>
      </c>
      <c r="W18" s="16">
        <f t="shared" si="13"/>
        <v>2243.2876712328766</v>
      </c>
      <c r="X18" s="16">
        <f t="shared" si="13"/>
        <v>2243.2876712328766</v>
      </c>
      <c r="Y18" s="16">
        <f t="shared" si="13"/>
        <v>2243.2876712328766</v>
      </c>
      <c r="Z18" s="16">
        <f t="shared" si="13"/>
        <v>2243.2876712328766</v>
      </c>
      <c r="AA18" s="16">
        <f t="shared" si="13"/>
        <v>2243.2876712328766</v>
      </c>
      <c r="AB18" s="16">
        <f t="shared" si="13"/>
        <v>2243.2876712328766</v>
      </c>
    </row>
    <row r="19" spans="1:28" ht="15.75" customHeight="1" x14ac:dyDescent="0.3">
      <c r="A19" s="12">
        <f>RAW!$A$17</f>
        <v>1638000</v>
      </c>
      <c r="B19" s="2"/>
      <c r="C19" s="17" t="s">
        <v>30</v>
      </c>
      <c r="D19" s="14">
        <f t="shared" si="2"/>
        <v>4487.6712328767126</v>
      </c>
      <c r="E19" s="2"/>
      <c r="F19" s="17" t="s">
        <v>30</v>
      </c>
      <c r="G19" s="14">
        <f t="shared" ref="G19:AB19" si="14">($A19/G$5)/365</f>
        <v>4487.6712328767126</v>
      </c>
      <c r="H19" s="14">
        <f t="shared" si="14"/>
        <v>4487.6712328767126</v>
      </c>
      <c r="I19" s="14">
        <f t="shared" si="14"/>
        <v>4487.6712328767126</v>
      </c>
      <c r="J19" s="14">
        <f t="shared" si="14"/>
        <v>4487.6712328767126</v>
      </c>
      <c r="K19" s="14">
        <f t="shared" si="14"/>
        <v>4487.6712328767126</v>
      </c>
      <c r="L19" s="14">
        <f t="shared" si="14"/>
        <v>4487.6712328767126</v>
      </c>
      <c r="M19" s="14">
        <f t="shared" si="14"/>
        <v>4487.6712328767126</v>
      </c>
      <c r="N19" s="14">
        <f t="shared" si="14"/>
        <v>4487.6712328767126</v>
      </c>
      <c r="O19" s="15">
        <f t="shared" si="14"/>
        <v>747.94520547945206</v>
      </c>
      <c r="P19" s="16">
        <f t="shared" si="14"/>
        <v>4487.6712328767126</v>
      </c>
      <c r="Q19" s="16">
        <f t="shared" si="14"/>
        <v>4487.6712328767126</v>
      </c>
      <c r="R19" s="16">
        <f t="shared" si="14"/>
        <v>4487.6712328767126</v>
      </c>
      <c r="S19" s="16">
        <f t="shared" si="14"/>
        <v>4487.6712328767126</v>
      </c>
      <c r="T19" s="16">
        <f t="shared" si="14"/>
        <v>4487.6712328767126</v>
      </c>
      <c r="U19" s="16">
        <f t="shared" si="14"/>
        <v>4487.6712328767126</v>
      </c>
      <c r="V19" s="16">
        <f t="shared" si="14"/>
        <v>4487.6712328767126</v>
      </c>
      <c r="W19" s="16">
        <f t="shared" si="14"/>
        <v>4487.6712328767126</v>
      </c>
      <c r="X19" s="16">
        <f t="shared" si="14"/>
        <v>4487.6712328767126</v>
      </c>
      <c r="Y19" s="16">
        <f t="shared" si="14"/>
        <v>4487.6712328767126</v>
      </c>
      <c r="Z19" s="16">
        <f t="shared" si="14"/>
        <v>4487.6712328767126</v>
      </c>
      <c r="AA19" s="16">
        <f t="shared" si="14"/>
        <v>4487.6712328767126</v>
      </c>
      <c r="AB19" s="16">
        <f t="shared" si="14"/>
        <v>4487.6712328767126</v>
      </c>
    </row>
    <row r="20" spans="1:28" ht="15.75" customHeight="1" x14ac:dyDescent="0.3">
      <c r="A20" s="12">
        <f>RAW!$A$18</f>
        <v>3276400</v>
      </c>
      <c r="B20" s="2"/>
      <c r="C20" s="17" t="s">
        <v>31</v>
      </c>
      <c r="D20" s="14">
        <f t="shared" si="2"/>
        <v>8976.4383561643845</v>
      </c>
      <c r="E20" s="2"/>
      <c r="F20" s="17" t="s">
        <v>31</v>
      </c>
      <c r="G20" s="14">
        <f t="shared" ref="G20:AB20" si="15">($A20/G$5)/365</f>
        <v>8976.4383561643845</v>
      </c>
      <c r="H20" s="14">
        <f t="shared" si="15"/>
        <v>8976.4383561643845</v>
      </c>
      <c r="I20" s="14">
        <f t="shared" si="15"/>
        <v>8976.4383561643845</v>
      </c>
      <c r="J20" s="14">
        <f t="shared" si="15"/>
        <v>8976.4383561643845</v>
      </c>
      <c r="K20" s="14">
        <f t="shared" si="15"/>
        <v>8976.4383561643845</v>
      </c>
      <c r="L20" s="14">
        <f t="shared" si="15"/>
        <v>8976.4383561643845</v>
      </c>
      <c r="M20" s="14">
        <f t="shared" si="15"/>
        <v>8976.4383561643845</v>
      </c>
      <c r="N20" s="14">
        <f t="shared" si="15"/>
        <v>8976.4383561643845</v>
      </c>
      <c r="O20" s="15">
        <f t="shared" si="15"/>
        <v>1496.0730593607304</v>
      </c>
      <c r="P20" s="16">
        <f t="shared" si="15"/>
        <v>8976.4383561643845</v>
      </c>
      <c r="Q20" s="16">
        <f t="shared" si="15"/>
        <v>8976.4383561643845</v>
      </c>
      <c r="R20" s="16">
        <f t="shared" si="15"/>
        <v>8976.4383561643845</v>
      </c>
      <c r="S20" s="16">
        <f t="shared" si="15"/>
        <v>8976.4383561643845</v>
      </c>
      <c r="T20" s="16">
        <f t="shared" si="15"/>
        <v>8976.4383561643845</v>
      </c>
      <c r="U20" s="16">
        <f t="shared" si="15"/>
        <v>8976.4383561643845</v>
      </c>
      <c r="V20" s="16">
        <f t="shared" si="15"/>
        <v>8976.4383561643845</v>
      </c>
      <c r="W20" s="16">
        <f t="shared" si="15"/>
        <v>8976.4383561643845</v>
      </c>
      <c r="X20" s="16">
        <f t="shared" si="15"/>
        <v>8976.4383561643845</v>
      </c>
      <c r="Y20" s="16">
        <f t="shared" si="15"/>
        <v>8976.4383561643845</v>
      </c>
      <c r="Z20" s="16">
        <f t="shared" si="15"/>
        <v>8976.4383561643845</v>
      </c>
      <c r="AA20" s="16">
        <f t="shared" si="15"/>
        <v>8976.4383561643845</v>
      </c>
      <c r="AB20" s="16">
        <f t="shared" si="15"/>
        <v>8976.4383561643845</v>
      </c>
    </row>
    <row r="21" spans="1:28" ht="15.75" customHeight="1" x14ac:dyDescent="0.3">
      <c r="A21" s="12">
        <f>RAW!$A$19</f>
        <v>6553200</v>
      </c>
      <c r="B21" s="2"/>
      <c r="C21" s="17" t="s">
        <v>32</v>
      </c>
      <c r="D21" s="14">
        <f t="shared" si="2"/>
        <v>17953.972602739726</v>
      </c>
      <c r="E21" s="2"/>
      <c r="F21" s="17" t="s">
        <v>32</v>
      </c>
      <c r="G21" s="14">
        <f t="shared" ref="G21:AB21" si="16">($A21/G$5)/365</f>
        <v>17953.972602739726</v>
      </c>
      <c r="H21" s="14">
        <f t="shared" si="16"/>
        <v>17953.972602739726</v>
      </c>
      <c r="I21" s="14">
        <f t="shared" si="16"/>
        <v>17953.972602739726</v>
      </c>
      <c r="J21" s="14">
        <f t="shared" si="16"/>
        <v>17953.972602739726</v>
      </c>
      <c r="K21" s="14">
        <f t="shared" si="16"/>
        <v>17953.972602739726</v>
      </c>
      <c r="L21" s="14">
        <f t="shared" si="16"/>
        <v>17953.972602739726</v>
      </c>
      <c r="M21" s="14">
        <f t="shared" si="16"/>
        <v>17953.972602739726</v>
      </c>
      <c r="N21" s="14">
        <f t="shared" si="16"/>
        <v>17953.972602739726</v>
      </c>
      <c r="O21" s="15">
        <f t="shared" si="16"/>
        <v>2992.3287671232879</v>
      </c>
      <c r="P21" s="16">
        <f t="shared" si="16"/>
        <v>17953.972602739726</v>
      </c>
      <c r="Q21" s="16">
        <f t="shared" si="16"/>
        <v>17953.972602739726</v>
      </c>
      <c r="R21" s="16">
        <f t="shared" si="16"/>
        <v>17953.972602739726</v>
      </c>
      <c r="S21" s="16">
        <f t="shared" si="16"/>
        <v>17953.972602739726</v>
      </c>
      <c r="T21" s="16">
        <f t="shared" si="16"/>
        <v>17953.972602739726</v>
      </c>
      <c r="U21" s="16">
        <f t="shared" si="16"/>
        <v>17953.972602739726</v>
      </c>
      <c r="V21" s="16">
        <f t="shared" si="16"/>
        <v>17953.972602739726</v>
      </c>
      <c r="W21" s="16">
        <f t="shared" si="16"/>
        <v>17953.972602739726</v>
      </c>
      <c r="X21" s="16">
        <f t="shared" si="16"/>
        <v>17953.972602739726</v>
      </c>
      <c r="Y21" s="16">
        <f t="shared" si="16"/>
        <v>17953.972602739726</v>
      </c>
      <c r="Z21" s="16">
        <f t="shared" si="16"/>
        <v>17953.972602739726</v>
      </c>
      <c r="AA21" s="16">
        <f t="shared" si="16"/>
        <v>17953.972602739726</v>
      </c>
      <c r="AB21" s="16">
        <f t="shared" si="16"/>
        <v>17953.972602739726</v>
      </c>
    </row>
    <row r="22" spans="1:28" ht="15.75" customHeight="1" x14ac:dyDescent="0.3">
      <c r="A22" s="12">
        <f>RAW!$A$20</f>
        <v>13106800</v>
      </c>
      <c r="B22" s="2"/>
      <c r="C22" s="17" t="s">
        <v>33</v>
      </c>
      <c r="D22" s="14">
        <f t="shared" si="2"/>
        <v>35909.04109589041</v>
      </c>
      <c r="E22" s="2"/>
      <c r="F22" s="17" t="s">
        <v>33</v>
      </c>
      <c r="G22" s="14">
        <f t="shared" ref="G22:AB22" si="17">($A22/G$5)/365</f>
        <v>35909.04109589041</v>
      </c>
      <c r="H22" s="14">
        <f t="shared" si="17"/>
        <v>35909.04109589041</v>
      </c>
      <c r="I22" s="14">
        <f t="shared" si="17"/>
        <v>35909.04109589041</v>
      </c>
      <c r="J22" s="14">
        <f t="shared" si="17"/>
        <v>35909.04109589041</v>
      </c>
      <c r="K22" s="14">
        <f t="shared" si="17"/>
        <v>35909.04109589041</v>
      </c>
      <c r="L22" s="14">
        <f t="shared" si="17"/>
        <v>35909.04109589041</v>
      </c>
      <c r="M22" s="14">
        <f t="shared" si="17"/>
        <v>35909.04109589041</v>
      </c>
      <c r="N22" s="14">
        <f t="shared" si="17"/>
        <v>35909.04109589041</v>
      </c>
      <c r="O22" s="15">
        <f t="shared" si="17"/>
        <v>5984.8401826484014</v>
      </c>
      <c r="P22" s="16">
        <f t="shared" si="17"/>
        <v>35909.04109589041</v>
      </c>
      <c r="Q22" s="16">
        <f t="shared" si="17"/>
        <v>35909.04109589041</v>
      </c>
      <c r="R22" s="16">
        <f t="shared" si="17"/>
        <v>35909.04109589041</v>
      </c>
      <c r="S22" s="16">
        <f t="shared" si="17"/>
        <v>35909.04109589041</v>
      </c>
      <c r="T22" s="16">
        <f t="shared" si="17"/>
        <v>35909.04109589041</v>
      </c>
      <c r="U22" s="16">
        <f t="shared" si="17"/>
        <v>35909.04109589041</v>
      </c>
      <c r="V22" s="16">
        <f t="shared" si="17"/>
        <v>35909.04109589041</v>
      </c>
      <c r="W22" s="16">
        <f t="shared" si="17"/>
        <v>35909.04109589041</v>
      </c>
      <c r="X22" s="16">
        <f t="shared" si="17"/>
        <v>35909.04109589041</v>
      </c>
      <c r="Y22" s="16">
        <f t="shared" si="17"/>
        <v>35909.04109589041</v>
      </c>
      <c r="Z22" s="16">
        <f t="shared" si="17"/>
        <v>35909.04109589041</v>
      </c>
      <c r="AA22" s="16">
        <f t="shared" si="17"/>
        <v>35909.04109589041</v>
      </c>
      <c r="AB22" s="16">
        <f t="shared" si="17"/>
        <v>35909.04109589041</v>
      </c>
    </row>
    <row r="23" spans="1:28" ht="15.75" customHeight="1" x14ac:dyDescent="0.3">
      <c r="A23" s="12">
        <f>RAW!$A$21</f>
        <v>26214000</v>
      </c>
      <c r="B23" s="2"/>
      <c r="C23" s="17" t="s">
        <v>34</v>
      </c>
      <c r="D23" s="14">
        <f t="shared" si="2"/>
        <v>71819.178082191778</v>
      </c>
      <c r="E23" s="2"/>
      <c r="F23" s="17" t="s">
        <v>34</v>
      </c>
      <c r="G23" s="14">
        <f t="shared" ref="G23:AB23" si="18">($A23/G$5)/365</f>
        <v>71819.178082191778</v>
      </c>
      <c r="H23" s="14">
        <f t="shared" si="18"/>
        <v>71819.178082191778</v>
      </c>
      <c r="I23" s="14">
        <f t="shared" si="18"/>
        <v>71819.178082191778</v>
      </c>
      <c r="J23" s="14">
        <f t="shared" si="18"/>
        <v>71819.178082191778</v>
      </c>
      <c r="K23" s="14">
        <f t="shared" si="18"/>
        <v>71819.178082191778</v>
      </c>
      <c r="L23" s="14">
        <f t="shared" si="18"/>
        <v>71819.178082191778</v>
      </c>
      <c r="M23" s="14">
        <f t="shared" si="18"/>
        <v>71819.178082191778</v>
      </c>
      <c r="N23" s="14">
        <f t="shared" si="18"/>
        <v>71819.178082191778</v>
      </c>
      <c r="O23" s="15">
        <f t="shared" si="18"/>
        <v>11969.86301369863</v>
      </c>
      <c r="P23" s="16">
        <f t="shared" si="18"/>
        <v>71819.178082191778</v>
      </c>
      <c r="Q23" s="16">
        <f t="shared" si="18"/>
        <v>71819.178082191778</v>
      </c>
      <c r="R23" s="16">
        <f t="shared" si="18"/>
        <v>71819.178082191778</v>
      </c>
      <c r="S23" s="16">
        <f t="shared" si="18"/>
        <v>71819.178082191778</v>
      </c>
      <c r="T23" s="16">
        <f t="shared" si="18"/>
        <v>71819.178082191778</v>
      </c>
      <c r="U23" s="16">
        <f t="shared" si="18"/>
        <v>71819.178082191778</v>
      </c>
      <c r="V23" s="16">
        <f t="shared" si="18"/>
        <v>71819.178082191778</v>
      </c>
      <c r="W23" s="16">
        <f t="shared" si="18"/>
        <v>71819.178082191778</v>
      </c>
      <c r="X23" s="16">
        <f t="shared" si="18"/>
        <v>71819.178082191778</v>
      </c>
      <c r="Y23" s="16">
        <f t="shared" si="18"/>
        <v>71819.178082191778</v>
      </c>
      <c r="Z23" s="16">
        <f t="shared" si="18"/>
        <v>71819.178082191778</v>
      </c>
      <c r="AA23" s="16">
        <f t="shared" si="18"/>
        <v>71819.178082191778</v>
      </c>
      <c r="AB23" s="16">
        <f t="shared" si="18"/>
        <v>71819.178082191778</v>
      </c>
    </row>
    <row r="24" spans="1:28" ht="15.75" customHeight="1" x14ac:dyDescent="0.3">
      <c r="A24" s="12">
        <f>RAW!$A$22</f>
        <v>52428400</v>
      </c>
      <c r="B24" s="2"/>
      <c r="C24" s="17" t="s">
        <v>35</v>
      </c>
      <c r="D24" s="14">
        <f t="shared" si="2"/>
        <v>143639.45205479453</v>
      </c>
      <c r="E24" s="2"/>
      <c r="F24" s="17" t="s">
        <v>35</v>
      </c>
      <c r="G24" s="14">
        <f t="shared" ref="G24:AB24" si="19">($A24/G$5)/365</f>
        <v>143639.45205479453</v>
      </c>
      <c r="H24" s="14">
        <f t="shared" si="19"/>
        <v>143639.45205479453</v>
      </c>
      <c r="I24" s="14">
        <f t="shared" si="19"/>
        <v>143639.45205479453</v>
      </c>
      <c r="J24" s="14">
        <f t="shared" si="19"/>
        <v>143639.45205479453</v>
      </c>
      <c r="K24" s="14">
        <f t="shared" si="19"/>
        <v>143639.45205479453</v>
      </c>
      <c r="L24" s="14">
        <f t="shared" si="19"/>
        <v>143639.45205479453</v>
      </c>
      <c r="M24" s="14">
        <f t="shared" si="19"/>
        <v>143639.45205479453</v>
      </c>
      <c r="N24" s="14">
        <f t="shared" si="19"/>
        <v>143639.45205479453</v>
      </c>
      <c r="O24" s="15">
        <f t="shared" si="19"/>
        <v>23939.908675799084</v>
      </c>
      <c r="P24" s="16">
        <f t="shared" si="19"/>
        <v>143639.45205479453</v>
      </c>
      <c r="Q24" s="16">
        <f t="shared" si="19"/>
        <v>143639.45205479453</v>
      </c>
      <c r="R24" s="16">
        <f t="shared" si="19"/>
        <v>143639.45205479453</v>
      </c>
      <c r="S24" s="16">
        <f t="shared" si="19"/>
        <v>143639.45205479453</v>
      </c>
      <c r="T24" s="16">
        <f t="shared" si="19"/>
        <v>143639.45205479453</v>
      </c>
      <c r="U24" s="16">
        <f t="shared" si="19"/>
        <v>143639.45205479453</v>
      </c>
      <c r="V24" s="16">
        <f t="shared" si="19"/>
        <v>143639.45205479453</v>
      </c>
      <c r="W24" s="16">
        <f t="shared" si="19"/>
        <v>143639.45205479453</v>
      </c>
      <c r="X24" s="16">
        <f t="shared" si="19"/>
        <v>143639.45205479453</v>
      </c>
      <c r="Y24" s="16">
        <f t="shared" si="19"/>
        <v>143639.45205479453</v>
      </c>
      <c r="Z24" s="16">
        <f t="shared" si="19"/>
        <v>143639.45205479453</v>
      </c>
      <c r="AA24" s="16">
        <f t="shared" si="19"/>
        <v>143639.45205479453</v>
      </c>
      <c r="AB24" s="16">
        <f t="shared" si="19"/>
        <v>143639.45205479453</v>
      </c>
    </row>
    <row r="25" spans="1:28" ht="15.75" customHeight="1" x14ac:dyDescent="0.3">
      <c r="A25" s="3"/>
      <c r="B25" s="2"/>
      <c r="C25" s="29"/>
      <c r="D25" s="30"/>
      <c r="E25" s="2"/>
      <c r="F25" s="3"/>
      <c r="G25" s="31" t="s">
        <v>36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28" ht="15.75" customHeight="1" x14ac:dyDescent="0.3">
      <c r="A26" s="19" t="s">
        <v>37</v>
      </c>
      <c r="B26" s="2"/>
      <c r="C26" s="10" t="s">
        <v>9</v>
      </c>
      <c r="D26" s="10" t="s">
        <v>10</v>
      </c>
      <c r="E26" s="2"/>
      <c r="F26" s="20" t="s">
        <v>9</v>
      </c>
      <c r="G26" s="11" t="str">
        <f t="shared" ref="G26:AB26" si="20">G7</f>
        <v>Jimmie</v>
      </c>
      <c r="H26" s="11" t="str">
        <f t="shared" si="20"/>
        <v>Kianna</v>
      </c>
      <c r="I26" s="11" t="str">
        <f t="shared" si="20"/>
        <v>Isabel</v>
      </c>
      <c r="J26" s="11" t="str">
        <f t="shared" si="20"/>
        <v>Brandi</v>
      </c>
      <c r="K26" s="11" t="str">
        <f t="shared" si="20"/>
        <v>Ariana</v>
      </c>
      <c r="L26" s="11" t="str">
        <f t="shared" si="20"/>
        <v>Amelia</v>
      </c>
      <c r="M26" s="11" t="str">
        <f t="shared" si="20"/>
        <v>Alford</v>
      </c>
      <c r="N26" s="11" t="str">
        <f t="shared" si="20"/>
        <v>Luny</v>
      </c>
      <c r="O26" s="11" t="str">
        <f t="shared" si="20"/>
        <v>Aurora</v>
      </c>
      <c r="P26" s="11">
        <f t="shared" si="20"/>
        <v>0</v>
      </c>
      <c r="Q26" s="11">
        <f t="shared" si="20"/>
        <v>0</v>
      </c>
      <c r="R26" s="11">
        <f t="shared" si="20"/>
        <v>0</v>
      </c>
      <c r="S26" s="11">
        <f t="shared" si="20"/>
        <v>0</v>
      </c>
      <c r="T26" s="11">
        <f t="shared" si="20"/>
        <v>0</v>
      </c>
      <c r="U26" s="11">
        <f t="shared" si="20"/>
        <v>0</v>
      </c>
      <c r="V26" s="11">
        <f t="shared" si="20"/>
        <v>0</v>
      </c>
      <c r="W26" s="11">
        <f t="shared" si="20"/>
        <v>0</v>
      </c>
      <c r="X26" s="11">
        <f t="shared" si="20"/>
        <v>0</v>
      </c>
      <c r="Y26" s="11">
        <f t="shared" si="20"/>
        <v>0</v>
      </c>
      <c r="Z26" s="11">
        <f t="shared" si="20"/>
        <v>0</v>
      </c>
      <c r="AA26" s="11">
        <f t="shared" si="20"/>
        <v>0</v>
      </c>
      <c r="AB26" s="11">
        <f t="shared" si="20"/>
        <v>0</v>
      </c>
    </row>
    <row r="27" spans="1:28" ht="15.75" customHeight="1" x14ac:dyDescent="0.3">
      <c r="A27" s="12">
        <f>RAW!$A$6</f>
        <v>400</v>
      </c>
      <c r="B27" s="2"/>
      <c r="C27" s="21" t="s">
        <v>19</v>
      </c>
      <c r="D27" s="22">
        <f t="shared" ref="D27:D43" si="21">$A27/D$5</f>
        <v>400</v>
      </c>
      <c r="E27" s="2"/>
      <c r="F27" s="21" t="s">
        <v>19</v>
      </c>
      <c r="G27" s="23">
        <f t="shared" ref="G27:AB27" si="22">$A27/G$5</f>
        <v>400</v>
      </c>
      <c r="H27" s="23">
        <f t="shared" si="22"/>
        <v>400</v>
      </c>
      <c r="I27" s="23">
        <f t="shared" si="22"/>
        <v>400</v>
      </c>
      <c r="J27" s="23">
        <f t="shared" si="22"/>
        <v>400</v>
      </c>
      <c r="K27" s="23">
        <f t="shared" si="22"/>
        <v>400</v>
      </c>
      <c r="L27" s="23">
        <f t="shared" si="22"/>
        <v>400</v>
      </c>
      <c r="M27" s="23">
        <f t="shared" si="22"/>
        <v>400</v>
      </c>
      <c r="N27" s="23">
        <f t="shared" si="22"/>
        <v>400</v>
      </c>
      <c r="O27" s="23">
        <f t="shared" si="22"/>
        <v>66.666666666666671</v>
      </c>
      <c r="P27" s="23">
        <f t="shared" si="22"/>
        <v>400</v>
      </c>
      <c r="Q27" s="23">
        <f t="shared" si="22"/>
        <v>400</v>
      </c>
      <c r="R27" s="23">
        <f t="shared" si="22"/>
        <v>400</v>
      </c>
      <c r="S27" s="23">
        <f t="shared" si="22"/>
        <v>400</v>
      </c>
      <c r="T27" s="23">
        <f t="shared" si="22"/>
        <v>400</v>
      </c>
      <c r="U27" s="23">
        <f t="shared" si="22"/>
        <v>400</v>
      </c>
      <c r="V27" s="23">
        <f t="shared" si="22"/>
        <v>400</v>
      </c>
      <c r="W27" s="23">
        <f t="shared" si="22"/>
        <v>400</v>
      </c>
      <c r="X27" s="23">
        <f t="shared" si="22"/>
        <v>400</v>
      </c>
      <c r="Y27" s="23">
        <f t="shared" si="22"/>
        <v>400</v>
      </c>
      <c r="Z27" s="23">
        <f t="shared" si="22"/>
        <v>400</v>
      </c>
      <c r="AA27" s="23">
        <f t="shared" si="22"/>
        <v>400</v>
      </c>
      <c r="AB27" s="23">
        <f t="shared" si="22"/>
        <v>400</v>
      </c>
    </row>
    <row r="28" spans="1:28" ht="15.75" customHeight="1" x14ac:dyDescent="0.3">
      <c r="A28" s="12">
        <f>RAW!$A$7</f>
        <v>1200</v>
      </c>
      <c r="B28" s="2"/>
      <c r="C28" s="24" t="s">
        <v>20</v>
      </c>
      <c r="D28" s="23">
        <f t="shared" si="21"/>
        <v>1200</v>
      </c>
      <c r="E28" s="2"/>
      <c r="F28" s="24" t="s">
        <v>20</v>
      </c>
      <c r="G28" s="23">
        <f t="shared" ref="G28:AB28" si="23">$A28/G$5</f>
        <v>1200</v>
      </c>
      <c r="H28" s="23">
        <f t="shared" si="23"/>
        <v>1200</v>
      </c>
      <c r="I28" s="23">
        <f t="shared" si="23"/>
        <v>1200</v>
      </c>
      <c r="J28" s="23">
        <f t="shared" si="23"/>
        <v>1200</v>
      </c>
      <c r="K28" s="23">
        <f t="shared" si="23"/>
        <v>1200</v>
      </c>
      <c r="L28" s="23">
        <f t="shared" si="23"/>
        <v>1200</v>
      </c>
      <c r="M28" s="23">
        <f t="shared" si="23"/>
        <v>1200</v>
      </c>
      <c r="N28" s="23">
        <f t="shared" si="23"/>
        <v>1200</v>
      </c>
      <c r="O28" s="23">
        <f t="shared" si="23"/>
        <v>200</v>
      </c>
      <c r="P28" s="23">
        <f t="shared" si="23"/>
        <v>1200</v>
      </c>
      <c r="Q28" s="23">
        <f t="shared" si="23"/>
        <v>1200</v>
      </c>
      <c r="R28" s="23">
        <f t="shared" si="23"/>
        <v>1200</v>
      </c>
      <c r="S28" s="23">
        <f t="shared" si="23"/>
        <v>1200</v>
      </c>
      <c r="T28" s="23">
        <f t="shared" si="23"/>
        <v>1200</v>
      </c>
      <c r="U28" s="23">
        <f t="shared" si="23"/>
        <v>1200</v>
      </c>
      <c r="V28" s="23">
        <f t="shared" si="23"/>
        <v>1200</v>
      </c>
      <c r="W28" s="23">
        <f t="shared" si="23"/>
        <v>1200</v>
      </c>
      <c r="X28" s="23">
        <f t="shared" si="23"/>
        <v>1200</v>
      </c>
      <c r="Y28" s="23">
        <f t="shared" si="23"/>
        <v>1200</v>
      </c>
      <c r="Z28" s="23">
        <f t="shared" si="23"/>
        <v>1200</v>
      </c>
      <c r="AA28" s="23">
        <f t="shared" si="23"/>
        <v>1200</v>
      </c>
      <c r="AB28" s="23">
        <f t="shared" si="23"/>
        <v>1200</v>
      </c>
    </row>
    <row r="29" spans="1:28" ht="15.75" customHeight="1" x14ac:dyDescent="0.3">
      <c r="A29" s="12">
        <f>RAW!$A$8</f>
        <v>2800</v>
      </c>
      <c r="B29" s="2"/>
      <c r="C29" s="24" t="s">
        <v>21</v>
      </c>
      <c r="D29" s="23">
        <f t="shared" si="21"/>
        <v>2800</v>
      </c>
      <c r="E29" s="2"/>
      <c r="F29" s="24" t="s">
        <v>21</v>
      </c>
      <c r="G29" s="23">
        <f t="shared" ref="G29:AB29" si="24">$A29/G$5</f>
        <v>2800</v>
      </c>
      <c r="H29" s="23">
        <f t="shared" si="24"/>
        <v>2800</v>
      </c>
      <c r="I29" s="23">
        <f t="shared" si="24"/>
        <v>2800</v>
      </c>
      <c r="J29" s="23">
        <f t="shared" si="24"/>
        <v>2800</v>
      </c>
      <c r="K29" s="23">
        <f t="shared" si="24"/>
        <v>2800</v>
      </c>
      <c r="L29" s="23">
        <f t="shared" si="24"/>
        <v>2800</v>
      </c>
      <c r="M29" s="23">
        <f t="shared" si="24"/>
        <v>2800</v>
      </c>
      <c r="N29" s="23">
        <f t="shared" si="24"/>
        <v>2800</v>
      </c>
      <c r="O29" s="23">
        <f t="shared" si="24"/>
        <v>466.66666666666669</v>
      </c>
      <c r="P29" s="23">
        <f t="shared" si="24"/>
        <v>2800</v>
      </c>
      <c r="Q29" s="23">
        <f t="shared" si="24"/>
        <v>2800</v>
      </c>
      <c r="R29" s="23">
        <f t="shared" si="24"/>
        <v>2800</v>
      </c>
      <c r="S29" s="23">
        <f t="shared" si="24"/>
        <v>2800</v>
      </c>
      <c r="T29" s="23">
        <f t="shared" si="24"/>
        <v>2800</v>
      </c>
      <c r="U29" s="23">
        <f t="shared" si="24"/>
        <v>2800</v>
      </c>
      <c r="V29" s="23">
        <f t="shared" si="24"/>
        <v>2800</v>
      </c>
      <c r="W29" s="23">
        <f t="shared" si="24"/>
        <v>2800</v>
      </c>
      <c r="X29" s="23">
        <f t="shared" si="24"/>
        <v>2800</v>
      </c>
      <c r="Y29" s="23">
        <f t="shared" si="24"/>
        <v>2800</v>
      </c>
      <c r="Z29" s="23">
        <f t="shared" si="24"/>
        <v>2800</v>
      </c>
      <c r="AA29" s="23">
        <f t="shared" si="24"/>
        <v>2800</v>
      </c>
      <c r="AB29" s="23">
        <f t="shared" si="24"/>
        <v>2800</v>
      </c>
    </row>
    <row r="30" spans="1:28" ht="15.75" customHeight="1" x14ac:dyDescent="0.3">
      <c r="A30" s="12">
        <f>RAW!$A$9</f>
        <v>6000</v>
      </c>
      <c r="B30" s="2"/>
      <c r="C30" s="24" t="s">
        <v>22</v>
      </c>
      <c r="D30" s="23">
        <f t="shared" si="21"/>
        <v>6000</v>
      </c>
      <c r="E30" s="2"/>
      <c r="F30" s="24" t="s">
        <v>22</v>
      </c>
      <c r="G30" s="23">
        <f t="shared" ref="G30:AB30" si="25">$A30/G$5</f>
        <v>6000</v>
      </c>
      <c r="H30" s="23">
        <f t="shared" si="25"/>
        <v>6000</v>
      </c>
      <c r="I30" s="23">
        <f t="shared" si="25"/>
        <v>6000</v>
      </c>
      <c r="J30" s="23">
        <f t="shared" si="25"/>
        <v>6000</v>
      </c>
      <c r="K30" s="23">
        <f t="shared" si="25"/>
        <v>6000</v>
      </c>
      <c r="L30" s="23">
        <f t="shared" si="25"/>
        <v>6000</v>
      </c>
      <c r="M30" s="23">
        <f t="shared" si="25"/>
        <v>6000</v>
      </c>
      <c r="N30" s="23">
        <f t="shared" si="25"/>
        <v>6000</v>
      </c>
      <c r="O30" s="23">
        <f t="shared" si="25"/>
        <v>1000</v>
      </c>
      <c r="P30" s="23">
        <f t="shared" si="25"/>
        <v>6000</v>
      </c>
      <c r="Q30" s="23">
        <f t="shared" si="25"/>
        <v>6000</v>
      </c>
      <c r="R30" s="23">
        <f t="shared" si="25"/>
        <v>6000</v>
      </c>
      <c r="S30" s="23">
        <f t="shared" si="25"/>
        <v>6000</v>
      </c>
      <c r="T30" s="23">
        <f t="shared" si="25"/>
        <v>6000</v>
      </c>
      <c r="U30" s="23">
        <f t="shared" si="25"/>
        <v>6000</v>
      </c>
      <c r="V30" s="23">
        <f t="shared" si="25"/>
        <v>6000</v>
      </c>
      <c r="W30" s="23">
        <f t="shared" si="25"/>
        <v>6000</v>
      </c>
      <c r="X30" s="23">
        <f t="shared" si="25"/>
        <v>6000</v>
      </c>
      <c r="Y30" s="23">
        <f t="shared" si="25"/>
        <v>6000</v>
      </c>
      <c r="Z30" s="23">
        <f t="shared" si="25"/>
        <v>6000</v>
      </c>
      <c r="AA30" s="23">
        <f t="shared" si="25"/>
        <v>6000</v>
      </c>
      <c r="AB30" s="23">
        <f t="shared" si="25"/>
        <v>6000</v>
      </c>
    </row>
    <row r="31" spans="1:28" ht="15.75" customHeight="1" x14ac:dyDescent="0.3">
      <c r="A31" s="12">
        <f>RAW!$A$10</f>
        <v>12400</v>
      </c>
      <c r="B31" s="2"/>
      <c r="C31" s="24" t="s">
        <v>23</v>
      </c>
      <c r="D31" s="23">
        <f t="shared" si="21"/>
        <v>12400</v>
      </c>
      <c r="E31" s="2"/>
      <c r="F31" s="24" t="s">
        <v>23</v>
      </c>
      <c r="G31" s="23">
        <f t="shared" ref="G31:AB31" si="26">$A31/G$5</f>
        <v>12400</v>
      </c>
      <c r="H31" s="23">
        <f t="shared" si="26"/>
        <v>12400</v>
      </c>
      <c r="I31" s="23">
        <f t="shared" si="26"/>
        <v>12400</v>
      </c>
      <c r="J31" s="23">
        <f t="shared" si="26"/>
        <v>12400</v>
      </c>
      <c r="K31" s="23">
        <f t="shared" si="26"/>
        <v>12400</v>
      </c>
      <c r="L31" s="23">
        <f t="shared" si="26"/>
        <v>12400</v>
      </c>
      <c r="M31" s="23">
        <f t="shared" si="26"/>
        <v>12400</v>
      </c>
      <c r="N31" s="23">
        <f t="shared" si="26"/>
        <v>12400</v>
      </c>
      <c r="O31" s="23">
        <f t="shared" si="26"/>
        <v>2066.6666666666665</v>
      </c>
      <c r="P31" s="23">
        <f t="shared" si="26"/>
        <v>12400</v>
      </c>
      <c r="Q31" s="23">
        <f t="shared" si="26"/>
        <v>12400</v>
      </c>
      <c r="R31" s="23">
        <f t="shared" si="26"/>
        <v>12400</v>
      </c>
      <c r="S31" s="23">
        <f t="shared" si="26"/>
        <v>12400</v>
      </c>
      <c r="T31" s="23">
        <f t="shared" si="26"/>
        <v>12400</v>
      </c>
      <c r="U31" s="23">
        <f t="shared" si="26"/>
        <v>12400</v>
      </c>
      <c r="V31" s="23">
        <f t="shared" si="26"/>
        <v>12400</v>
      </c>
      <c r="W31" s="23">
        <f t="shared" si="26"/>
        <v>12400</v>
      </c>
      <c r="X31" s="23">
        <f t="shared" si="26"/>
        <v>12400</v>
      </c>
      <c r="Y31" s="23">
        <f t="shared" si="26"/>
        <v>12400</v>
      </c>
      <c r="Z31" s="23">
        <f t="shared" si="26"/>
        <v>12400</v>
      </c>
      <c r="AA31" s="23">
        <f t="shared" si="26"/>
        <v>12400</v>
      </c>
      <c r="AB31" s="23">
        <f t="shared" si="26"/>
        <v>12400</v>
      </c>
    </row>
    <row r="32" spans="1:28" ht="15.75" customHeight="1" x14ac:dyDescent="0.3">
      <c r="A32" s="12">
        <f>RAW!$A$11</f>
        <v>25200</v>
      </c>
      <c r="B32" s="2"/>
      <c r="C32" s="24" t="s">
        <v>24</v>
      </c>
      <c r="D32" s="23">
        <f t="shared" si="21"/>
        <v>25200</v>
      </c>
      <c r="E32" s="2"/>
      <c r="F32" s="24" t="s">
        <v>24</v>
      </c>
      <c r="G32" s="23">
        <f t="shared" ref="G32:AB32" si="27">$A32/G$5</f>
        <v>25200</v>
      </c>
      <c r="H32" s="23">
        <f t="shared" si="27"/>
        <v>25200</v>
      </c>
      <c r="I32" s="23">
        <f t="shared" si="27"/>
        <v>25200</v>
      </c>
      <c r="J32" s="23">
        <f t="shared" si="27"/>
        <v>25200</v>
      </c>
      <c r="K32" s="23">
        <f t="shared" si="27"/>
        <v>25200</v>
      </c>
      <c r="L32" s="23">
        <f t="shared" si="27"/>
        <v>25200</v>
      </c>
      <c r="M32" s="23">
        <f t="shared" si="27"/>
        <v>25200</v>
      </c>
      <c r="N32" s="23">
        <f t="shared" si="27"/>
        <v>25200</v>
      </c>
      <c r="O32" s="23">
        <f t="shared" si="27"/>
        <v>4200</v>
      </c>
      <c r="P32" s="23">
        <f t="shared" si="27"/>
        <v>25200</v>
      </c>
      <c r="Q32" s="23">
        <f t="shared" si="27"/>
        <v>25200</v>
      </c>
      <c r="R32" s="23">
        <f t="shared" si="27"/>
        <v>25200</v>
      </c>
      <c r="S32" s="23">
        <f t="shared" si="27"/>
        <v>25200</v>
      </c>
      <c r="T32" s="23">
        <f t="shared" si="27"/>
        <v>25200</v>
      </c>
      <c r="U32" s="23">
        <f t="shared" si="27"/>
        <v>25200</v>
      </c>
      <c r="V32" s="23">
        <f t="shared" si="27"/>
        <v>25200</v>
      </c>
      <c r="W32" s="23">
        <f t="shared" si="27"/>
        <v>25200</v>
      </c>
      <c r="X32" s="23">
        <f t="shared" si="27"/>
        <v>25200</v>
      </c>
      <c r="Y32" s="23">
        <f t="shared" si="27"/>
        <v>25200</v>
      </c>
      <c r="Z32" s="23">
        <f t="shared" si="27"/>
        <v>25200</v>
      </c>
      <c r="AA32" s="23">
        <f t="shared" si="27"/>
        <v>25200</v>
      </c>
      <c r="AB32" s="23">
        <f t="shared" si="27"/>
        <v>25200</v>
      </c>
    </row>
    <row r="33" spans="1:28" ht="15.75" customHeight="1" x14ac:dyDescent="0.3">
      <c r="A33" s="12">
        <f>RAW!$A$12</f>
        <v>50800</v>
      </c>
      <c r="B33" s="2"/>
      <c r="C33" s="24" t="s">
        <v>25</v>
      </c>
      <c r="D33" s="23">
        <f t="shared" si="21"/>
        <v>50800</v>
      </c>
      <c r="E33" s="2"/>
      <c r="F33" s="24" t="s">
        <v>25</v>
      </c>
      <c r="G33" s="23">
        <f t="shared" ref="G33:AB33" si="28">$A33/G$5</f>
        <v>50800</v>
      </c>
      <c r="H33" s="23">
        <f t="shared" si="28"/>
        <v>50800</v>
      </c>
      <c r="I33" s="23">
        <f t="shared" si="28"/>
        <v>50800</v>
      </c>
      <c r="J33" s="23">
        <f t="shared" si="28"/>
        <v>50800</v>
      </c>
      <c r="K33" s="23">
        <f t="shared" si="28"/>
        <v>50800</v>
      </c>
      <c r="L33" s="23">
        <f t="shared" si="28"/>
        <v>50800</v>
      </c>
      <c r="M33" s="23">
        <f t="shared" si="28"/>
        <v>50800</v>
      </c>
      <c r="N33" s="23">
        <f t="shared" si="28"/>
        <v>50800</v>
      </c>
      <c r="O33" s="23">
        <f t="shared" si="28"/>
        <v>8466.6666666666661</v>
      </c>
      <c r="P33" s="23">
        <f t="shared" si="28"/>
        <v>50800</v>
      </c>
      <c r="Q33" s="23">
        <f t="shared" si="28"/>
        <v>50800</v>
      </c>
      <c r="R33" s="23">
        <f t="shared" si="28"/>
        <v>50800</v>
      </c>
      <c r="S33" s="23">
        <f t="shared" si="28"/>
        <v>50800</v>
      </c>
      <c r="T33" s="23">
        <f t="shared" si="28"/>
        <v>50800</v>
      </c>
      <c r="U33" s="23">
        <f t="shared" si="28"/>
        <v>50800</v>
      </c>
      <c r="V33" s="23">
        <f t="shared" si="28"/>
        <v>50800</v>
      </c>
      <c r="W33" s="23">
        <f t="shared" si="28"/>
        <v>50800</v>
      </c>
      <c r="X33" s="23">
        <f t="shared" si="28"/>
        <v>50800</v>
      </c>
      <c r="Y33" s="23">
        <f t="shared" si="28"/>
        <v>50800</v>
      </c>
      <c r="Z33" s="23">
        <f t="shared" si="28"/>
        <v>50800</v>
      </c>
      <c r="AA33" s="23">
        <f t="shared" si="28"/>
        <v>50800</v>
      </c>
      <c r="AB33" s="23">
        <f t="shared" si="28"/>
        <v>50800</v>
      </c>
    </row>
    <row r="34" spans="1:28" ht="15.75" customHeight="1" x14ac:dyDescent="0.3">
      <c r="A34" s="12">
        <f>RAW!$A$13</f>
        <v>102000</v>
      </c>
      <c r="B34" s="2"/>
      <c r="C34" s="24" t="s">
        <v>26</v>
      </c>
      <c r="D34" s="23">
        <f t="shared" si="21"/>
        <v>102000</v>
      </c>
      <c r="E34" s="2"/>
      <c r="F34" s="24" t="s">
        <v>26</v>
      </c>
      <c r="G34" s="23">
        <f t="shared" ref="G34:AB34" si="29">$A34/G$5</f>
        <v>102000</v>
      </c>
      <c r="H34" s="23">
        <f t="shared" si="29"/>
        <v>102000</v>
      </c>
      <c r="I34" s="23">
        <f t="shared" si="29"/>
        <v>102000</v>
      </c>
      <c r="J34" s="23">
        <f t="shared" si="29"/>
        <v>102000</v>
      </c>
      <c r="K34" s="23">
        <f t="shared" si="29"/>
        <v>102000</v>
      </c>
      <c r="L34" s="23">
        <f t="shared" si="29"/>
        <v>102000</v>
      </c>
      <c r="M34" s="23">
        <f t="shared" si="29"/>
        <v>102000</v>
      </c>
      <c r="N34" s="23">
        <f t="shared" si="29"/>
        <v>102000</v>
      </c>
      <c r="O34" s="23">
        <f t="shared" si="29"/>
        <v>17000</v>
      </c>
      <c r="P34" s="23">
        <f t="shared" si="29"/>
        <v>102000</v>
      </c>
      <c r="Q34" s="23">
        <f t="shared" si="29"/>
        <v>102000</v>
      </c>
      <c r="R34" s="23">
        <f t="shared" si="29"/>
        <v>102000</v>
      </c>
      <c r="S34" s="23">
        <f t="shared" si="29"/>
        <v>102000</v>
      </c>
      <c r="T34" s="23">
        <f t="shared" si="29"/>
        <v>102000</v>
      </c>
      <c r="U34" s="23">
        <f t="shared" si="29"/>
        <v>102000</v>
      </c>
      <c r="V34" s="23">
        <f t="shared" si="29"/>
        <v>102000</v>
      </c>
      <c r="W34" s="23">
        <f t="shared" si="29"/>
        <v>102000</v>
      </c>
      <c r="X34" s="23">
        <f t="shared" si="29"/>
        <v>102000</v>
      </c>
      <c r="Y34" s="23">
        <f t="shared" si="29"/>
        <v>102000</v>
      </c>
      <c r="Z34" s="23">
        <f t="shared" si="29"/>
        <v>102000</v>
      </c>
      <c r="AA34" s="23">
        <f t="shared" si="29"/>
        <v>102000</v>
      </c>
      <c r="AB34" s="23">
        <f t="shared" si="29"/>
        <v>102000</v>
      </c>
    </row>
    <row r="35" spans="1:28" ht="15.75" customHeight="1" x14ac:dyDescent="0.3">
      <c r="A35" s="12">
        <f>RAW!$A$14</f>
        <v>204400</v>
      </c>
      <c r="B35" s="2"/>
      <c r="C35" s="24" t="s">
        <v>27</v>
      </c>
      <c r="D35" s="23">
        <f t="shared" si="21"/>
        <v>204400</v>
      </c>
      <c r="E35" s="2"/>
      <c r="F35" s="24" t="s">
        <v>27</v>
      </c>
      <c r="G35" s="23">
        <f t="shared" ref="G35:AB35" si="30">$A35/G$5</f>
        <v>204400</v>
      </c>
      <c r="H35" s="23">
        <f t="shared" si="30"/>
        <v>204400</v>
      </c>
      <c r="I35" s="23">
        <f t="shared" si="30"/>
        <v>204400</v>
      </c>
      <c r="J35" s="23">
        <f t="shared" si="30"/>
        <v>204400</v>
      </c>
      <c r="K35" s="23">
        <f t="shared" si="30"/>
        <v>204400</v>
      </c>
      <c r="L35" s="23">
        <f t="shared" si="30"/>
        <v>204400</v>
      </c>
      <c r="M35" s="23">
        <f t="shared" si="30"/>
        <v>204400</v>
      </c>
      <c r="N35" s="23">
        <f t="shared" si="30"/>
        <v>204400</v>
      </c>
      <c r="O35" s="23">
        <f t="shared" si="30"/>
        <v>34066.666666666664</v>
      </c>
      <c r="P35" s="23">
        <f t="shared" si="30"/>
        <v>204400</v>
      </c>
      <c r="Q35" s="23">
        <f t="shared" si="30"/>
        <v>204400</v>
      </c>
      <c r="R35" s="23">
        <f t="shared" si="30"/>
        <v>204400</v>
      </c>
      <c r="S35" s="23">
        <f t="shared" si="30"/>
        <v>204400</v>
      </c>
      <c r="T35" s="23">
        <f t="shared" si="30"/>
        <v>204400</v>
      </c>
      <c r="U35" s="23">
        <f t="shared" si="30"/>
        <v>204400</v>
      </c>
      <c r="V35" s="23">
        <f t="shared" si="30"/>
        <v>204400</v>
      </c>
      <c r="W35" s="23">
        <f t="shared" si="30"/>
        <v>204400</v>
      </c>
      <c r="X35" s="23">
        <f t="shared" si="30"/>
        <v>204400</v>
      </c>
      <c r="Y35" s="23">
        <f t="shared" si="30"/>
        <v>204400</v>
      </c>
      <c r="Z35" s="23">
        <f t="shared" si="30"/>
        <v>204400</v>
      </c>
      <c r="AA35" s="23">
        <f t="shared" si="30"/>
        <v>204400</v>
      </c>
      <c r="AB35" s="23">
        <f t="shared" si="30"/>
        <v>204400</v>
      </c>
    </row>
    <row r="36" spans="1:28" ht="15.75" customHeight="1" x14ac:dyDescent="0.3">
      <c r="A36" s="12">
        <f>RAW!$A$15</f>
        <v>409200</v>
      </c>
      <c r="B36" s="2"/>
      <c r="C36" s="24" t="s">
        <v>28</v>
      </c>
      <c r="D36" s="23">
        <f t="shared" si="21"/>
        <v>409200</v>
      </c>
      <c r="E36" s="2"/>
      <c r="F36" s="24" t="s">
        <v>28</v>
      </c>
      <c r="G36" s="23">
        <f t="shared" ref="G36:AB36" si="31">$A36/G$5</f>
        <v>409200</v>
      </c>
      <c r="H36" s="23">
        <f t="shared" si="31"/>
        <v>409200</v>
      </c>
      <c r="I36" s="23">
        <f t="shared" si="31"/>
        <v>409200</v>
      </c>
      <c r="J36" s="23">
        <f t="shared" si="31"/>
        <v>409200</v>
      </c>
      <c r="K36" s="23">
        <f t="shared" si="31"/>
        <v>409200</v>
      </c>
      <c r="L36" s="23">
        <f t="shared" si="31"/>
        <v>409200</v>
      </c>
      <c r="M36" s="23">
        <f t="shared" si="31"/>
        <v>409200</v>
      </c>
      <c r="N36" s="23">
        <f t="shared" si="31"/>
        <v>409200</v>
      </c>
      <c r="O36" s="23">
        <f t="shared" si="31"/>
        <v>68200</v>
      </c>
      <c r="P36" s="23">
        <f t="shared" si="31"/>
        <v>409200</v>
      </c>
      <c r="Q36" s="23">
        <f t="shared" si="31"/>
        <v>409200</v>
      </c>
      <c r="R36" s="23">
        <f t="shared" si="31"/>
        <v>409200</v>
      </c>
      <c r="S36" s="23">
        <f t="shared" si="31"/>
        <v>409200</v>
      </c>
      <c r="T36" s="23">
        <f t="shared" si="31"/>
        <v>409200</v>
      </c>
      <c r="U36" s="23">
        <f t="shared" si="31"/>
        <v>409200</v>
      </c>
      <c r="V36" s="23">
        <f t="shared" si="31"/>
        <v>409200</v>
      </c>
      <c r="W36" s="23">
        <f t="shared" si="31"/>
        <v>409200</v>
      </c>
      <c r="X36" s="23">
        <f t="shared" si="31"/>
        <v>409200</v>
      </c>
      <c r="Y36" s="23">
        <f t="shared" si="31"/>
        <v>409200</v>
      </c>
      <c r="Z36" s="23">
        <f t="shared" si="31"/>
        <v>409200</v>
      </c>
      <c r="AA36" s="23">
        <f t="shared" si="31"/>
        <v>409200</v>
      </c>
      <c r="AB36" s="23">
        <f t="shared" si="31"/>
        <v>409200</v>
      </c>
    </row>
    <row r="37" spans="1:28" ht="15.75" customHeight="1" x14ac:dyDescent="0.3">
      <c r="A37" s="12">
        <f>RAW!$A$16</f>
        <v>818800</v>
      </c>
      <c r="B37" s="2"/>
      <c r="C37" s="24" t="s">
        <v>29</v>
      </c>
      <c r="D37" s="23">
        <f t="shared" si="21"/>
        <v>818800</v>
      </c>
      <c r="E37" s="2"/>
      <c r="F37" s="24" t="s">
        <v>29</v>
      </c>
      <c r="G37" s="23">
        <f t="shared" ref="G37:AB37" si="32">$A37/G$5</f>
        <v>818800</v>
      </c>
      <c r="H37" s="23">
        <f t="shared" si="32"/>
        <v>818800</v>
      </c>
      <c r="I37" s="23">
        <f t="shared" si="32"/>
        <v>818800</v>
      </c>
      <c r="J37" s="23">
        <f t="shared" si="32"/>
        <v>818800</v>
      </c>
      <c r="K37" s="23">
        <f t="shared" si="32"/>
        <v>818800</v>
      </c>
      <c r="L37" s="23">
        <f t="shared" si="32"/>
        <v>818800</v>
      </c>
      <c r="M37" s="23">
        <f t="shared" si="32"/>
        <v>818800</v>
      </c>
      <c r="N37" s="23">
        <f t="shared" si="32"/>
        <v>818800</v>
      </c>
      <c r="O37" s="23">
        <f t="shared" si="32"/>
        <v>136466.66666666666</v>
      </c>
      <c r="P37" s="23">
        <f t="shared" si="32"/>
        <v>818800</v>
      </c>
      <c r="Q37" s="23">
        <f t="shared" si="32"/>
        <v>818800</v>
      </c>
      <c r="R37" s="23">
        <f t="shared" si="32"/>
        <v>818800</v>
      </c>
      <c r="S37" s="23">
        <f t="shared" si="32"/>
        <v>818800</v>
      </c>
      <c r="T37" s="23">
        <f t="shared" si="32"/>
        <v>818800</v>
      </c>
      <c r="U37" s="23">
        <f t="shared" si="32"/>
        <v>818800</v>
      </c>
      <c r="V37" s="23">
        <f t="shared" si="32"/>
        <v>818800</v>
      </c>
      <c r="W37" s="23">
        <f t="shared" si="32"/>
        <v>818800</v>
      </c>
      <c r="X37" s="23">
        <f t="shared" si="32"/>
        <v>818800</v>
      </c>
      <c r="Y37" s="23">
        <f t="shared" si="32"/>
        <v>818800</v>
      </c>
      <c r="Z37" s="23">
        <f t="shared" si="32"/>
        <v>818800</v>
      </c>
      <c r="AA37" s="23">
        <f t="shared" si="32"/>
        <v>818800</v>
      </c>
      <c r="AB37" s="23">
        <f t="shared" si="32"/>
        <v>818800</v>
      </c>
    </row>
    <row r="38" spans="1:28" ht="15.75" customHeight="1" x14ac:dyDescent="0.3">
      <c r="A38" s="12">
        <f>RAW!$A$17</f>
        <v>1638000</v>
      </c>
      <c r="B38" s="2"/>
      <c r="C38" s="24" t="s">
        <v>30</v>
      </c>
      <c r="D38" s="23">
        <f t="shared" si="21"/>
        <v>1638000</v>
      </c>
      <c r="E38" s="2"/>
      <c r="F38" s="24" t="s">
        <v>30</v>
      </c>
      <c r="G38" s="23">
        <f t="shared" ref="G38:AB38" si="33">$A38/G$5</f>
        <v>1638000</v>
      </c>
      <c r="H38" s="23">
        <f t="shared" si="33"/>
        <v>1638000</v>
      </c>
      <c r="I38" s="23">
        <f t="shared" si="33"/>
        <v>1638000</v>
      </c>
      <c r="J38" s="23">
        <f t="shared" si="33"/>
        <v>1638000</v>
      </c>
      <c r="K38" s="23">
        <f t="shared" si="33"/>
        <v>1638000</v>
      </c>
      <c r="L38" s="23">
        <f t="shared" si="33"/>
        <v>1638000</v>
      </c>
      <c r="M38" s="23">
        <f t="shared" si="33"/>
        <v>1638000</v>
      </c>
      <c r="N38" s="23">
        <f t="shared" si="33"/>
        <v>1638000</v>
      </c>
      <c r="O38" s="23">
        <f t="shared" si="33"/>
        <v>273000</v>
      </c>
      <c r="P38" s="23">
        <f t="shared" si="33"/>
        <v>1638000</v>
      </c>
      <c r="Q38" s="23">
        <f t="shared" si="33"/>
        <v>1638000</v>
      </c>
      <c r="R38" s="23">
        <f t="shared" si="33"/>
        <v>1638000</v>
      </c>
      <c r="S38" s="23">
        <f t="shared" si="33"/>
        <v>1638000</v>
      </c>
      <c r="T38" s="23">
        <f t="shared" si="33"/>
        <v>1638000</v>
      </c>
      <c r="U38" s="23">
        <f t="shared" si="33"/>
        <v>1638000</v>
      </c>
      <c r="V38" s="23">
        <f t="shared" si="33"/>
        <v>1638000</v>
      </c>
      <c r="W38" s="23">
        <f t="shared" si="33"/>
        <v>1638000</v>
      </c>
      <c r="X38" s="23">
        <f t="shared" si="33"/>
        <v>1638000</v>
      </c>
      <c r="Y38" s="23">
        <f t="shared" si="33"/>
        <v>1638000</v>
      </c>
      <c r="Z38" s="23">
        <f t="shared" si="33"/>
        <v>1638000</v>
      </c>
      <c r="AA38" s="23">
        <f t="shared" si="33"/>
        <v>1638000</v>
      </c>
      <c r="AB38" s="23">
        <f t="shared" si="33"/>
        <v>1638000</v>
      </c>
    </row>
    <row r="39" spans="1:28" ht="15.75" customHeight="1" x14ac:dyDescent="0.3">
      <c r="A39" s="12">
        <f>RAW!$A$18</f>
        <v>3276400</v>
      </c>
      <c r="B39" s="2"/>
      <c r="C39" s="24" t="s">
        <v>31</v>
      </c>
      <c r="D39" s="23">
        <f t="shared" si="21"/>
        <v>3276400</v>
      </c>
      <c r="E39" s="2"/>
      <c r="F39" s="24" t="s">
        <v>31</v>
      </c>
      <c r="G39" s="23">
        <f t="shared" ref="G39:AB39" si="34">$A39/G$5</f>
        <v>3276400</v>
      </c>
      <c r="H39" s="23">
        <f t="shared" si="34"/>
        <v>3276400</v>
      </c>
      <c r="I39" s="23">
        <f t="shared" si="34"/>
        <v>3276400</v>
      </c>
      <c r="J39" s="23">
        <f t="shared" si="34"/>
        <v>3276400</v>
      </c>
      <c r="K39" s="23">
        <f t="shared" si="34"/>
        <v>3276400</v>
      </c>
      <c r="L39" s="23">
        <f t="shared" si="34"/>
        <v>3276400</v>
      </c>
      <c r="M39" s="23">
        <f t="shared" si="34"/>
        <v>3276400</v>
      </c>
      <c r="N39" s="23">
        <f t="shared" si="34"/>
        <v>3276400</v>
      </c>
      <c r="O39" s="23">
        <f t="shared" si="34"/>
        <v>546066.66666666663</v>
      </c>
      <c r="P39" s="23">
        <f t="shared" si="34"/>
        <v>3276400</v>
      </c>
      <c r="Q39" s="23">
        <f t="shared" si="34"/>
        <v>3276400</v>
      </c>
      <c r="R39" s="23">
        <f t="shared" si="34"/>
        <v>3276400</v>
      </c>
      <c r="S39" s="23">
        <f t="shared" si="34"/>
        <v>3276400</v>
      </c>
      <c r="T39" s="23">
        <f t="shared" si="34"/>
        <v>3276400</v>
      </c>
      <c r="U39" s="23">
        <f t="shared" si="34"/>
        <v>3276400</v>
      </c>
      <c r="V39" s="23">
        <f t="shared" si="34"/>
        <v>3276400</v>
      </c>
      <c r="W39" s="23">
        <f t="shared" si="34"/>
        <v>3276400</v>
      </c>
      <c r="X39" s="23">
        <f t="shared" si="34"/>
        <v>3276400</v>
      </c>
      <c r="Y39" s="23">
        <f t="shared" si="34"/>
        <v>3276400</v>
      </c>
      <c r="Z39" s="23">
        <f t="shared" si="34"/>
        <v>3276400</v>
      </c>
      <c r="AA39" s="23">
        <f t="shared" si="34"/>
        <v>3276400</v>
      </c>
      <c r="AB39" s="23">
        <f t="shared" si="34"/>
        <v>3276400</v>
      </c>
    </row>
    <row r="40" spans="1:28" ht="15.75" customHeight="1" x14ac:dyDescent="0.3">
      <c r="A40" s="12">
        <f>RAW!$A$19</f>
        <v>6553200</v>
      </c>
      <c r="B40" s="2"/>
      <c r="C40" s="24" t="s">
        <v>32</v>
      </c>
      <c r="D40" s="23">
        <f t="shared" si="21"/>
        <v>6553200</v>
      </c>
      <c r="E40" s="2"/>
      <c r="F40" s="24" t="s">
        <v>32</v>
      </c>
      <c r="G40" s="23">
        <f t="shared" ref="G40:AB40" si="35">$A40/G$5</f>
        <v>6553200</v>
      </c>
      <c r="H40" s="23">
        <f t="shared" si="35"/>
        <v>6553200</v>
      </c>
      <c r="I40" s="23">
        <f t="shared" si="35"/>
        <v>6553200</v>
      </c>
      <c r="J40" s="23">
        <f t="shared" si="35"/>
        <v>6553200</v>
      </c>
      <c r="K40" s="23">
        <f t="shared" si="35"/>
        <v>6553200</v>
      </c>
      <c r="L40" s="23">
        <f t="shared" si="35"/>
        <v>6553200</v>
      </c>
      <c r="M40" s="23">
        <f t="shared" si="35"/>
        <v>6553200</v>
      </c>
      <c r="N40" s="23">
        <f t="shared" si="35"/>
        <v>6553200</v>
      </c>
      <c r="O40" s="23">
        <f t="shared" si="35"/>
        <v>1092200</v>
      </c>
      <c r="P40" s="23">
        <f t="shared" si="35"/>
        <v>6553200</v>
      </c>
      <c r="Q40" s="23">
        <f t="shared" si="35"/>
        <v>6553200</v>
      </c>
      <c r="R40" s="23">
        <f t="shared" si="35"/>
        <v>6553200</v>
      </c>
      <c r="S40" s="23">
        <f t="shared" si="35"/>
        <v>6553200</v>
      </c>
      <c r="T40" s="23">
        <f t="shared" si="35"/>
        <v>6553200</v>
      </c>
      <c r="U40" s="23">
        <f t="shared" si="35"/>
        <v>6553200</v>
      </c>
      <c r="V40" s="23">
        <f t="shared" si="35"/>
        <v>6553200</v>
      </c>
      <c r="W40" s="23">
        <f t="shared" si="35"/>
        <v>6553200</v>
      </c>
      <c r="X40" s="23">
        <f t="shared" si="35"/>
        <v>6553200</v>
      </c>
      <c r="Y40" s="23">
        <f t="shared" si="35"/>
        <v>6553200</v>
      </c>
      <c r="Z40" s="23">
        <f t="shared" si="35"/>
        <v>6553200</v>
      </c>
      <c r="AA40" s="23">
        <f t="shared" si="35"/>
        <v>6553200</v>
      </c>
      <c r="AB40" s="23">
        <f t="shared" si="35"/>
        <v>6553200</v>
      </c>
    </row>
    <row r="41" spans="1:28" ht="15.75" customHeight="1" x14ac:dyDescent="0.3">
      <c r="A41" s="12">
        <f>RAW!$A$20</f>
        <v>13106800</v>
      </c>
      <c r="B41" s="2"/>
      <c r="C41" s="24" t="s">
        <v>33</v>
      </c>
      <c r="D41" s="23">
        <f t="shared" si="21"/>
        <v>13106800</v>
      </c>
      <c r="E41" s="2"/>
      <c r="F41" s="24" t="s">
        <v>33</v>
      </c>
      <c r="G41" s="23">
        <f t="shared" ref="G41:AB41" si="36">$A41/G$5</f>
        <v>13106800</v>
      </c>
      <c r="H41" s="23">
        <f t="shared" si="36"/>
        <v>13106800</v>
      </c>
      <c r="I41" s="23">
        <f t="shared" si="36"/>
        <v>13106800</v>
      </c>
      <c r="J41" s="23">
        <f t="shared" si="36"/>
        <v>13106800</v>
      </c>
      <c r="K41" s="23">
        <f t="shared" si="36"/>
        <v>13106800</v>
      </c>
      <c r="L41" s="23">
        <f t="shared" si="36"/>
        <v>13106800</v>
      </c>
      <c r="M41" s="23">
        <f t="shared" si="36"/>
        <v>13106800</v>
      </c>
      <c r="N41" s="23">
        <f t="shared" si="36"/>
        <v>13106800</v>
      </c>
      <c r="O41" s="23">
        <f t="shared" si="36"/>
        <v>2184466.6666666665</v>
      </c>
      <c r="P41" s="23">
        <f t="shared" si="36"/>
        <v>13106800</v>
      </c>
      <c r="Q41" s="23">
        <f t="shared" si="36"/>
        <v>13106800</v>
      </c>
      <c r="R41" s="23">
        <f t="shared" si="36"/>
        <v>13106800</v>
      </c>
      <c r="S41" s="23">
        <f t="shared" si="36"/>
        <v>13106800</v>
      </c>
      <c r="T41" s="23">
        <f t="shared" si="36"/>
        <v>13106800</v>
      </c>
      <c r="U41" s="23">
        <f t="shared" si="36"/>
        <v>13106800</v>
      </c>
      <c r="V41" s="23">
        <f t="shared" si="36"/>
        <v>13106800</v>
      </c>
      <c r="W41" s="23">
        <f t="shared" si="36"/>
        <v>13106800</v>
      </c>
      <c r="X41" s="23">
        <f t="shared" si="36"/>
        <v>13106800</v>
      </c>
      <c r="Y41" s="23">
        <f t="shared" si="36"/>
        <v>13106800</v>
      </c>
      <c r="Z41" s="23">
        <f t="shared" si="36"/>
        <v>13106800</v>
      </c>
      <c r="AA41" s="23">
        <f t="shared" si="36"/>
        <v>13106800</v>
      </c>
      <c r="AB41" s="23">
        <f t="shared" si="36"/>
        <v>13106800</v>
      </c>
    </row>
    <row r="42" spans="1:28" ht="15.75" customHeight="1" x14ac:dyDescent="0.3">
      <c r="A42" s="12">
        <f>RAW!$A$21</f>
        <v>26214000</v>
      </c>
      <c r="B42" s="2"/>
      <c r="C42" s="24" t="s">
        <v>34</v>
      </c>
      <c r="D42" s="23">
        <f t="shared" si="21"/>
        <v>26214000</v>
      </c>
      <c r="E42" s="2"/>
      <c r="F42" s="24" t="s">
        <v>34</v>
      </c>
      <c r="G42" s="23">
        <f t="shared" ref="G42:AB42" si="37">$A42/G$5</f>
        <v>26214000</v>
      </c>
      <c r="H42" s="23">
        <f t="shared" si="37"/>
        <v>26214000</v>
      </c>
      <c r="I42" s="23">
        <f t="shared" si="37"/>
        <v>26214000</v>
      </c>
      <c r="J42" s="23">
        <f t="shared" si="37"/>
        <v>26214000</v>
      </c>
      <c r="K42" s="23">
        <f t="shared" si="37"/>
        <v>26214000</v>
      </c>
      <c r="L42" s="23">
        <f t="shared" si="37"/>
        <v>26214000</v>
      </c>
      <c r="M42" s="23">
        <f t="shared" si="37"/>
        <v>26214000</v>
      </c>
      <c r="N42" s="23">
        <f t="shared" si="37"/>
        <v>26214000</v>
      </c>
      <c r="O42" s="23">
        <f t="shared" si="37"/>
        <v>4369000</v>
      </c>
      <c r="P42" s="23">
        <f t="shared" si="37"/>
        <v>26214000</v>
      </c>
      <c r="Q42" s="23">
        <f t="shared" si="37"/>
        <v>26214000</v>
      </c>
      <c r="R42" s="23">
        <f t="shared" si="37"/>
        <v>26214000</v>
      </c>
      <c r="S42" s="23">
        <f t="shared" si="37"/>
        <v>26214000</v>
      </c>
      <c r="T42" s="23">
        <f t="shared" si="37"/>
        <v>26214000</v>
      </c>
      <c r="U42" s="23">
        <f t="shared" si="37"/>
        <v>26214000</v>
      </c>
      <c r="V42" s="23">
        <f t="shared" si="37"/>
        <v>26214000</v>
      </c>
      <c r="W42" s="23">
        <f t="shared" si="37"/>
        <v>26214000</v>
      </c>
      <c r="X42" s="23">
        <f t="shared" si="37"/>
        <v>26214000</v>
      </c>
      <c r="Y42" s="23">
        <f t="shared" si="37"/>
        <v>26214000</v>
      </c>
      <c r="Z42" s="23">
        <f t="shared" si="37"/>
        <v>26214000</v>
      </c>
      <c r="AA42" s="23">
        <f t="shared" si="37"/>
        <v>26214000</v>
      </c>
      <c r="AB42" s="23">
        <f t="shared" si="37"/>
        <v>26214000</v>
      </c>
    </row>
    <row r="43" spans="1:28" ht="15.75" customHeight="1" x14ac:dyDescent="0.3">
      <c r="A43" s="12">
        <f>RAW!$A$22</f>
        <v>52428400</v>
      </c>
      <c r="B43" s="2"/>
      <c r="C43" s="24" t="s">
        <v>35</v>
      </c>
      <c r="D43" s="23">
        <f t="shared" si="21"/>
        <v>52428400</v>
      </c>
      <c r="E43" s="2"/>
      <c r="F43" s="24" t="s">
        <v>35</v>
      </c>
      <c r="G43" s="23">
        <f t="shared" ref="G43:AB43" si="38">$A43/G$5</f>
        <v>52428400</v>
      </c>
      <c r="H43" s="23">
        <f t="shared" si="38"/>
        <v>52428400</v>
      </c>
      <c r="I43" s="23">
        <f t="shared" si="38"/>
        <v>52428400</v>
      </c>
      <c r="J43" s="23">
        <f t="shared" si="38"/>
        <v>52428400</v>
      </c>
      <c r="K43" s="23">
        <f t="shared" si="38"/>
        <v>52428400</v>
      </c>
      <c r="L43" s="23">
        <f t="shared" si="38"/>
        <v>52428400</v>
      </c>
      <c r="M43" s="23">
        <f t="shared" si="38"/>
        <v>52428400</v>
      </c>
      <c r="N43" s="23">
        <f t="shared" si="38"/>
        <v>52428400</v>
      </c>
      <c r="O43" s="23">
        <f t="shared" si="38"/>
        <v>8738066.666666666</v>
      </c>
      <c r="P43" s="23">
        <f t="shared" si="38"/>
        <v>52428400</v>
      </c>
      <c r="Q43" s="23">
        <f t="shared" si="38"/>
        <v>52428400</v>
      </c>
      <c r="R43" s="23">
        <f t="shared" si="38"/>
        <v>52428400</v>
      </c>
      <c r="S43" s="23">
        <f t="shared" si="38"/>
        <v>52428400</v>
      </c>
      <c r="T43" s="23">
        <f t="shared" si="38"/>
        <v>52428400</v>
      </c>
      <c r="U43" s="23">
        <f t="shared" si="38"/>
        <v>52428400</v>
      </c>
      <c r="V43" s="23">
        <f t="shared" si="38"/>
        <v>52428400</v>
      </c>
      <c r="W43" s="23">
        <f t="shared" si="38"/>
        <v>52428400</v>
      </c>
      <c r="X43" s="23">
        <f t="shared" si="38"/>
        <v>52428400</v>
      </c>
      <c r="Y43" s="23">
        <f t="shared" si="38"/>
        <v>52428400</v>
      </c>
      <c r="Z43" s="23">
        <f t="shared" si="38"/>
        <v>52428400</v>
      </c>
      <c r="AA43" s="23">
        <f t="shared" si="38"/>
        <v>52428400</v>
      </c>
      <c r="AB43" s="23">
        <f t="shared" si="38"/>
        <v>52428400</v>
      </c>
    </row>
    <row r="44" spans="1:28" ht="15.75" customHeight="1" x14ac:dyDescent="0.3">
      <c r="A44" s="3"/>
      <c r="B44" s="2"/>
      <c r="C44" s="29"/>
      <c r="D44" s="30"/>
      <c r="E44" s="2"/>
      <c r="F44" s="3"/>
      <c r="G44" s="31" t="s">
        <v>38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15.75" customHeight="1" x14ac:dyDescent="0.3">
      <c r="A45" s="19" t="s">
        <v>37</v>
      </c>
      <c r="B45" s="2"/>
      <c r="C45" s="10" t="s">
        <v>9</v>
      </c>
      <c r="D45" s="10" t="s">
        <v>10</v>
      </c>
      <c r="E45" s="2"/>
      <c r="F45" s="20" t="s">
        <v>9</v>
      </c>
      <c r="G45" s="11" t="str">
        <f t="shared" ref="G45:AB45" si="39">G26</f>
        <v>Jimmie</v>
      </c>
      <c r="H45" s="11" t="str">
        <f t="shared" si="39"/>
        <v>Kianna</v>
      </c>
      <c r="I45" s="11" t="str">
        <f t="shared" si="39"/>
        <v>Isabel</v>
      </c>
      <c r="J45" s="11" t="str">
        <f t="shared" si="39"/>
        <v>Brandi</v>
      </c>
      <c r="K45" s="11" t="str">
        <f t="shared" si="39"/>
        <v>Ariana</v>
      </c>
      <c r="L45" s="11" t="str">
        <f t="shared" si="39"/>
        <v>Amelia</v>
      </c>
      <c r="M45" s="11" t="str">
        <f t="shared" si="39"/>
        <v>Alford</v>
      </c>
      <c r="N45" s="11" t="str">
        <f t="shared" si="39"/>
        <v>Luny</v>
      </c>
      <c r="O45" s="11" t="str">
        <f t="shared" si="39"/>
        <v>Aurora</v>
      </c>
      <c r="P45" s="11">
        <f t="shared" si="39"/>
        <v>0</v>
      </c>
      <c r="Q45" s="11">
        <f t="shared" si="39"/>
        <v>0</v>
      </c>
      <c r="R45" s="11">
        <f t="shared" si="39"/>
        <v>0</v>
      </c>
      <c r="S45" s="11">
        <f t="shared" si="39"/>
        <v>0</v>
      </c>
      <c r="T45" s="11">
        <f t="shared" si="39"/>
        <v>0</v>
      </c>
      <c r="U45" s="11">
        <f t="shared" si="39"/>
        <v>0</v>
      </c>
      <c r="V45" s="11">
        <f t="shared" si="39"/>
        <v>0</v>
      </c>
      <c r="W45" s="11">
        <f t="shared" si="39"/>
        <v>0</v>
      </c>
      <c r="X45" s="11">
        <f t="shared" si="39"/>
        <v>0</v>
      </c>
      <c r="Y45" s="11">
        <f t="shared" si="39"/>
        <v>0</v>
      </c>
      <c r="Z45" s="11">
        <f t="shared" si="39"/>
        <v>0</v>
      </c>
      <c r="AA45" s="11">
        <f t="shared" si="39"/>
        <v>0</v>
      </c>
      <c r="AB45" s="11">
        <f t="shared" si="39"/>
        <v>0</v>
      </c>
    </row>
    <row r="46" spans="1:28" ht="15.75" customHeight="1" x14ac:dyDescent="0.3">
      <c r="A46" s="12">
        <f>RAW!$A$6</f>
        <v>400</v>
      </c>
      <c r="B46" s="2"/>
      <c r="C46" s="21" t="s">
        <v>19</v>
      </c>
      <c r="D46" s="22">
        <f t="shared" ref="D46:D62" si="40">($A46/D$5)/365</f>
        <v>1.095890410958904</v>
      </c>
      <c r="E46" s="2"/>
      <c r="F46" s="21" t="s">
        <v>19</v>
      </c>
      <c r="G46" s="23">
        <f t="shared" ref="G46:AB46" si="41">($A46/G$5)/365</f>
        <v>1.095890410958904</v>
      </c>
      <c r="H46" s="23">
        <f t="shared" si="41"/>
        <v>1.095890410958904</v>
      </c>
      <c r="I46" s="23">
        <f t="shared" si="41"/>
        <v>1.095890410958904</v>
      </c>
      <c r="J46" s="23">
        <f t="shared" si="41"/>
        <v>1.095890410958904</v>
      </c>
      <c r="K46" s="23">
        <f t="shared" si="41"/>
        <v>1.095890410958904</v>
      </c>
      <c r="L46" s="23">
        <f t="shared" si="41"/>
        <v>1.095890410958904</v>
      </c>
      <c r="M46" s="23">
        <f t="shared" si="41"/>
        <v>1.095890410958904</v>
      </c>
      <c r="N46" s="23">
        <f t="shared" si="41"/>
        <v>1.095890410958904</v>
      </c>
      <c r="O46" s="23">
        <f t="shared" si="41"/>
        <v>0.18264840182648404</v>
      </c>
      <c r="P46" s="23">
        <f t="shared" si="41"/>
        <v>1.095890410958904</v>
      </c>
      <c r="Q46" s="23">
        <f t="shared" si="41"/>
        <v>1.095890410958904</v>
      </c>
      <c r="R46" s="23">
        <f t="shared" si="41"/>
        <v>1.095890410958904</v>
      </c>
      <c r="S46" s="23">
        <f t="shared" si="41"/>
        <v>1.095890410958904</v>
      </c>
      <c r="T46" s="23">
        <f t="shared" si="41"/>
        <v>1.095890410958904</v>
      </c>
      <c r="U46" s="23">
        <f t="shared" si="41"/>
        <v>1.095890410958904</v>
      </c>
      <c r="V46" s="23">
        <f t="shared" si="41"/>
        <v>1.095890410958904</v>
      </c>
      <c r="W46" s="23">
        <f t="shared" si="41"/>
        <v>1.095890410958904</v>
      </c>
      <c r="X46" s="23">
        <f t="shared" si="41"/>
        <v>1.095890410958904</v>
      </c>
      <c r="Y46" s="23">
        <f t="shared" si="41"/>
        <v>1.095890410958904</v>
      </c>
      <c r="Z46" s="23">
        <f t="shared" si="41"/>
        <v>1.095890410958904</v>
      </c>
      <c r="AA46" s="23">
        <f t="shared" si="41"/>
        <v>1.095890410958904</v>
      </c>
      <c r="AB46" s="23">
        <f t="shared" si="41"/>
        <v>1.095890410958904</v>
      </c>
    </row>
    <row r="47" spans="1:28" ht="15.75" customHeight="1" x14ac:dyDescent="0.3">
      <c r="A47" s="12">
        <f>RAW!$A$7</f>
        <v>1200</v>
      </c>
      <c r="B47" s="2"/>
      <c r="C47" s="24" t="s">
        <v>20</v>
      </c>
      <c r="D47" s="23">
        <f t="shared" si="40"/>
        <v>3.2876712328767121</v>
      </c>
      <c r="E47" s="2"/>
      <c r="F47" s="24" t="s">
        <v>20</v>
      </c>
      <c r="G47" s="23">
        <f t="shared" ref="G47:AB47" si="42">($A47/G$5)/365</f>
        <v>3.2876712328767121</v>
      </c>
      <c r="H47" s="23">
        <f t="shared" si="42"/>
        <v>3.2876712328767121</v>
      </c>
      <c r="I47" s="23">
        <f t="shared" si="42"/>
        <v>3.2876712328767121</v>
      </c>
      <c r="J47" s="23">
        <f t="shared" si="42"/>
        <v>3.2876712328767121</v>
      </c>
      <c r="K47" s="23">
        <f t="shared" si="42"/>
        <v>3.2876712328767121</v>
      </c>
      <c r="L47" s="23">
        <f t="shared" si="42"/>
        <v>3.2876712328767121</v>
      </c>
      <c r="M47" s="23">
        <f t="shared" si="42"/>
        <v>3.2876712328767121</v>
      </c>
      <c r="N47" s="23">
        <f t="shared" si="42"/>
        <v>3.2876712328767121</v>
      </c>
      <c r="O47" s="23">
        <f t="shared" si="42"/>
        <v>0.54794520547945202</v>
      </c>
      <c r="P47" s="23">
        <f t="shared" si="42"/>
        <v>3.2876712328767121</v>
      </c>
      <c r="Q47" s="23">
        <f t="shared" si="42"/>
        <v>3.2876712328767121</v>
      </c>
      <c r="R47" s="23">
        <f t="shared" si="42"/>
        <v>3.2876712328767121</v>
      </c>
      <c r="S47" s="23">
        <f t="shared" si="42"/>
        <v>3.2876712328767121</v>
      </c>
      <c r="T47" s="23">
        <f t="shared" si="42"/>
        <v>3.2876712328767121</v>
      </c>
      <c r="U47" s="23">
        <f t="shared" si="42"/>
        <v>3.2876712328767121</v>
      </c>
      <c r="V47" s="23">
        <f t="shared" si="42"/>
        <v>3.2876712328767121</v>
      </c>
      <c r="W47" s="23">
        <f t="shared" si="42"/>
        <v>3.2876712328767121</v>
      </c>
      <c r="X47" s="23">
        <f t="shared" si="42"/>
        <v>3.2876712328767121</v>
      </c>
      <c r="Y47" s="23">
        <f t="shared" si="42"/>
        <v>3.2876712328767121</v>
      </c>
      <c r="Z47" s="23">
        <f t="shared" si="42"/>
        <v>3.2876712328767121</v>
      </c>
      <c r="AA47" s="23">
        <f t="shared" si="42"/>
        <v>3.2876712328767121</v>
      </c>
      <c r="AB47" s="23">
        <f t="shared" si="42"/>
        <v>3.2876712328767121</v>
      </c>
    </row>
    <row r="48" spans="1:28" ht="15.75" customHeight="1" x14ac:dyDescent="0.3">
      <c r="A48" s="12">
        <f>RAW!$A$8</f>
        <v>2800</v>
      </c>
      <c r="B48" s="2"/>
      <c r="C48" s="24" t="s">
        <v>21</v>
      </c>
      <c r="D48" s="23">
        <f t="shared" si="40"/>
        <v>7.6712328767123283</v>
      </c>
      <c r="E48" s="2"/>
      <c r="F48" s="24" t="s">
        <v>21</v>
      </c>
      <c r="G48" s="23">
        <f t="shared" ref="G48:AB48" si="43">($A48/G$5)/365</f>
        <v>7.6712328767123283</v>
      </c>
      <c r="H48" s="23">
        <f t="shared" si="43"/>
        <v>7.6712328767123283</v>
      </c>
      <c r="I48" s="23">
        <f t="shared" si="43"/>
        <v>7.6712328767123283</v>
      </c>
      <c r="J48" s="23">
        <f t="shared" si="43"/>
        <v>7.6712328767123283</v>
      </c>
      <c r="K48" s="23">
        <f t="shared" si="43"/>
        <v>7.6712328767123283</v>
      </c>
      <c r="L48" s="23">
        <f t="shared" si="43"/>
        <v>7.6712328767123283</v>
      </c>
      <c r="M48" s="23">
        <f t="shared" si="43"/>
        <v>7.6712328767123283</v>
      </c>
      <c r="N48" s="23">
        <f t="shared" si="43"/>
        <v>7.6712328767123283</v>
      </c>
      <c r="O48" s="23">
        <f t="shared" si="43"/>
        <v>1.2785388127853883</v>
      </c>
      <c r="P48" s="23">
        <f t="shared" si="43"/>
        <v>7.6712328767123283</v>
      </c>
      <c r="Q48" s="23">
        <f t="shared" si="43"/>
        <v>7.6712328767123283</v>
      </c>
      <c r="R48" s="23">
        <f t="shared" si="43"/>
        <v>7.6712328767123283</v>
      </c>
      <c r="S48" s="23">
        <f t="shared" si="43"/>
        <v>7.6712328767123283</v>
      </c>
      <c r="T48" s="23">
        <f t="shared" si="43"/>
        <v>7.6712328767123283</v>
      </c>
      <c r="U48" s="23">
        <f t="shared" si="43"/>
        <v>7.6712328767123283</v>
      </c>
      <c r="V48" s="23">
        <f t="shared" si="43"/>
        <v>7.6712328767123283</v>
      </c>
      <c r="W48" s="23">
        <f t="shared" si="43"/>
        <v>7.6712328767123283</v>
      </c>
      <c r="X48" s="23">
        <f t="shared" si="43"/>
        <v>7.6712328767123283</v>
      </c>
      <c r="Y48" s="23">
        <f t="shared" si="43"/>
        <v>7.6712328767123283</v>
      </c>
      <c r="Z48" s="23">
        <f t="shared" si="43"/>
        <v>7.6712328767123283</v>
      </c>
      <c r="AA48" s="23">
        <f t="shared" si="43"/>
        <v>7.6712328767123283</v>
      </c>
      <c r="AB48" s="23">
        <f t="shared" si="43"/>
        <v>7.6712328767123283</v>
      </c>
    </row>
    <row r="49" spans="1:28" ht="15.75" customHeight="1" x14ac:dyDescent="0.3">
      <c r="A49" s="12">
        <f>RAW!$A$9</f>
        <v>6000</v>
      </c>
      <c r="B49" s="2"/>
      <c r="C49" s="24" t="s">
        <v>22</v>
      </c>
      <c r="D49" s="23">
        <f t="shared" si="40"/>
        <v>16.438356164383563</v>
      </c>
      <c r="E49" s="2"/>
      <c r="F49" s="24" t="s">
        <v>22</v>
      </c>
      <c r="G49" s="23">
        <f t="shared" ref="G49:AB49" si="44">($A49/G$5)/365</f>
        <v>16.438356164383563</v>
      </c>
      <c r="H49" s="23">
        <f t="shared" si="44"/>
        <v>16.438356164383563</v>
      </c>
      <c r="I49" s="23">
        <f t="shared" si="44"/>
        <v>16.438356164383563</v>
      </c>
      <c r="J49" s="23">
        <f t="shared" si="44"/>
        <v>16.438356164383563</v>
      </c>
      <c r="K49" s="23">
        <f t="shared" si="44"/>
        <v>16.438356164383563</v>
      </c>
      <c r="L49" s="23">
        <f t="shared" si="44"/>
        <v>16.438356164383563</v>
      </c>
      <c r="M49" s="23">
        <f t="shared" si="44"/>
        <v>16.438356164383563</v>
      </c>
      <c r="N49" s="23">
        <f t="shared" si="44"/>
        <v>16.438356164383563</v>
      </c>
      <c r="O49" s="23">
        <f t="shared" si="44"/>
        <v>2.7397260273972601</v>
      </c>
      <c r="P49" s="23">
        <f t="shared" si="44"/>
        <v>16.438356164383563</v>
      </c>
      <c r="Q49" s="23">
        <f t="shared" si="44"/>
        <v>16.438356164383563</v>
      </c>
      <c r="R49" s="23">
        <f t="shared" si="44"/>
        <v>16.438356164383563</v>
      </c>
      <c r="S49" s="23">
        <f t="shared" si="44"/>
        <v>16.438356164383563</v>
      </c>
      <c r="T49" s="23">
        <f t="shared" si="44"/>
        <v>16.438356164383563</v>
      </c>
      <c r="U49" s="23">
        <f t="shared" si="44"/>
        <v>16.438356164383563</v>
      </c>
      <c r="V49" s="23">
        <f t="shared" si="44"/>
        <v>16.438356164383563</v>
      </c>
      <c r="W49" s="23">
        <f t="shared" si="44"/>
        <v>16.438356164383563</v>
      </c>
      <c r="X49" s="23">
        <f t="shared" si="44"/>
        <v>16.438356164383563</v>
      </c>
      <c r="Y49" s="23">
        <f t="shared" si="44"/>
        <v>16.438356164383563</v>
      </c>
      <c r="Z49" s="23">
        <f t="shared" si="44"/>
        <v>16.438356164383563</v>
      </c>
      <c r="AA49" s="23">
        <f t="shared" si="44"/>
        <v>16.438356164383563</v>
      </c>
      <c r="AB49" s="23">
        <f t="shared" si="44"/>
        <v>16.438356164383563</v>
      </c>
    </row>
    <row r="50" spans="1:28" ht="15.75" customHeight="1" x14ac:dyDescent="0.3">
      <c r="A50" s="12">
        <f>RAW!$A$10</f>
        <v>12400</v>
      </c>
      <c r="B50" s="2"/>
      <c r="C50" s="24" t="s">
        <v>23</v>
      </c>
      <c r="D50" s="23">
        <f t="shared" si="40"/>
        <v>33.972602739726028</v>
      </c>
      <c r="E50" s="2"/>
      <c r="F50" s="24" t="s">
        <v>23</v>
      </c>
      <c r="G50" s="23">
        <f t="shared" ref="G50:AB50" si="45">($A50/G$5)/365</f>
        <v>33.972602739726028</v>
      </c>
      <c r="H50" s="23">
        <f t="shared" si="45"/>
        <v>33.972602739726028</v>
      </c>
      <c r="I50" s="23">
        <f t="shared" si="45"/>
        <v>33.972602739726028</v>
      </c>
      <c r="J50" s="23">
        <f t="shared" si="45"/>
        <v>33.972602739726028</v>
      </c>
      <c r="K50" s="23">
        <f t="shared" si="45"/>
        <v>33.972602739726028</v>
      </c>
      <c r="L50" s="23">
        <f t="shared" si="45"/>
        <v>33.972602739726028</v>
      </c>
      <c r="M50" s="23">
        <f t="shared" si="45"/>
        <v>33.972602739726028</v>
      </c>
      <c r="N50" s="23">
        <f t="shared" si="45"/>
        <v>33.972602739726028</v>
      </c>
      <c r="O50" s="23">
        <f t="shared" si="45"/>
        <v>5.6621004566210038</v>
      </c>
      <c r="P50" s="23">
        <f t="shared" si="45"/>
        <v>33.972602739726028</v>
      </c>
      <c r="Q50" s="23">
        <f t="shared" si="45"/>
        <v>33.972602739726028</v>
      </c>
      <c r="R50" s="23">
        <f t="shared" si="45"/>
        <v>33.972602739726028</v>
      </c>
      <c r="S50" s="23">
        <f t="shared" si="45"/>
        <v>33.972602739726028</v>
      </c>
      <c r="T50" s="23">
        <f t="shared" si="45"/>
        <v>33.972602739726028</v>
      </c>
      <c r="U50" s="23">
        <f t="shared" si="45"/>
        <v>33.972602739726028</v>
      </c>
      <c r="V50" s="23">
        <f t="shared" si="45"/>
        <v>33.972602739726028</v>
      </c>
      <c r="W50" s="23">
        <f t="shared" si="45"/>
        <v>33.972602739726028</v>
      </c>
      <c r="X50" s="23">
        <f t="shared" si="45"/>
        <v>33.972602739726028</v>
      </c>
      <c r="Y50" s="23">
        <f t="shared" si="45"/>
        <v>33.972602739726028</v>
      </c>
      <c r="Z50" s="23">
        <f t="shared" si="45"/>
        <v>33.972602739726028</v>
      </c>
      <c r="AA50" s="23">
        <f t="shared" si="45"/>
        <v>33.972602739726028</v>
      </c>
      <c r="AB50" s="23">
        <f t="shared" si="45"/>
        <v>33.972602739726028</v>
      </c>
    </row>
    <row r="51" spans="1:28" ht="15.75" customHeight="1" x14ac:dyDescent="0.3">
      <c r="A51" s="12">
        <f>RAW!$A$11</f>
        <v>25200</v>
      </c>
      <c r="B51" s="2"/>
      <c r="C51" s="24" t="s">
        <v>24</v>
      </c>
      <c r="D51" s="23">
        <f t="shared" si="40"/>
        <v>69.041095890410958</v>
      </c>
      <c r="E51" s="2"/>
      <c r="F51" s="24" t="s">
        <v>24</v>
      </c>
      <c r="G51" s="23">
        <f t="shared" ref="G51:AB51" si="46">($A51/G$5)/365</f>
        <v>69.041095890410958</v>
      </c>
      <c r="H51" s="23">
        <f t="shared" si="46"/>
        <v>69.041095890410958</v>
      </c>
      <c r="I51" s="23">
        <f t="shared" si="46"/>
        <v>69.041095890410958</v>
      </c>
      <c r="J51" s="23">
        <f t="shared" si="46"/>
        <v>69.041095890410958</v>
      </c>
      <c r="K51" s="23">
        <f t="shared" si="46"/>
        <v>69.041095890410958</v>
      </c>
      <c r="L51" s="23">
        <f t="shared" si="46"/>
        <v>69.041095890410958</v>
      </c>
      <c r="M51" s="23">
        <f t="shared" si="46"/>
        <v>69.041095890410958</v>
      </c>
      <c r="N51" s="23">
        <f t="shared" si="46"/>
        <v>69.041095890410958</v>
      </c>
      <c r="O51" s="23">
        <f t="shared" si="46"/>
        <v>11.506849315068493</v>
      </c>
      <c r="P51" s="23">
        <f t="shared" si="46"/>
        <v>69.041095890410958</v>
      </c>
      <c r="Q51" s="23">
        <f t="shared" si="46"/>
        <v>69.041095890410958</v>
      </c>
      <c r="R51" s="23">
        <f t="shared" si="46"/>
        <v>69.041095890410958</v>
      </c>
      <c r="S51" s="23">
        <f t="shared" si="46"/>
        <v>69.041095890410958</v>
      </c>
      <c r="T51" s="23">
        <f t="shared" si="46"/>
        <v>69.041095890410958</v>
      </c>
      <c r="U51" s="23">
        <f t="shared" si="46"/>
        <v>69.041095890410958</v>
      </c>
      <c r="V51" s="23">
        <f t="shared" si="46"/>
        <v>69.041095890410958</v>
      </c>
      <c r="W51" s="23">
        <f t="shared" si="46"/>
        <v>69.041095890410958</v>
      </c>
      <c r="X51" s="23">
        <f t="shared" si="46"/>
        <v>69.041095890410958</v>
      </c>
      <c r="Y51" s="23">
        <f t="shared" si="46"/>
        <v>69.041095890410958</v>
      </c>
      <c r="Z51" s="23">
        <f t="shared" si="46"/>
        <v>69.041095890410958</v>
      </c>
      <c r="AA51" s="23">
        <f t="shared" si="46"/>
        <v>69.041095890410958</v>
      </c>
      <c r="AB51" s="23">
        <f t="shared" si="46"/>
        <v>69.041095890410958</v>
      </c>
    </row>
    <row r="52" spans="1:28" ht="15.75" customHeight="1" x14ac:dyDescent="0.3">
      <c r="A52" s="12">
        <f>RAW!$A$12</f>
        <v>50800</v>
      </c>
      <c r="B52" s="2"/>
      <c r="C52" s="24" t="s">
        <v>25</v>
      </c>
      <c r="D52" s="23">
        <f t="shared" si="40"/>
        <v>139.17808219178082</v>
      </c>
      <c r="E52" s="2"/>
      <c r="F52" s="24" t="s">
        <v>25</v>
      </c>
      <c r="G52" s="23">
        <f t="shared" ref="G52:AB52" si="47">($A52/G$5)/365</f>
        <v>139.17808219178082</v>
      </c>
      <c r="H52" s="23">
        <f t="shared" si="47"/>
        <v>139.17808219178082</v>
      </c>
      <c r="I52" s="23">
        <f t="shared" si="47"/>
        <v>139.17808219178082</v>
      </c>
      <c r="J52" s="23">
        <f t="shared" si="47"/>
        <v>139.17808219178082</v>
      </c>
      <c r="K52" s="23">
        <f t="shared" si="47"/>
        <v>139.17808219178082</v>
      </c>
      <c r="L52" s="23">
        <f t="shared" si="47"/>
        <v>139.17808219178082</v>
      </c>
      <c r="M52" s="23">
        <f t="shared" si="47"/>
        <v>139.17808219178082</v>
      </c>
      <c r="N52" s="23">
        <f t="shared" si="47"/>
        <v>139.17808219178082</v>
      </c>
      <c r="O52" s="23">
        <f t="shared" si="47"/>
        <v>23.196347031963469</v>
      </c>
      <c r="P52" s="23">
        <f t="shared" si="47"/>
        <v>139.17808219178082</v>
      </c>
      <c r="Q52" s="23">
        <f t="shared" si="47"/>
        <v>139.17808219178082</v>
      </c>
      <c r="R52" s="23">
        <f t="shared" si="47"/>
        <v>139.17808219178082</v>
      </c>
      <c r="S52" s="23">
        <f t="shared" si="47"/>
        <v>139.17808219178082</v>
      </c>
      <c r="T52" s="23">
        <f t="shared" si="47"/>
        <v>139.17808219178082</v>
      </c>
      <c r="U52" s="23">
        <f t="shared" si="47"/>
        <v>139.17808219178082</v>
      </c>
      <c r="V52" s="23">
        <f t="shared" si="47"/>
        <v>139.17808219178082</v>
      </c>
      <c r="W52" s="23">
        <f t="shared" si="47"/>
        <v>139.17808219178082</v>
      </c>
      <c r="X52" s="23">
        <f t="shared" si="47"/>
        <v>139.17808219178082</v>
      </c>
      <c r="Y52" s="23">
        <f t="shared" si="47"/>
        <v>139.17808219178082</v>
      </c>
      <c r="Z52" s="23">
        <f t="shared" si="47"/>
        <v>139.17808219178082</v>
      </c>
      <c r="AA52" s="23">
        <f t="shared" si="47"/>
        <v>139.17808219178082</v>
      </c>
      <c r="AB52" s="23">
        <f t="shared" si="47"/>
        <v>139.17808219178082</v>
      </c>
    </row>
    <row r="53" spans="1:28" ht="15.75" customHeight="1" x14ac:dyDescent="0.3">
      <c r="A53" s="12">
        <f>RAW!$A$13</f>
        <v>102000</v>
      </c>
      <c r="B53" s="2"/>
      <c r="C53" s="24" t="s">
        <v>26</v>
      </c>
      <c r="D53" s="23">
        <f t="shared" si="40"/>
        <v>279.45205479452056</v>
      </c>
      <c r="E53" s="2"/>
      <c r="F53" s="24" t="s">
        <v>26</v>
      </c>
      <c r="G53" s="23">
        <f t="shared" ref="G53:AB53" si="48">($A53/G$5)/365</f>
        <v>279.45205479452056</v>
      </c>
      <c r="H53" s="23">
        <f t="shared" si="48"/>
        <v>279.45205479452056</v>
      </c>
      <c r="I53" s="23">
        <f t="shared" si="48"/>
        <v>279.45205479452056</v>
      </c>
      <c r="J53" s="23">
        <f t="shared" si="48"/>
        <v>279.45205479452056</v>
      </c>
      <c r="K53" s="23">
        <f t="shared" si="48"/>
        <v>279.45205479452056</v>
      </c>
      <c r="L53" s="23">
        <f t="shared" si="48"/>
        <v>279.45205479452056</v>
      </c>
      <c r="M53" s="23">
        <f t="shared" si="48"/>
        <v>279.45205479452056</v>
      </c>
      <c r="N53" s="23">
        <f t="shared" si="48"/>
        <v>279.45205479452056</v>
      </c>
      <c r="O53" s="23">
        <f t="shared" si="48"/>
        <v>46.575342465753423</v>
      </c>
      <c r="P53" s="23">
        <f t="shared" si="48"/>
        <v>279.45205479452056</v>
      </c>
      <c r="Q53" s="23">
        <f t="shared" si="48"/>
        <v>279.45205479452056</v>
      </c>
      <c r="R53" s="23">
        <f t="shared" si="48"/>
        <v>279.45205479452056</v>
      </c>
      <c r="S53" s="23">
        <f t="shared" si="48"/>
        <v>279.45205479452056</v>
      </c>
      <c r="T53" s="23">
        <f t="shared" si="48"/>
        <v>279.45205479452056</v>
      </c>
      <c r="U53" s="23">
        <f t="shared" si="48"/>
        <v>279.45205479452056</v>
      </c>
      <c r="V53" s="23">
        <f t="shared" si="48"/>
        <v>279.45205479452056</v>
      </c>
      <c r="W53" s="23">
        <f t="shared" si="48"/>
        <v>279.45205479452056</v>
      </c>
      <c r="X53" s="23">
        <f t="shared" si="48"/>
        <v>279.45205479452056</v>
      </c>
      <c r="Y53" s="23">
        <f t="shared" si="48"/>
        <v>279.45205479452056</v>
      </c>
      <c r="Z53" s="23">
        <f t="shared" si="48"/>
        <v>279.45205479452056</v>
      </c>
      <c r="AA53" s="23">
        <f t="shared" si="48"/>
        <v>279.45205479452056</v>
      </c>
      <c r="AB53" s="23">
        <f t="shared" si="48"/>
        <v>279.45205479452056</v>
      </c>
    </row>
    <row r="54" spans="1:28" ht="15.75" customHeight="1" x14ac:dyDescent="0.3">
      <c r="A54" s="12">
        <f>RAW!$A$14</f>
        <v>204400</v>
      </c>
      <c r="B54" s="2"/>
      <c r="C54" s="24" t="s">
        <v>27</v>
      </c>
      <c r="D54" s="23">
        <f t="shared" si="40"/>
        <v>560</v>
      </c>
      <c r="E54" s="2"/>
      <c r="F54" s="24" t="s">
        <v>27</v>
      </c>
      <c r="G54" s="23">
        <f t="shared" ref="G54:AB54" si="49">($A54/G$5)/365</f>
        <v>560</v>
      </c>
      <c r="H54" s="23">
        <f t="shared" si="49"/>
        <v>560</v>
      </c>
      <c r="I54" s="23">
        <f t="shared" si="49"/>
        <v>560</v>
      </c>
      <c r="J54" s="23">
        <f t="shared" si="49"/>
        <v>560</v>
      </c>
      <c r="K54" s="23">
        <f t="shared" si="49"/>
        <v>560</v>
      </c>
      <c r="L54" s="23">
        <f t="shared" si="49"/>
        <v>560</v>
      </c>
      <c r="M54" s="23">
        <f t="shared" si="49"/>
        <v>560</v>
      </c>
      <c r="N54" s="23">
        <f t="shared" si="49"/>
        <v>560</v>
      </c>
      <c r="O54" s="23">
        <f t="shared" si="49"/>
        <v>93.333333333333329</v>
      </c>
      <c r="P54" s="23">
        <f t="shared" si="49"/>
        <v>560</v>
      </c>
      <c r="Q54" s="23">
        <f t="shared" si="49"/>
        <v>560</v>
      </c>
      <c r="R54" s="23">
        <f t="shared" si="49"/>
        <v>560</v>
      </c>
      <c r="S54" s="23">
        <f t="shared" si="49"/>
        <v>560</v>
      </c>
      <c r="T54" s="23">
        <f t="shared" si="49"/>
        <v>560</v>
      </c>
      <c r="U54" s="23">
        <f t="shared" si="49"/>
        <v>560</v>
      </c>
      <c r="V54" s="23">
        <f t="shared" si="49"/>
        <v>560</v>
      </c>
      <c r="W54" s="23">
        <f t="shared" si="49"/>
        <v>560</v>
      </c>
      <c r="X54" s="23">
        <f t="shared" si="49"/>
        <v>560</v>
      </c>
      <c r="Y54" s="23">
        <f t="shared" si="49"/>
        <v>560</v>
      </c>
      <c r="Z54" s="23">
        <f t="shared" si="49"/>
        <v>560</v>
      </c>
      <c r="AA54" s="23">
        <f t="shared" si="49"/>
        <v>560</v>
      </c>
      <c r="AB54" s="23">
        <f t="shared" si="49"/>
        <v>560</v>
      </c>
    </row>
    <row r="55" spans="1:28" ht="15.75" customHeight="1" x14ac:dyDescent="0.3">
      <c r="A55" s="12">
        <f>RAW!$A$15</f>
        <v>409200</v>
      </c>
      <c r="B55" s="2"/>
      <c r="C55" s="24" t="s">
        <v>28</v>
      </c>
      <c r="D55" s="23">
        <f t="shared" si="40"/>
        <v>1121.0958904109589</v>
      </c>
      <c r="E55" s="2"/>
      <c r="F55" s="24" t="s">
        <v>28</v>
      </c>
      <c r="G55" s="23">
        <f t="shared" ref="G55:AB55" si="50">($A55/G$5)/365</f>
        <v>1121.0958904109589</v>
      </c>
      <c r="H55" s="23">
        <f t="shared" si="50"/>
        <v>1121.0958904109589</v>
      </c>
      <c r="I55" s="23">
        <f t="shared" si="50"/>
        <v>1121.0958904109589</v>
      </c>
      <c r="J55" s="23">
        <f t="shared" si="50"/>
        <v>1121.0958904109589</v>
      </c>
      <c r="K55" s="23">
        <f t="shared" si="50"/>
        <v>1121.0958904109589</v>
      </c>
      <c r="L55" s="23">
        <f t="shared" si="50"/>
        <v>1121.0958904109589</v>
      </c>
      <c r="M55" s="23">
        <f t="shared" si="50"/>
        <v>1121.0958904109589</v>
      </c>
      <c r="N55" s="23">
        <f t="shared" si="50"/>
        <v>1121.0958904109589</v>
      </c>
      <c r="O55" s="23">
        <f t="shared" si="50"/>
        <v>186.84931506849315</v>
      </c>
      <c r="P55" s="23">
        <f t="shared" si="50"/>
        <v>1121.0958904109589</v>
      </c>
      <c r="Q55" s="23">
        <f t="shared" si="50"/>
        <v>1121.0958904109589</v>
      </c>
      <c r="R55" s="23">
        <f t="shared" si="50"/>
        <v>1121.0958904109589</v>
      </c>
      <c r="S55" s="23">
        <f t="shared" si="50"/>
        <v>1121.0958904109589</v>
      </c>
      <c r="T55" s="23">
        <f t="shared" si="50"/>
        <v>1121.0958904109589</v>
      </c>
      <c r="U55" s="23">
        <f t="shared" si="50"/>
        <v>1121.0958904109589</v>
      </c>
      <c r="V55" s="23">
        <f t="shared" si="50"/>
        <v>1121.0958904109589</v>
      </c>
      <c r="W55" s="23">
        <f t="shared" si="50"/>
        <v>1121.0958904109589</v>
      </c>
      <c r="X55" s="23">
        <f t="shared" si="50"/>
        <v>1121.0958904109589</v>
      </c>
      <c r="Y55" s="23">
        <f t="shared" si="50"/>
        <v>1121.0958904109589</v>
      </c>
      <c r="Z55" s="23">
        <f t="shared" si="50"/>
        <v>1121.0958904109589</v>
      </c>
      <c r="AA55" s="23">
        <f t="shared" si="50"/>
        <v>1121.0958904109589</v>
      </c>
      <c r="AB55" s="23">
        <f t="shared" si="50"/>
        <v>1121.0958904109589</v>
      </c>
    </row>
    <row r="56" spans="1:28" ht="15.75" customHeight="1" x14ac:dyDescent="0.3">
      <c r="A56" s="12">
        <f>RAW!$A$16</f>
        <v>818800</v>
      </c>
      <c r="B56" s="2"/>
      <c r="C56" s="24" t="s">
        <v>29</v>
      </c>
      <c r="D56" s="23">
        <f t="shared" si="40"/>
        <v>2243.2876712328766</v>
      </c>
      <c r="E56" s="2"/>
      <c r="F56" s="24" t="s">
        <v>29</v>
      </c>
      <c r="G56" s="23">
        <f t="shared" ref="G56:AB56" si="51">($A56/G$5)/365</f>
        <v>2243.2876712328766</v>
      </c>
      <c r="H56" s="23">
        <f t="shared" si="51"/>
        <v>2243.2876712328766</v>
      </c>
      <c r="I56" s="23">
        <f t="shared" si="51"/>
        <v>2243.2876712328766</v>
      </c>
      <c r="J56" s="23">
        <f t="shared" si="51"/>
        <v>2243.2876712328766</v>
      </c>
      <c r="K56" s="23">
        <f t="shared" si="51"/>
        <v>2243.2876712328766</v>
      </c>
      <c r="L56" s="23">
        <f t="shared" si="51"/>
        <v>2243.2876712328766</v>
      </c>
      <c r="M56" s="23">
        <f t="shared" si="51"/>
        <v>2243.2876712328766</v>
      </c>
      <c r="N56" s="23">
        <f t="shared" si="51"/>
        <v>2243.2876712328766</v>
      </c>
      <c r="O56" s="23">
        <f t="shared" si="51"/>
        <v>373.88127853881275</v>
      </c>
      <c r="P56" s="23">
        <f t="shared" si="51"/>
        <v>2243.2876712328766</v>
      </c>
      <c r="Q56" s="23">
        <f t="shared" si="51"/>
        <v>2243.2876712328766</v>
      </c>
      <c r="R56" s="23">
        <f t="shared" si="51"/>
        <v>2243.2876712328766</v>
      </c>
      <c r="S56" s="23">
        <f t="shared" si="51"/>
        <v>2243.2876712328766</v>
      </c>
      <c r="T56" s="23">
        <f t="shared" si="51"/>
        <v>2243.2876712328766</v>
      </c>
      <c r="U56" s="23">
        <f t="shared" si="51"/>
        <v>2243.2876712328766</v>
      </c>
      <c r="V56" s="23">
        <f t="shared" si="51"/>
        <v>2243.2876712328766</v>
      </c>
      <c r="W56" s="23">
        <f t="shared" si="51"/>
        <v>2243.2876712328766</v>
      </c>
      <c r="X56" s="23">
        <f t="shared" si="51"/>
        <v>2243.2876712328766</v>
      </c>
      <c r="Y56" s="23">
        <f t="shared" si="51"/>
        <v>2243.2876712328766</v>
      </c>
      <c r="Z56" s="23">
        <f t="shared" si="51"/>
        <v>2243.2876712328766</v>
      </c>
      <c r="AA56" s="23">
        <f t="shared" si="51"/>
        <v>2243.2876712328766</v>
      </c>
      <c r="AB56" s="23">
        <f t="shared" si="51"/>
        <v>2243.2876712328766</v>
      </c>
    </row>
    <row r="57" spans="1:28" ht="15.75" customHeight="1" x14ac:dyDescent="0.3">
      <c r="A57" s="12">
        <f>RAW!$A$17</f>
        <v>1638000</v>
      </c>
      <c r="B57" s="2"/>
      <c r="C57" s="24" t="s">
        <v>30</v>
      </c>
      <c r="D57" s="23">
        <f t="shared" si="40"/>
        <v>4487.6712328767126</v>
      </c>
      <c r="E57" s="2"/>
      <c r="F57" s="24" t="s">
        <v>30</v>
      </c>
      <c r="G57" s="23">
        <f t="shared" ref="G57:AB57" si="52">($A57/G$5)/365</f>
        <v>4487.6712328767126</v>
      </c>
      <c r="H57" s="23">
        <f t="shared" si="52"/>
        <v>4487.6712328767126</v>
      </c>
      <c r="I57" s="23">
        <f t="shared" si="52"/>
        <v>4487.6712328767126</v>
      </c>
      <c r="J57" s="23">
        <f t="shared" si="52"/>
        <v>4487.6712328767126</v>
      </c>
      <c r="K57" s="23">
        <f t="shared" si="52"/>
        <v>4487.6712328767126</v>
      </c>
      <c r="L57" s="23">
        <f t="shared" si="52"/>
        <v>4487.6712328767126</v>
      </c>
      <c r="M57" s="23">
        <f t="shared" si="52"/>
        <v>4487.6712328767126</v>
      </c>
      <c r="N57" s="23">
        <f t="shared" si="52"/>
        <v>4487.6712328767126</v>
      </c>
      <c r="O57" s="23">
        <f t="shared" si="52"/>
        <v>747.94520547945206</v>
      </c>
      <c r="P57" s="23">
        <f t="shared" si="52"/>
        <v>4487.6712328767126</v>
      </c>
      <c r="Q57" s="23">
        <f t="shared" si="52"/>
        <v>4487.6712328767126</v>
      </c>
      <c r="R57" s="23">
        <f t="shared" si="52"/>
        <v>4487.6712328767126</v>
      </c>
      <c r="S57" s="23">
        <f t="shared" si="52"/>
        <v>4487.6712328767126</v>
      </c>
      <c r="T57" s="23">
        <f t="shared" si="52"/>
        <v>4487.6712328767126</v>
      </c>
      <c r="U57" s="23">
        <f t="shared" si="52"/>
        <v>4487.6712328767126</v>
      </c>
      <c r="V57" s="23">
        <f t="shared" si="52"/>
        <v>4487.6712328767126</v>
      </c>
      <c r="W57" s="23">
        <f t="shared" si="52"/>
        <v>4487.6712328767126</v>
      </c>
      <c r="X57" s="23">
        <f t="shared" si="52"/>
        <v>4487.6712328767126</v>
      </c>
      <c r="Y57" s="23">
        <f t="shared" si="52"/>
        <v>4487.6712328767126</v>
      </c>
      <c r="Z57" s="23">
        <f t="shared" si="52"/>
        <v>4487.6712328767126</v>
      </c>
      <c r="AA57" s="23">
        <f t="shared" si="52"/>
        <v>4487.6712328767126</v>
      </c>
      <c r="AB57" s="23">
        <f t="shared" si="52"/>
        <v>4487.6712328767126</v>
      </c>
    </row>
    <row r="58" spans="1:28" ht="15.75" customHeight="1" x14ac:dyDescent="0.3">
      <c r="A58" s="12">
        <f>RAW!$A$18</f>
        <v>3276400</v>
      </c>
      <c r="B58" s="2"/>
      <c r="C58" s="24" t="s">
        <v>31</v>
      </c>
      <c r="D58" s="23">
        <f t="shared" si="40"/>
        <v>8976.4383561643845</v>
      </c>
      <c r="E58" s="2"/>
      <c r="F58" s="24" t="s">
        <v>31</v>
      </c>
      <c r="G58" s="23">
        <f t="shared" ref="G58:AB58" si="53">($A58/G$5)/365</f>
        <v>8976.4383561643845</v>
      </c>
      <c r="H58" s="23">
        <f t="shared" si="53"/>
        <v>8976.4383561643845</v>
      </c>
      <c r="I58" s="23">
        <f t="shared" si="53"/>
        <v>8976.4383561643845</v>
      </c>
      <c r="J58" s="23">
        <f t="shared" si="53"/>
        <v>8976.4383561643845</v>
      </c>
      <c r="K58" s="23">
        <f t="shared" si="53"/>
        <v>8976.4383561643845</v>
      </c>
      <c r="L58" s="23">
        <f t="shared" si="53"/>
        <v>8976.4383561643845</v>
      </c>
      <c r="M58" s="23">
        <f t="shared" si="53"/>
        <v>8976.4383561643845</v>
      </c>
      <c r="N58" s="23">
        <f t="shared" si="53"/>
        <v>8976.4383561643845</v>
      </c>
      <c r="O58" s="23">
        <f t="shared" si="53"/>
        <v>1496.0730593607304</v>
      </c>
      <c r="P58" s="23">
        <f t="shared" si="53"/>
        <v>8976.4383561643845</v>
      </c>
      <c r="Q58" s="23">
        <f t="shared" si="53"/>
        <v>8976.4383561643845</v>
      </c>
      <c r="R58" s="23">
        <f t="shared" si="53"/>
        <v>8976.4383561643845</v>
      </c>
      <c r="S58" s="23">
        <f t="shared" si="53"/>
        <v>8976.4383561643845</v>
      </c>
      <c r="T58" s="23">
        <f t="shared" si="53"/>
        <v>8976.4383561643845</v>
      </c>
      <c r="U58" s="23">
        <f t="shared" si="53"/>
        <v>8976.4383561643845</v>
      </c>
      <c r="V58" s="23">
        <f t="shared" si="53"/>
        <v>8976.4383561643845</v>
      </c>
      <c r="W58" s="23">
        <f t="shared" si="53"/>
        <v>8976.4383561643845</v>
      </c>
      <c r="X58" s="23">
        <f t="shared" si="53"/>
        <v>8976.4383561643845</v>
      </c>
      <c r="Y58" s="23">
        <f t="shared" si="53"/>
        <v>8976.4383561643845</v>
      </c>
      <c r="Z58" s="23">
        <f t="shared" si="53"/>
        <v>8976.4383561643845</v>
      </c>
      <c r="AA58" s="23">
        <f t="shared" si="53"/>
        <v>8976.4383561643845</v>
      </c>
      <c r="AB58" s="23">
        <f t="shared" si="53"/>
        <v>8976.4383561643845</v>
      </c>
    </row>
    <row r="59" spans="1:28" ht="15.75" customHeight="1" x14ac:dyDescent="0.3">
      <c r="A59" s="12">
        <f>RAW!$A$19</f>
        <v>6553200</v>
      </c>
      <c r="B59" s="2"/>
      <c r="C59" s="24" t="s">
        <v>32</v>
      </c>
      <c r="D59" s="23">
        <f t="shared" si="40"/>
        <v>17953.972602739726</v>
      </c>
      <c r="E59" s="2"/>
      <c r="F59" s="24" t="s">
        <v>32</v>
      </c>
      <c r="G59" s="23">
        <f t="shared" ref="G59:AB59" si="54">($A59/G$5)/365</f>
        <v>17953.972602739726</v>
      </c>
      <c r="H59" s="23">
        <f t="shared" si="54"/>
        <v>17953.972602739726</v>
      </c>
      <c r="I59" s="23">
        <f t="shared" si="54"/>
        <v>17953.972602739726</v>
      </c>
      <c r="J59" s="23">
        <f t="shared" si="54"/>
        <v>17953.972602739726</v>
      </c>
      <c r="K59" s="23">
        <f t="shared" si="54"/>
        <v>17953.972602739726</v>
      </c>
      <c r="L59" s="23">
        <f t="shared" si="54"/>
        <v>17953.972602739726</v>
      </c>
      <c r="M59" s="23">
        <f t="shared" si="54"/>
        <v>17953.972602739726</v>
      </c>
      <c r="N59" s="23">
        <f t="shared" si="54"/>
        <v>17953.972602739726</v>
      </c>
      <c r="O59" s="23">
        <f t="shared" si="54"/>
        <v>2992.3287671232879</v>
      </c>
      <c r="P59" s="23">
        <f t="shared" si="54"/>
        <v>17953.972602739726</v>
      </c>
      <c r="Q59" s="23">
        <f t="shared" si="54"/>
        <v>17953.972602739726</v>
      </c>
      <c r="R59" s="23">
        <f t="shared" si="54"/>
        <v>17953.972602739726</v>
      </c>
      <c r="S59" s="23">
        <f t="shared" si="54"/>
        <v>17953.972602739726</v>
      </c>
      <c r="T59" s="23">
        <f t="shared" si="54"/>
        <v>17953.972602739726</v>
      </c>
      <c r="U59" s="23">
        <f t="shared" si="54"/>
        <v>17953.972602739726</v>
      </c>
      <c r="V59" s="23">
        <f t="shared" si="54"/>
        <v>17953.972602739726</v>
      </c>
      <c r="W59" s="23">
        <f t="shared" si="54"/>
        <v>17953.972602739726</v>
      </c>
      <c r="X59" s="23">
        <f t="shared" si="54"/>
        <v>17953.972602739726</v>
      </c>
      <c r="Y59" s="23">
        <f t="shared" si="54"/>
        <v>17953.972602739726</v>
      </c>
      <c r="Z59" s="23">
        <f t="shared" si="54"/>
        <v>17953.972602739726</v>
      </c>
      <c r="AA59" s="23">
        <f t="shared" si="54"/>
        <v>17953.972602739726</v>
      </c>
      <c r="AB59" s="23">
        <f t="shared" si="54"/>
        <v>17953.972602739726</v>
      </c>
    </row>
    <row r="60" spans="1:28" ht="15.75" customHeight="1" x14ac:dyDescent="0.3">
      <c r="A60" s="12">
        <f>RAW!$A$20</f>
        <v>13106800</v>
      </c>
      <c r="B60" s="2"/>
      <c r="C60" s="24" t="s">
        <v>33</v>
      </c>
      <c r="D60" s="23">
        <f t="shared" si="40"/>
        <v>35909.04109589041</v>
      </c>
      <c r="E60" s="2"/>
      <c r="F60" s="24" t="s">
        <v>33</v>
      </c>
      <c r="G60" s="23">
        <f t="shared" ref="G60:AB60" si="55">($A60/G$5)/365</f>
        <v>35909.04109589041</v>
      </c>
      <c r="H60" s="23">
        <f t="shared" si="55"/>
        <v>35909.04109589041</v>
      </c>
      <c r="I60" s="23">
        <f t="shared" si="55"/>
        <v>35909.04109589041</v>
      </c>
      <c r="J60" s="23">
        <f t="shared" si="55"/>
        <v>35909.04109589041</v>
      </c>
      <c r="K60" s="23">
        <f t="shared" si="55"/>
        <v>35909.04109589041</v>
      </c>
      <c r="L60" s="23">
        <f t="shared" si="55"/>
        <v>35909.04109589041</v>
      </c>
      <c r="M60" s="23">
        <f t="shared" si="55"/>
        <v>35909.04109589041</v>
      </c>
      <c r="N60" s="23">
        <f t="shared" si="55"/>
        <v>35909.04109589041</v>
      </c>
      <c r="O60" s="23">
        <f t="shared" si="55"/>
        <v>5984.8401826484014</v>
      </c>
      <c r="P60" s="23">
        <f t="shared" si="55"/>
        <v>35909.04109589041</v>
      </c>
      <c r="Q60" s="23">
        <f t="shared" si="55"/>
        <v>35909.04109589041</v>
      </c>
      <c r="R60" s="23">
        <f t="shared" si="55"/>
        <v>35909.04109589041</v>
      </c>
      <c r="S60" s="23">
        <f t="shared" si="55"/>
        <v>35909.04109589041</v>
      </c>
      <c r="T60" s="23">
        <f t="shared" si="55"/>
        <v>35909.04109589041</v>
      </c>
      <c r="U60" s="23">
        <f t="shared" si="55"/>
        <v>35909.04109589041</v>
      </c>
      <c r="V60" s="23">
        <f t="shared" si="55"/>
        <v>35909.04109589041</v>
      </c>
      <c r="W60" s="23">
        <f t="shared" si="55"/>
        <v>35909.04109589041</v>
      </c>
      <c r="X60" s="23">
        <f t="shared" si="55"/>
        <v>35909.04109589041</v>
      </c>
      <c r="Y60" s="23">
        <f t="shared" si="55"/>
        <v>35909.04109589041</v>
      </c>
      <c r="Z60" s="23">
        <f t="shared" si="55"/>
        <v>35909.04109589041</v>
      </c>
      <c r="AA60" s="23">
        <f t="shared" si="55"/>
        <v>35909.04109589041</v>
      </c>
      <c r="AB60" s="23">
        <f t="shared" si="55"/>
        <v>35909.04109589041</v>
      </c>
    </row>
    <row r="61" spans="1:28" ht="15.75" customHeight="1" x14ac:dyDescent="0.3">
      <c r="A61" s="12">
        <f>RAW!$A$21</f>
        <v>26214000</v>
      </c>
      <c r="B61" s="2"/>
      <c r="C61" s="24" t="s">
        <v>34</v>
      </c>
      <c r="D61" s="23">
        <f t="shared" si="40"/>
        <v>71819.178082191778</v>
      </c>
      <c r="E61" s="2"/>
      <c r="F61" s="24" t="s">
        <v>34</v>
      </c>
      <c r="G61" s="23">
        <f t="shared" ref="G61:AB61" si="56">($A61/G$5)/365</f>
        <v>71819.178082191778</v>
      </c>
      <c r="H61" s="23">
        <f t="shared" si="56"/>
        <v>71819.178082191778</v>
      </c>
      <c r="I61" s="23">
        <f t="shared" si="56"/>
        <v>71819.178082191778</v>
      </c>
      <c r="J61" s="23">
        <f t="shared" si="56"/>
        <v>71819.178082191778</v>
      </c>
      <c r="K61" s="23">
        <f t="shared" si="56"/>
        <v>71819.178082191778</v>
      </c>
      <c r="L61" s="23">
        <f t="shared" si="56"/>
        <v>71819.178082191778</v>
      </c>
      <c r="M61" s="23">
        <f t="shared" si="56"/>
        <v>71819.178082191778</v>
      </c>
      <c r="N61" s="23">
        <f t="shared" si="56"/>
        <v>71819.178082191778</v>
      </c>
      <c r="O61" s="23">
        <f t="shared" si="56"/>
        <v>11969.86301369863</v>
      </c>
      <c r="P61" s="23">
        <f t="shared" si="56"/>
        <v>71819.178082191778</v>
      </c>
      <c r="Q61" s="23">
        <f t="shared" si="56"/>
        <v>71819.178082191778</v>
      </c>
      <c r="R61" s="23">
        <f t="shared" si="56"/>
        <v>71819.178082191778</v>
      </c>
      <c r="S61" s="23">
        <f t="shared" si="56"/>
        <v>71819.178082191778</v>
      </c>
      <c r="T61" s="23">
        <f t="shared" si="56"/>
        <v>71819.178082191778</v>
      </c>
      <c r="U61" s="23">
        <f t="shared" si="56"/>
        <v>71819.178082191778</v>
      </c>
      <c r="V61" s="23">
        <f t="shared" si="56"/>
        <v>71819.178082191778</v>
      </c>
      <c r="W61" s="23">
        <f t="shared" si="56"/>
        <v>71819.178082191778</v>
      </c>
      <c r="X61" s="23">
        <f t="shared" si="56"/>
        <v>71819.178082191778</v>
      </c>
      <c r="Y61" s="23">
        <f t="shared" si="56"/>
        <v>71819.178082191778</v>
      </c>
      <c r="Z61" s="23">
        <f t="shared" si="56"/>
        <v>71819.178082191778</v>
      </c>
      <c r="AA61" s="23">
        <f t="shared" si="56"/>
        <v>71819.178082191778</v>
      </c>
      <c r="AB61" s="23">
        <f t="shared" si="56"/>
        <v>71819.178082191778</v>
      </c>
    </row>
    <row r="62" spans="1:28" ht="15.75" customHeight="1" x14ac:dyDescent="0.3">
      <c r="A62" s="12">
        <f>RAW!$A$22</f>
        <v>52428400</v>
      </c>
      <c r="B62" s="2"/>
      <c r="C62" s="24" t="s">
        <v>35</v>
      </c>
      <c r="D62" s="23">
        <f t="shared" si="40"/>
        <v>143639.45205479453</v>
      </c>
      <c r="E62" s="2"/>
      <c r="F62" s="24" t="s">
        <v>35</v>
      </c>
      <c r="G62" s="23">
        <f t="shared" ref="G62:AB62" si="57">($A62/G$5)/365</f>
        <v>143639.45205479453</v>
      </c>
      <c r="H62" s="23">
        <f t="shared" si="57"/>
        <v>143639.45205479453</v>
      </c>
      <c r="I62" s="23">
        <f t="shared" si="57"/>
        <v>143639.45205479453</v>
      </c>
      <c r="J62" s="23">
        <f t="shared" si="57"/>
        <v>143639.45205479453</v>
      </c>
      <c r="K62" s="23">
        <f t="shared" si="57"/>
        <v>143639.45205479453</v>
      </c>
      <c r="L62" s="23">
        <f t="shared" si="57"/>
        <v>143639.45205479453</v>
      </c>
      <c r="M62" s="23">
        <f t="shared" si="57"/>
        <v>143639.45205479453</v>
      </c>
      <c r="N62" s="23">
        <f t="shared" si="57"/>
        <v>143639.45205479453</v>
      </c>
      <c r="O62" s="23">
        <f t="shared" si="57"/>
        <v>23939.908675799084</v>
      </c>
      <c r="P62" s="23">
        <f t="shared" si="57"/>
        <v>143639.45205479453</v>
      </c>
      <c r="Q62" s="23">
        <f t="shared" si="57"/>
        <v>143639.45205479453</v>
      </c>
      <c r="R62" s="23">
        <f t="shared" si="57"/>
        <v>143639.45205479453</v>
      </c>
      <c r="S62" s="23">
        <f t="shared" si="57"/>
        <v>143639.45205479453</v>
      </c>
      <c r="T62" s="23">
        <f t="shared" si="57"/>
        <v>143639.45205479453</v>
      </c>
      <c r="U62" s="23">
        <f t="shared" si="57"/>
        <v>143639.45205479453</v>
      </c>
      <c r="V62" s="23">
        <f t="shared" si="57"/>
        <v>143639.45205479453</v>
      </c>
      <c r="W62" s="23">
        <f t="shared" si="57"/>
        <v>143639.45205479453</v>
      </c>
      <c r="X62" s="23">
        <f t="shared" si="57"/>
        <v>143639.45205479453</v>
      </c>
      <c r="Y62" s="23">
        <f t="shared" si="57"/>
        <v>143639.45205479453</v>
      </c>
      <c r="Z62" s="23">
        <f t="shared" si="57"/>
        <v>143639.45205479453</v>
      </c>
      <c r="AA62" s="23">
        <f t="shared" si="57"/>
        <v>143639.45205479453</v>
      </c>
      <c r="AB62" s="23">
        <f t="shared" si="57"/>
        <v>143639.45205479453</v>
      </c>
    </row>
    <row r="63" spans="1:28" ht="15.75" customHeight="1" x14ac:dyDescent="0.3">
      <c r="B63" s="2"/>
      <c r="E63" s="2"/>
    </row>
    <row r="64" spans="1:28" ht="15.75" customHeight="1" x14ac:dyDescent="0.3">
      <c r="B64" s="2"/>
      <c r="E64" s="2"/>
    </row>
    <row r="65" spans="2:5" ht="15.75" customHeight="1" x14ac:dyDescent="0.3">
      <c r="B65" s="2"/>
      <c r="E65" s="2"/>
    </row>
    <row r="66" spans="2:5" ht="15.75" customHeight="1" x14ac:dyDescent="0.3">
      <c r="B66" s="2"/>
      <c r="E66" s="2"/>
    </row>
    <row r="67" spans="2:5" ht="15.75" customHeight="1" x14ac:dyDescent="0.3">
      <c r="B67" s="2"/>
      <c r="E67" s="2"/>
    </row>
    <row r="68" spans="2:5" ht="15.75" customHeight="1" x14ac:dyDescent="0.3">
      <c r="B68" s="2"/>
      <c r="E68" s="2"/>
    </row>
    <row r="69" spans="2:5" ht="15.75" customHeight="1" x14ac:dyDescent="0.3">
      <c r="B69" s="2"/>
      <c r="E69" s="2"/>
    </row>
    <row r="70" spans="2:5" ht="15.75" customHeight="1" x14ac:dyDescent="0.3">
      <c r="B70" s="2"/>
      <c r="E70" s="2"/>
    </row>
    <row r="71" spans="2:5" ht="15.75" customHeight="1" x14ac:dyDescent="0.3">
      <c r="B71" s="2"/>
      <c r="E71" s="2"/>
    </row>
    <row r="72" spans="2:5" ht="15.75" customHeight="1" x14ac:dyDescent="0.3">
      <c r="B72" s="2"/>
      <c r="E72" s="2"/>
    </row>
    <row r="73" spans="2:5" ht="15.75" customHeight="1" x14ac:dyDescent="0.3">
      <c r="B73" s="2"/>
      <c r="E73" s="2"/>
    </row>
    <row r="74" spans="2:5" ht="15.75" customHeight="1" x14ac:dyDescent="0.3">
      <c r="B74" s="2"/>
      <c r="E74" s="2"/>
    </row>
    <row r="75" spans="2:5" ht="15.75" customHeight="1" x14ac:dyDescent="0.3">
      <c r="B75" s="2"/>
      <c r="E75" s="2"/>
    </row>
    <row r="76" spans="2:5" ht="15.75" customHeight="1" x14ac:dyDescent="0.3">
      <c r="B76" s="2"/>
      <c r="E76" s="2"/>
    </row>
    <row r="77" spans="2:5" ht="15.75" customHeight="1" x14ac:dyDescent="0.3">
      <c r="B77" s="2"/>
      <c r="E77" s="2"/>
    </row>
    <row r="78" spans="2:5" ht="15.75" customHeight="1" x14ac:dyDescent="0.3">
      <c r="B78" s="2"/>
      <c r="E78" s="2"/>
    </row>
    <row r="79" spans="2:5" ht="15.75" customHeight="1" x14ac:dyDescent="0.3">
      <c r="B79" s="2"/>
      <c r="E79" s="2"/>
    </row>
    <row r="80" spans="2:5" ht="15.75" customHeight="1" x14ac:dyDescent="0.3">
      <c r="B80" s="2"/>
      <c r="E80" s="2"/>
    </row>
    <row r="81" spans="2:5" ht="15.75" customHeight="1" x14ac:dyDescent="0.3">
      <c r="B81" s="2"/>
      <c r="E81" s="2"/>
    </row>
    <row r="82" spans="2:5" ht="15.75" customHeight="1" x14ac:dyDescent="0.3">
      <c r="B82" s="2"/>
      <c r="E82" s="2"/>
    </row>
    <row r="83" spans="2:5" ht="15.75" customHeight="1" x14ac:dyDescent="0.3">
      <c r="B83" s="2"/>
      <c r="E83" s="2"/>
    </row>
    <row r="84" spans="2:5" ht="15.75" customHeight="1" x14ac:dyDescent="0.3">
      <c r="B84" s="2"/>
      <c r="E84" s="2"/>
    </row>
    <row r="85" spans="2:5" ht="15.75" customHeight="1" x14ac:dyDescent="0.3">
      <c r="B85" s="2"/>
      <c r="E85" s="2"/>
    </row>
    <row r="86" spans="2:5" ht="15.75" customHeight="1" x14ac:dyDescent="0.3">
      <c r="B86" s="2"/>
      <c r="E86" s="2"/>
    </row>
    <row r="87" spans="2:5" ht="15.75" customHeight="1" x14ac:dyDescent="0.3">
      <c r="B87" s="2"/>
      <c r="E87" s="2"/>
    </row>
    <row r="88" spans="2:5" ht="15.75" customHeight="1" x14ac:dyDescent="0.3">
      <c r="B88" s="2"/>
      <c r="E88" s="2"/>
    </row>
    <row r="89" spans="2:5" ht="15.75" customHeight="1" x14ac:dyDescent="0.3">
      <c r="B89" s="2"/>
      <c r="E89" s="2"/>
    </row>
    <row r="90" spans="2:5" ht="15.75" customHeight="1" x14ac:dyDescent="0.3">
      <c r="B90" s="2"/>
      <c r="E90" s="2"/>
    </row>
    <row r="91" spans="2:5" ht="15.75" customHeight="1" x14ac:dyDescent="0.3">
      <c r="B91" s="2"/>
      <c r="E91" s="2"/>
    </row>
    <row r="92" spans="2:5" ht="15.75" customHeight="1" x14ac:dyDescent="0.3">
      <c r="B92" s="2"/>
      <c r="E92" s="2"/>
    </row>
    <row r="93" spans="2:5" ht="15.75" customHeight="1" x14ac:dyDescent="0.3">
      <c r="B93" s="2"/>
      <c r="E93" s="2"/>
    </row>
    <row r="94" spans="2:5" ht="15.75" customHeight="1" x14ac:dyDescent="0.3">
      <c r="B94" s="2"/>
      <c r="E94" s="2"/>
    </row>
    <row r="95" spans="2:5" ht="15.75" customHeight="1" x14ac:dyDescent="0.3">
      <c r="B95" s="2"/>
      <c r="E95" s="2"/>
    </row>
    <row r="96" spans="2:5" ht="15.75" customHeight="1" x14ac:dyDescent="0.3">
      <c r="B96" s="2"/>
      <c r="E96" s="2"/>
    </row>
    <row r="97" spans="2:5" ht="15.75" customHeight="1" x14ac:dyDescent="0.3">
      <c r="B97" s="2"/>
      <c r="E97" s="2"/>
    </row>
    <row r="98" spans="2:5" ht="15.75" customHeight="1" x14ac:dyDescent="0.3">
      <c r="B98" s="2"/>
      <c r="E98" s="2"/>
    </row>
    <row r="99" spans="2:5" ht="15.75" customHeight="1" x14ac:dyDescent="0.3">
      <c r="B99" s="2"/>
      <c r="E99" s="2"/>
    </row>
    <row r="100" spans="2:5" ht="15.75" customHeight="1" x14ac:dyDescent="0.3">
      <c r="B100" s="2"/>
      <c r="E100" s="2"/>
    </row>
    <row r="101" spans="2:5" ht="15.75" customHeight="1" x14ac:dyDescent="0.3">
      <c r="B101" s="2"/>
      <c r="E101" s="2"/>
    </row>
    <row r="102" spans="2:5" ht="15.75" customHeight="1" x14ac:dyDescent="0.3">
      <c r="B102" s="2"/>
      <c r="E102" s="2"/>
    </row>
    <row r="103" spans="2:5" ht="15.75" customHeight="1" x14ac:dyDescent="0.3">
      <c r="B103" s="2"/>
      <c r="E103" s="2"/>
    </row>
    <row r="104" spans="2:5" ht="15.75" customHeight="1" x14ac:dyDescent="0.3">
      <c r="B104" s="2"/>
      <c r="E104" s="2"/>
    </row>
    <row r="105" spans="2:5" ht="15.75" customHeight="1" x14ac:dyDescent="0.3">
      <c r="B105" s="2"/>
      <c r="E105" s="2"/>
    </row>
    <row r="106" spans="2:5" ht="15.75" customHeight="1" x14ac:dyDescent="0.3">
      <c r="B106" s="2"/>
      <c r="E106" s="2"/>
    </row>
    <row r="107" spans="2:5" ht="15.75" customHeight="1" x14ac:dyDescent="0.3">
      <c r="B107" s="2"/>
      <c r="E107" s="2"/>
    </row>
    <row r="108" spans="2:5" ht="15.75" customHeight="1" x14ac:dyDescent="0.3">
      <c r="B108" s="2"/>
      <c r="E108" s="2"/>
    </row>
    <row r="109" spans="2:5" ht="15.75" customHeight="1" x14ac:dyDescent="0.3">
      <c r="B109" s="2"/>
      <c r="E109" s="2"/>
    </row>
    <row r="110" spans="2:5" ht="15.75" customHeight="1" x14ac:dyDescent="0.3">
      <c r="B110" s="2"/>
      <c r="E110" s="2"/>
    </row>
    <row r="111" spans="2:5" ht="15.75" customHeight="1" x14ac:dyDescent="0.3">
      <c r="B111" s="2"/>
      <c r="E111" s="2"/>
    </row>
    <row r="112" spans="2:5" ht="15.75" customHeight="1" x14ac:dyDescent="0.3">
      <c r="B112" s="2"/>
      <c r="E112" s="2"/>
    </row>
    <row r="113" spans="2:5" ht="15.75" customHeight="1" x14ac:dyDescent="0.3">
      <c r="B113" s="2"/>
      <c r="E113" s="2"/>
    </row>
    <row r="114" spans="2:5" ht="15.75" customHeight="1" x14ac:dyDescent="0.3">
      <c r="B114" s="2"/>
      <c r="E114" s="2"/>
    </row>
    <row r="115" spans="2:5" ht="15.75" customHeight="1" x14ac:dyDescent="0.3">
      <c r="B115" s="2"/>
      <c r="E115" s="2"/>
    </row>
    <row r="116" spans="2:5" ht="15.75" customHeight="1" x14ac:dyDescent="0.3">
      <c r="B116" s="2"/>
      <c r="E116" s="2"/>
    </row>
    <row r="117" spans="2:5" ht="15.75" customHeight="1" x14ac:dyDescent="0.3">
      <c r="B117" s="2"/>
      <c r="E117" s="2"/>
    </row>
    <row r="118" spans="2:5" ht="15.75" customHeight="1" x14ac:dyDescent="0.3">
      <c r="B118" s="2"/>
      <c r="E118" s="2"/>
    </row>
    <row r="119" spans="2:5" ht="15.75" customHeight="1" x14ac:dyDescent="0.3">
      <c r="B119" s="2"/>
      <c r="E119" s="2"/>
    </row>
    <row r="120" spans="2:5" ht="15.75" customHeight="1" x14ac:dyDescent="0.3">
      <c r="B120" s="2"/>
      <c r="E120" s="2"/>
    </row>
    <row r="121" spans="2:5" ht="15.75" customHeight="1" x14ac:dyDescent="0.3">
      <c r="B121" s="2"/>
      <c r="E121" s="2"/>
    </row>
    <row r="122" spans="2:5" ht="15.75" customHeight="1" x14ac:dyDescent="0.3">
      <c r="B122" s="2"/>
      <c r="E122" s="2"/>
    </row>
    <row r="123" spans="2:5" ht="15.75" customHeight="1" x14ac:dyDescent="0.3">
      <c r="B123" s="2"/>
      <c r="E123" s="2"/>
    </row>
    <row r="124" spans="2:5" ht="15.75" customHeight="1" x14ac:dyDescent="0.3">
      <c r="B124" s="2"/>
      <c r="E124" s="2"/>
    </row>
    <row r="125" spans="2:5" ht="15.75" customHeight="1" x14ac:dyDescent="0.3">
      <c r="B125" s="2"/>
      <c r="E125" s="2"/>
    </row>
    <row r="126" spans="2:5" ht="15.75" customHeight="1" x14ac:dyDescent="0.3">
      <c r="B126" s="2"/>
      <c r="E126" s="2"/>
    </row>
    <row r="127" spans="2:5" ht="15.75" customHeight="1" x14ac:dyDescent="0.3">
      <c r="B127" s="2"/>
      <c r="E127" s="2"/>
    </row>
    <row r="128" spans="2:5" ht="15.75" customHeight="1" x14ac:dyDescent="0.3">
      <c r="B128" s="2"/>
      <c r="E128" s="2"/>
    </row>
    <row r="129" spans="2:5" ht="15.75" customHeight="1" x14ac:dyDescent="0.3">
      <c r="B129" s="2"/>
      <c r="E129" s="2"/>
    </row>
    <row r="130" spans="2:5" ht="15.75" customHeight="1" x14ac:dyDescent="0.3">
      <c r="B130" s="2"/>
      <c r="E130" s="2"/>
    </row>
    <row r="131" spans="2:5" ht="15.75" customHeight="1" x14ac:dyDescent="0.3">
      <c r="B131" s="2"/>
      <c r="E131" s="2"/>
    </row>
    <row r="132" spans="2:5" ht="15.75" customHeight="1" x14ac:dyDescent="0.3">
      <c r="B132" s="2"/>
      <c r="E132" s="2"/>
    </row>
    <row r="133" spans="2:5" ht="15.75" customHeight="1" x14ac:dyDescent="0.3">
      <c r="B133" s="2"/>
      <c r="E133" s="2"/>
    </row>
    <row r="134" spans="2:5" ht="15.75" customHeight="1" x14ac:dyDescent="0.3">
      <c r="B134" s="2"/>
      <c r="E134" s="2"/>
    </row>
    <row r="135" spans="2:5" ht="15.75" customHeight="1" x14ac:dyDescent="0.3">
      <c r="B135" s="2"/>
      <c r="E135" s="2"/>
    </row>
    <row r="136" spans="2:5" ht="15.75" customHeight="1" x14ac:dyDescent="0.3">
      <c r="B136" s="2"/>
      <c r="E136" s="2"/>
    </row>
    <row r="137" spans="2:5" ht="15.75" customHeight="1" x14ac:dyDescent="0.3">
      <c r="B137" s="2"/>
      <c r="E137" s="2"/>
    </row>
    <row r="138" spans="2:5" ht="15.75" customHeight="1" x14ac:dyDescent="0.3">
      <c r="B138" s="2"/>
      <c r="E138" s="2"/>
    </row>
    <row r="139" spans="2:5" ht="15.75" customHeight="1" x14ac:dyDescent="0.3">
      <c r="B139" s="2"/>
      <c r="E139" s="2"/>
    </row>
    <row r="140" spans="2:5" ht="15.75" customHeight="1" x14ac:dyDescent="0.3">
      <c r="B140" s="2"/>
      <c r="E140" s="2"/>
    </row>
    <row r="141" spans="2:5" ht="15.75" customHeight="1" x14ac:dyDescent="0.3">
      <c r="B141" s="2"/>
      <c r="E141" s="2"/>
    </row>
    <row r="142" spans="2:5" ht="15.75" customHeight="1" x14ac:dyDescent="0.3">
      <c r="B142" s="2"/>
      <c r="E142" s="2"/>
    </row>
    <row r="143" spans="2:5" ht="15.75" customHeight="1" x14ac:dyDescent="0.3">
      <c r="B143" s="2"/>
      <c r="E143" s="2"/>
    </row>
    <row r="144" spans="2:5" ht="15.75" customHeight="1" x14ac:dyDescent="0.3">
      <c r="B144" s="2"/>
      <c r="E144" s="2"/>
    </row>
    <row r="145" spans="2:5" ht="15.75" customHeight="1" x14ac:dyDescent="0.3">
      <c r="B145" s="2"/>
      <c r="E145" s="2"/>
    </row>
    <row r="146" spans="2:5" ht="15.75" customHeight="1" x14ac:dyDescent="0.3">
      <c r="B146" s="2"/>
      <c r="E146" s="2"/>
    </row>
    <row r="147" spans="2:5" ht="15.75" customHeight="1" x14ac:dyDescent="0.3">
      <c r="B147" s="2"/>
      <c r="E147" s="2"/>
    </row>
    <row r="148" spans="2:5" ht="15.75" customHeight="1" x14ac:dyDescent="0.3">
      <c r="B148" s="2"/>
      <c r="E148" s="2"/>
    </row>
    <row r="149" spans="2:5" ht="15.75" customHeight="1" x14ac:dyDescent="0.3">
      <c r="B149" s="2"/>
      <c r="E149" s="2"/>
    </row>
    <row r="150" spans="2:5" ht="15.75" customHeight="1" x14ac:dyDescent="0.3">
      <c r="B150" s="2"/>
      <c r="E150" s="2"/>
    </row>
    <row r="151" spans="2:5" ht="15.75" customHeight="1" x14ac:dyDescent="0.3">
      <c r="B151" s="2"/>
      <c r="E151" s="2"/>
    </row>
    <row r="152" spans="2:5" ht="15.75" customHeight="1" x14ac:dyDescent="0.3">
      <c r="B152" s="2"/>
      <c r="E152" s="2"/>
    </row>
    <row r="153" spans="2:5" ht="15.75" customHeight="1" x14ac:dyDescent="0.3">
      <c r="B153" s="2"/>
      <c r="E153" s="2"/>
    </row>
    <row r="154" spans="2:5" ht="15.75" customHeight="1" x14ac:dyDescent="0.3">
      <c r="B154" s="2"/>
      <c r="E154" s="2"/>
    </row>
    <row r="155" spans="2:5" ht="15.75" customHeight="1" x14ac:dyDescent="0.3">
      <c r="B155" s="2"/>
      <c r="E155" s="2"/>
    </row>
    <row r="156" spans="2:5" ht="15.75" customHeight="1" x14ac:dyDescent="0.3">
      <c r="B156" s="2"/>
      <c r="E156" s="2"/>
    </row>
    <row r="157" spans="2:5" ht="15.75" customHeight="1" x14ac:dyDescent="0.3">
      <c r="B157" s="2"/>
      <c r="E157" s="2"/>
    </row>
    <row r="158" spans="2:5" ht="15.75" customHeight="1" x14ac:dyDescent="0.3">
      <c r="B158" s="2"/>
      <c r="E158" s="2"/>
    </row>
    <row r="159" spans="2:5" ht="15.75" customHeight="1" x14ac:dyDescent="0.3">
      <c r="B159" s="2"/>
      <c r="E159" s="2"/>
    </row>
    <row r="160" spans="2:5" ht="15.75" customHeight="1" x14ac:dyDescent="0.3">
      <c r="B160" s="2"/>
      <c r="E160" s="2"/>
    </row>
    <row r="161" spans="2:5" ht="15.75" customHeight="1" x14ac:dyDescent="0.3">
      <c r="B161" s="2"/>
      <c r="E161" s="2"/>
    </row>
    <row r="162" spans="2:5" ht="15.75" customHeight="1" x14ac:dyDescent="0.3">
      <c r="B162" s="2"/>
      <c r="E162" s="2"/>
    </row>
    <row r="163" spans="2:5" ht="15.75" customHeight="1" x14ac:dyDescent="0.3">
      <c r="B163" s="2"/>
      <c r="E163" s="2"/>
    </row>
    <row r="164" spans="2:5" ht="15.75" customHeight="1" x14ac:dyDescent="0.3">
      <c r="B164" s="2"/>
      <c r="E164" s="2"/>
    </row>
    <row r="165" spans="2:5" ht="15.75" customHeight="1" x14ac:dyDescent="0.3">
      <c r="B165" s="2"/>
      <c r="E165" s="2"/>
    </row>
    <row r="166" spans="2:5" ht="15.75" customHeight="1" x14ac:dyDescent="0.3">
      <c r="B166" s="2"/>
      <c r="E166" s="2"/>
    </row>
    <row r="167" spans="2:5" ht="15.75" customHeight="1" x14ac:dyDescent="0.3">
      <c r="B167" s="2"/>
      <c r="E167" s="2"/>
    </row>
    <row r="168" spans="2:5" ht="15.75" customHeight="1" x14ac:dyDescent="0.3">
      <c r="B168" s="2"/>
      <c r="E168" s="2"/>
    </row>
    <row r="169" spans="2:5" ht="15.75" customHeight="1" x14ac:dyDescent="0.3">
      <c r="B169" s="2"/>
      <c r="E169" s="2"/>
    </row>
    <row r="170" spans="2:5" ht="15.75" customHeight="1" x14ac:dyDescent="0.3">
      <c r="B170" s="2"/>
      <c r="E170" s="2"/>
    </row>
    <row r="171" spans="2:5" ht="15.75" customHeight="1" x14ac:dyDescent="0.3">
      <c r="B171" s="2"/>
      <c r="E171" s="2"/>
    </row>
    <row r="172" spans="2:5" ht="15.75" customHeight="1" x14ac:dyDescent="0.3">
      <c r="B172" s="2"/>
      <c r="E172" s="2"/>
    </row>
    <row r="173" spans="2:5" ht="15.75" customHeight="1" x14ac:dyDescent="0.3">
      <c r="B173" s="2"/>
      <c r="E173" s="2"/>
    </row>
    <row r="174" spans="2:5" ht="15.75" customHeight="1" x14ac:dyDescent="0.3">
      <c r="B174" s="2"/>
      <c r="E174" s="2"/>
    </row>
    <row r="175" spans="2:5" ht="15.75" customHeight="1" x14ac:dyDescent="0.3">
      <c r="B175" s="2"/>
      <c r="E175" s="2"/>
    </row>
    <row r="176" spans="2:5" ht="15.75" customHeight="1" x14ac:dyDescent="0.3">
      <c r="B176" s="2"/>
      <c r="E176" s="2"/>
    </row>
    <row r="177" spans="2:5" ht="15.75" customHeight="1" x14ac:dyDescent="0.3">
      <c r="B177" s="2"/>
      <c r="E177" s="2"/>
    </row>
    <row r="178" spans="2:5" ht="15.75" customHeight="1" x14ac:dyDescent="0.3">
      <c r="B178" s="2"/>
      <c r="E178" s="2"/>
    </row>
    <row r="179" spans="2:5" ht="15.75" customHeight="1" x14ac:dyDescent="0.3">
      <c r="B179" s="2"/>
      <c r="E179" s="2"/>
    </row>
    <row r="180" spans="2:5" ht="15.75" customHeight="1" x14ac:dyDescent="0.3">
      <c r="B180" s="2"/>
      <c r="E180" s="2"/>
    </row>
    <row r="181" spans="2:5" ht="15.75" customHeight="1" x14ac:dyDescent="0.3">
      <c r="B181" s="2"/>
      <c r="E181" s="2"/>
    </row>
    <row r="182" spans="2:5" ht="15.75" customHeight="1" x14ac:dyDescent="0.3">
      <c r="B182" s="2"/>
      <c r="E182" s="2"/>
    </row>
    <row r="183" spans="2:5" ht="15.75" customHeight="1" x14ac:dyDescent="0.3">
      <c r="B183" s="2"/>
      <c r="E183" s="2"/>
    </row>
    <row r="184" spans="2:5" ht="15.75" customHeight="1" x14ac:dyDescent="0.3">
      <c r="B184" s="2"/>
      <c r="E184" s="2"/>
    </row>
    <row r="185" spans="2:5" ht="15.75" customHeight="1" x14ac:dyDescent="0.3">
      <c r="B185" s="2"/>
      <c r="E185" s="2"/>
    </row>
    <row r="186" spans="2:5" ht="15.75" customHeight="1" x14ac:dyDescent="0.3">
      <c r="B186" s="2"/>
      <c r="E186" s="2"/>
    </row>
    <row r="187" spans="2:5" ht="15.75" customHeight="1" x14ac:dyDescent="0.3">
      <c r="B187" s="2"/>
      <c r="E187" s="2"/>
    </row>
    <row r="188" spans="2:5" ht="15.75" customHeight="1" x14ac:dyDescent="0.3">
      <c r="B188" s="2"/>
      <c r="E188" s="2"/>
    </row>
    <row r="189" spans="2:5" ht="15.75" customHeight="1" x14ac:dyDescent="0.3">
      <c r="B189" s="2"/>
      <c r="E189" s="2"/>
    </row>
    <row r="190" spans="2:5" ht="15.75" customHeight="1" x14ac:dyDescent="0.3">
      <c r="B190" s="2"/>
      <c r="E190" s="2"/>
    </row>
    <row r="191" spans="2:5" ht="15.75" customHeight="1" x14ac:dyDescent="0.3">
      <c r="B191" s="2"/>
      <c r="E191" s="2"/>
    </row>
    <row r="192" spans="2:5" ht="15.75" customHeight="1" x14ac:dyDescent="0.3">
      <c r="B192" s="2"/>
      <c r="E192" s="2"/>
    </row>
    <row r="193" spans="2:5" ht="15.75" customHeight="1" x14ac:dyDescent="0.3">
      <c r="B193" s="2"/>
      <c r="E193" s="2"/>
    </row>
    <row r="194" spans="2:5" ht="15.75" customHeight="1" x14ac:dyDescent="0.3">
      <c r="B194" s="2"/>
      <c r="E194" s="2"/>
    </row>
    <row r="195" spans="2:5" ht="15.75" customHeight="1" x14ac:dyDescent="0.3">
      <c r="B195" s="2"/>
      <c r="E195" s="2"/>
    </row>
    <row r="196" spans="2:5" ht="15.75" customHeight="1" x14ac:dyDescent="0.3">
      <c r="B196" s="2"/>
      <c r="E196" s="2"/>
    </row>
    <row r="197" spans="2:5" ht="15.75" customHeight="1" x14ac:dyDescent="0.3">
      <c r="B197" s="2"/>
      <c r="E197" s="2"/>
    </row>
    <row r="198" spans="2:5" ht="15.75" customHeight="1" x14ac:dyDescent="0.3">
      <c r="B198" s="2"/>
      <c r="E198" s="2"/>
    </row>
    <row r="199" spans="2:5" ht="15.75" customHeight="1" x14ac:dyDescent="0.3">
      <c r="B199" s="2"/>
      <c r="E199" s="2"/>
    </row>
    <row r="200" spans="2:5" ht="15.75" customHeight="1" x14ac:dyDescent="0.3">
      <c r="B200" s="2"/>
      <c r="E200" s="2"/>
    </row>
    <row r="201" spans="2:5" ht="15.75" customHeight="1" x14ac:dyDescent="0.3">
      <c r="B201" s="2"/>
      <c r="E201" s="2"/>
    </row>
    <row r="202" spans="2:5" ht="15.75" customHeight="1" x14ac:dyDescent="0.3">
      <c r="B202" s="2"/>
      <c r="E202" s="2"/>
    </row>
    <row r="203" spans="2:5" ht="15.75" customHeight="1" x14ac:dyDescent="0.3">
      <c r="B203" s="2"/>
      <c r="E203" s="2"/>
    </row>
    <row r="204" spans="2:5" ht="15.75" customHeight="1" x14ac:dyDescent="0.3">
      <c r="B204" s="2"/>
      <c r="E204" s="2"/>
    </row>
    <row r="205" spans="2:5" ht="15.75" customHeight="1" x14ac:dyDescent="0.3">
      <c r="B205" s="2"/>
      <c r="E205" s="2"/>
    </row>
    <row r="206" spans="2:5" ht="15.75" customHeight="1" x14ac:dyDescent="0.3">
      <c r="B206" s="2"/>
      <c r="E206" s="2"/>
    </row>
    <row r="207" spans="2:5" ht="15.75" customHeight="1" x14ac:dyDescent="0.3">
      <c r="B207" s="2"/>
      <c r="E207" s="2"/>
    </row>
    <row r="208" spans="2:5" ht="15.75" customHeight="1" x14ac:dyDescent="0.3">
      <c r="B208" s="2"/>
      <c r="E208" s="2"/>
    </row>
    <row r="209" spans="2:5" ht="15.75" customHeight="1" x14ac:dyDescent="0.3">
      <c r="B209" s="2"/>
      <c r="E209" s="2"/>
    </row>
    <row r="210" spans="2:5" ht="15.75" customHeight="1" x14ac:dyDescent="0.3">
      <c r="B210" s="2"/>
      <c r="E210" s="2"/>
    </row>
    <row r="211" spans="2:5" ht="15.75" customHeight="1" x14ac:dyDescent="0.3">
      <c r="B211" s="2"/>
      <c r="E211" s="2"/>
    </row>
    <row r="212" spans="2:5" ht="15.75" customHeight="1" x14ac:dyDescent="0.3">
      <c r="B212" s="2"/>
      <c r="E212" s="2"/>
    </row>
    <row r="213" spans="2:5" ht="15.75" customHeight="1" x14ac:dyDescent="0.3">
      <c r="B213" s="2"/>
      <c r="E213" s="2"/>
    </row>
    <row r="214" spans="2:5" ht="15.75" customHeight="1" x14ac:dyDescent="0.3">
      <c r="B214" s="2"/>
      <c r="E214" s="2"/>
    </row>
    <row r="215" spans="2:5" ht="15.75" customHeight="1" x14ac:dyDescent="0.3">
      <c r="B215" s="2"/>
      <c r="E215" s="2"/>
    </row>
    <row r="216" spans="2:5" ht="15.75" customHeight="1" x14ac:dyDescent="0.3">
      <c r="B216" s="2"/>
      <c r="E216" s="2"/>
    </row>
    <row r="217" spans="2:5" ht="15.75" customHeight="1" x14ac:dyDescent="0.3">
      <c r="B217" s="2"/>
      <c r="E217" s="2"/>
    </row>
    <row r="218" spans="2:5" ht="15.75" customHeight="1" x14ac:dyDescent="0.3">
      <c r="B218" s="2"/>
      <c r="E218" s="2"/>
    </row>
    <row r="219" spans="2:5" ht="15.75" customHeight="1" x14ac:dyDescent="0.3">
      <c r="B219" s="2"/>
      <c r="E219" s="2"/>
    </row>
    <row r="220" spans="2:5" ht="15.75" customHeight="1" x14ac:dyDescent="0.3">
      <c r="B220" s="2"/>
      <c r="E220" s="2"/>
    </row>
    <row r="221" spans="2:5" ht="15.75" customHeight="1" x14ac:dyDescent="0.3">
      <c r="B221" s="2"/>
      <c r="E221" s="2"/>
    </row>
    <row r="222" spans="2:5" ht="15.75" customHeight="1" x14ac:dyDescent="0.3">
      <c r="B222" s="2"/>
      <c r="E222" s="2"/>
    </row>
    <row r="223" spans="2:5" ht="15.75" customHeight="1" x14ac:dyDescent="0.3">
      <c r="B223" s="2"/>
      <c r="E223" s="2"/>
    </row>
    <row r="224" spans="2:5" ht="15.75" customHeight="1" x14ac:dyDescent="0.3">
      <c r="B224" s="2"/>
      <c r="E224" s="2"/>
    </row>
    <row r="225" spans="2:5" ht="15.75" customHeight="1" x14ac:dyDescent="0.3">
      <c r="B225" s="2"/>
      <c r="E225" s="2"/>
    </row>
    <row r="226" spans="2:5" ht="15.75" customHeight="1" x14ac:dyDescent="0.3">
      <c r="B226" s="2"/>
      <c r="E226" s="2"/>
    </row>
    <row r="227" spans="2:5" ht="15.75" customHeight="1" x14ac:dyDescent="0.3">
      <c r="B227" s="2"/>
      <c r="E227" s="2"/>
    </row>
    <row r="228" spans="2:5" ht="15.75" customHeight="1" x14ac:dyDescent="0.3">
      <c r="B228" s="2"/>
      <c r="E228" s="2"/>
    </row>
    <row r="229" spans="2:5" ht="15.75" customHeight="1" x14ac:dyDescent="0.3">
      <c r="B229" s="2"/>
      <c r="E229" s="2"/>
    </row>
    <row r="230" spans="2:5" ht="15.75" customHeight="1" x14ac:dyDescent="0.3">
      <c r="B230" s="2"/>
      <c r="E230" s="2"/>
    </row>
    <row r="231" spans="2:5" ht="15.75" customHeight="1" x14ac:dyDescent="0.3">
      <c r="B231" s="2"/>
      <c r="E231" s="2"/>
    </row>
    <row r="232" spans="2:5" ht="15.75" customHeight="1" x14ac:dyDescent="0.3">
      <c r="B232" s="2"/>
      <c r="E232" s="2"/>
    </row>
    <row r="233" spans="2:5" ht="15.75" customHeight="1" x14ac:dyDescent="0.3">
      <c r="B233" s="2"/>
      <c r="E233" s="2"/>
    </row>
    <row r="234" spans="2:5" ht="15.75" customHeight="1" x14ac:dyDescent="0.3">
      <c r="B234" s="2"/>
      <c r="E234" s="2"/>
    </row>
    <row r="235" spans="2:5" ht="15.75" customHeight="1" x14ac:dyDescent="0.3">
      <c r="B235" s="2"/>
      <c r="E235" s="2"/>
    </row>
    <row r="236" spans="2:5" ht="15.75" customHeight="1" x14ac:dyDescent="0.3">
      <c r="B236" s="2"/>
      <c r="E236" s="2"/>
    </row>
    <row r="237" spans="2:5" ht="15.75" customHeight="1" x14ac:dyDescent="0.3">
      <c r="B237" s="2"/>
      <c r="E237" s="2"/>
    </row>
    <row r="238" spans="2:5" ht="15.75" customHeight="1" x14ac:dyDescent="0.3">
      <c r="B238" s="2"/>
      <c r="E238" s="2"/>
    </row>
    <row r="239" spans="2:5" ht="15.75" customHeight="1" x14ac:dyDescent="0.3">
      <c r="B239" s="2"/>
      <c r="E239" s="2"/>
    </row>
    <row r="240" spans="2:5" ht="15.75" customHeight="1" x14ac:dyDescent="0.3">
      <c r="B240" s="2"/>
      <c r="E240" s="2"/>
    </row>
    <row r="241" spans="2:5" ht="15.75" customHeight="1" x14ac:dyDescent="0.3">
      <c r="B241" s="2"/>
      <c r="E241" s="2"/>
    </row>
    <row r="242" spans="2:5" ht="15.75" customHeight="1" x14ac:dyDescent="0.3">
      <c r="B242" s="2"/>
      <c r="E242" s="2"/>
    </row>
    <row r="243" spans="2:5" ht="15.75" customHeight="1" x14ac:dyDescent="0.3">
      <c r="B243" s="2"/>
      <c r="E243" s="2"/>
    </row>
    <row r="244" spans="2:5" ht="15.75" customHeight="1" x14ac:dyDescent="0.3">
      <c r="B244" s="2"/>
      <c r="E244" s="2"/>
    </row>
    <row r="245" spans="2:5" ht="15.75" customHeight="1" x14ac:dyDescent="0.3">
      <c r="B245" s="2"/>
      <c r="E245" s="2"/>
    </row>
    <row r="246" spans="2:5" ht="15.75" customHeight="1" x14ac:dyDescent="0.3">
      <c r="B246" s="2"/>
      <c r="E246" s="2"/>
    </row>
    <row r="247" spans="2:5" ht="15.75" customHeight="1" x14ac:dyDescent="0.3">
      <c r="B247" s="2"/>
      <c r="E247" s="2"/>
    </row>
    <row r="248" spans="2:5" ht="15.75" customHeight="1" x14ac:dyDescent="0.3">
      <c r="B248" s="2"/>
      <c r="E248" s="2"/>
    </row>
    <row r="249" spans="2:5" ht="15.75" customHeight="1" x14ac:dyDescent="0.3">
      <c r="B249" s="2"/>
      <c r="E249" s="2"/>
    </row>
    <row r="250" spans="2:5" ht="15.75" customHeight="1" x14ac:dyDescent="0.3">
      <c r="B250" s="2"/>
      <c r="E250" s="2"/>
    </row>
    <row r="251" spans="2:5" ht="15.75" customHeight="1" x14ac:dyDescent="0.3">
      <c r="B251" s="2"/>
      <c r="E251" s="2"/>
    </row>
    <row r="252" spans="2:5" ht="15.75" customHeight="1" x14ac:dyDescent="0.3">
      <c r="B252" s="2"/>
      <c r="E252" s="2"/>
    </row>
    <row r="253" spans="2:5" ht="15.75" customHeight="1" x14ac:dyDescent="0.3">
      <c r="B253" s="2"/>
      <c r="E253" s="2"/>
    </row>
    <row r="254" spans="2:5" ht="15.75" customHeight="1" x14ac:dyDescent="0.3">
      <c r="B254" s="2"/>
      <c r="E254" s="2"/>
    </row>
    <row r="255" spans="2:5" ht="15.75" customHeight="1" x14ac:dyDescent="0.3">
      <c r="B255" s="2"/>
      <c r="E255" s="2"/>
    </row>
    <row r="256" spans="2:5" ht="15.75" customHeight="1" x14ac:dyDescent="0.3">
      <c r="B256" s="2"/>
      <c r="E256" s="2"/>
    </row>
    <row r="257" spans="2:5" ht="15.75" customHeight="1" x14ac:dyDescent="0.3">
      <c r="B257" s="2"/>
      <c r="E257" s="2"/>
    </row>
    <row r="258" spans="2:5" ht="15.75" customHeight="1" x14ac:dyDescent="0.3">
      <c r="B258" s="2"/>
      <c r="E258" s="2"/>
    </row>
    <row r="259" spans="2:5" ht="15.75" customHeight="1" x14ac:dyDescent="0.3">
      <c r="B259" s="2"/>
      <c r="E259" s="2"/>
    </row>
    <row r="260" spans="2:5" ht="15.75" customHeight="1" x14ac:dyDescent="0.3">
      <c r="B260" s="2"/>
      <c r="E260" s="2"/>
    </row>
    <row r="261" spans="2:5" ht="15.75" customHeight="1" x14ac:dyDescent="0.3">
      <c r="B261" s="2"/>
      <c r="E261" s="2"/>
    </row>
    <row r="262" spans="2:5" ht="15.75" customHeight="1" x14ac:dyDescent="0.3">
      <c r="B262" s="2"/>
      <c r="E262" s="2"/>
    </row>
    <row r="263" spans="2:5" ht="15.75" customHeight="1" x14ac:dyDescent="0.3"/>
    <row r="264" spans="2:5" ht="15.75" customHeight="1" x14ac:dyDescent="0.3"/>
    <row r="265" spans="2:5" ht="15.75" customHeight="1" x14ac:dyDescent="0.3"/>
    <row r="266" spans="2:5" ht="15.75" customHeight="1" x14ac:dyDescent="0.3"/>
    <row r="267" spans="2:5" ht="15.75" customHeight="1" x14ac:dyDescent="0.3"/>
    <row r="268" spans="2:5" ht="15.75" customHeight="1" x14ac:dyDescent="0.3"/>
    <row r="269" spans="2:5" ht="15.75" customHeight="1" x14ac:dyDescent="0.3"/>
    <row r="270" spans="2:5" ht="15.75" customHeight="1" x14ac:dyDescent="0.3"/>
    <row r="271" spans="2:5" ht="15.75" customHeight="1" x14ac:dyDescent="0.3"/>
    <row r="272" spans="2:5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C44:D44"/>
    <mergeCell ref="G44:AB44"/>
    <mergeCell ref="C1:D1"/>
    <mergeCell ref="G1:AB1"/>
    <mergeCell ref="A2:A5"/>
    <mergeCell ref="C6:D6"/>
    <mergeCell ref="G6:AB6"/>
    <mergeCell ref="C25:D25"/>
    <mergeCell ref="G25:AB25"/>
  </mergeCells>
  <conditionalFormatting sqref="D8:D24">
    <cfRule type="cellIs" dxfId="141" priority="22" operator="greaterThanOrEqual">
      <formula>$D$4</formula>
    </cfRule>
    <cfRule type="cellIs" dxfId="140" priority="24" operator="between">
      <formula>$D$3</formula>
      <formula>$D$4</formula>
    </cfRule>
    <cfRule type="cellIs" dxfId="139" priority="23" operator="lessThanOrEqual">
      <formula>$D$2</formula>
    </cfRule>
  </conditionalFormatting>
  <conditionalFormatting sqref="D27:D43 G27:AB43">
    <cfRule type="cellIs" dxfId="138" priority="21" operator="greaterThanOrEqual">
      <formula>365</formula>
    </cfRule>
  </conditionalFormatting>
  <conditionalFormatting sqref="D46:D62 G46:AB62">
    <cfRule type="cellIs" dxfId="137" priority="20" operator="lessThanOrEqual">
      <formula>1</formula>
    </cfRule>
  </conditionalFormatting>
  <conditionalFormatting sqref="G8:G24">
    <cfRule type="cellIs" dxfId="136" priority="1" operator="greaterThanOrEqual">
      <formula>$G$4</formula>
    </cfRule>
    <cfRule type="cellIs" dxfId="135" priority="19" operator="lessThanOrEqual">
      <formula>$G$2</formula>
    </cfRule>
    <cfRule type="cellIs" dxfId="134" priority="10" operator="between">
      <formula>$G$3</formula>
      <formula>$G$4</formula>
    </cfRule>
  </conditionalFormatting>
  <conditionalFormatting sqref="H8:H24">
    <cfRule type="cellIs" dxfId="133" priority="2" operator="greaterThanOrEqual">
      <formula>$H$4</formula>
    </cfRule>
    <cfRule type="cellIs" dxfId="132" priority="11" operator="between">
      <formula>$H$3</formula>
      <formula>$H$4</formula>
    </cfRule>
    <cfRule type="cellIs" dxfId="131" priority="26" operator="lessThanOrEqual">
      <formula>$H$2</formula>
    </cfRule>
  </conditionalFormatting>
  <conditionalFormatting sqref="I8:I24">
    <cfRule type="cellIs" dxfId="130" priority="3" operator="greaterThanOrEqual">
      <formula>$I$4</formula>
    </cfRule>
    <cfRule type="cellIs" dxfId="129" priority="12" operator="between">
      <formula>I$3</formula>
      <formula>I$4</formula>
    </cfRule>
    <cfRule type="cellIs" dxfId="128" priority="27" operator="lessThanOrEqual">
      <formula>$I$2</formula>
    </cfRule>
  </conditionalFormatting>
  <conditionalFormatting sqref="J8:J24">
    <cfRule type="cellIs" dxfId="127" priority="4" operator="greaterThanOrEqual">
      <formula>$J$4</formula>
    </cfRule>
    <cfRule type="cellIs" dxfId="126" priority="13" operator="between">
      <formula>$J$3</formula>
      <formula>$J$4</formula>
    </cfRule>
    <cfRule type="cellIs" dxfId="125" priority="28" operator="lessThanOrEqual">
      <formula>$J$2</formula>
    </cfRule>
  </conditionalFormatting>
  <conditionalFormatting sqref="K8:K24">
    <cfRule type="cellIs" dxfId="124" priority="5" operator="greaterThanOrEqual">
      <formula>$K$4</formula>
    </cfRule>
    <cfRule type="cellIs" dxfId="123" priority="14" operator="between">
      <formula>$K$3</formula>
      <formula>$K$4</formula>
    </cfRule>
    <cfRule type="cellIs" dxfId="122" priority="29" operator="lessThanOrEqual">
      <formula>$K$2</formula>
    </cfRule>
  </conditionalFormatting>
  <conditionalFormatting sqref="L8:L24">
    <cfRule type="cellIs" dxfId="121" priority="6" operator="greaterThanOrEqual">
      <formula>$L$4</formula>
    </cfRule>
    <cfRule type="cellIs" dxfId="120" priority="15" operator="between">
      <formula>$L$3</formula>
      <formula>$L$4</formula>
    </cfRule>
    <cfRule type="cellIs" dxfId="119" priority="30" operator="lessThanOrEqual">
      <formula>$L$2</formula>
    </cfRule>
  </conditionalFormatting>
  <conditionalFormatting sqref="M8:M24">
    <cfRule type="cellIs" dxfId="118" priority="7" operator="greaterThanOrEqual">
      <formula>$M$4</formula>
    </cfRule>
    <cfRule type="cellIs" dxfId="117" priority="16" operator="between">
      <formula>$M$3</formula>
      <formula>$M$4</formula>
    </cfRule>
    <cfRule type="cellIs" dxfId="116" priority="31" operator="lessThanOrEqual">
      <formula>$M$2</formula>
    </cfRule>
  </conditionalFormatting>
  <conditionalFormatting sqref="N8:N24">
    <cfRule type="cellIs" dxfId="115" priority="8" operator="greaterThanOrEqual">
      <formula>$N$4</formula>
    </cfRule>
    <cfRule type="cellIs" dxfId="114" priority="17" operator="between">
      <formula>$N$3</formula>
      <formula>$N$4</formula>
    </cfRule>
    <cfRule type="cellIs" dxfId="113" priority="32" operator="lessThanOrEqual">
      <formula>$N$2</formula>
    </cfRule>
  </conditionalFormatting>
  <conditionalFormatting sqref="O8:O24">
    <cfRule type="cellIs" dxfId="112" priority="18" operator="between">
      <formula>$O$3</formula>
      <formula>$O$4</formula>
    </cfRule>
    <cfRule type="cellIs" dxfId="111" priority="9" operator="greaterThanOrEqual">
      <formula>$O$4</formula>
    </cfRule>
    <cfRule type="cellIs" dxfId="110" priority="33" operator="lessThanOrEqual">
      <formula>$O$2</formula>
    </cfRule>
  </conditionalFormatting>
  <conditionalFormatting sqref="P7:P24">
    <cfRule type="cellIs" dxfId="109" priority="46" operator="between">
      <formula>$P$3</formula>
      <formula>$P$4</formula>
    </cfRule>
  </conditionalFormatting>
  <conditionalFormatting sqref="P8:P24">
    <cfRule type="cellIs" dxfId="108" priority="25" operator="lessThanOrEqual">
      <formula>$P$2</formula>
    </cfRule>
    <cfRule type="cellIs" dxfId="107" priority="59" operator="greaterThanOrEqual">
      <formula>$P$4</formula>
    </cfRule>
  </conditionalFormatting>
  <conditionalFormatting sqref="Q8:Q24">
    <cfRule type="cellIs" dxfId="106" priority="34" operator="lessThanOrEqual">
      <formula>$Q$2</formula>
    </cfRule>
    <cfRule type="cellIs" dxfId="105" priority="47" operator="between">
      <formula>$Q$3</formula>
      <formula>$Q$4</formula>
    </cfRule>
    <cfRule type="cellIs" dxfId="104" priority="60" operator="greaterThanOrEqual">
      <formula>$Q$4</formula>
    </cfRule>
  </conditionalFormatting>
  <conditionalFormatting sqref="R8:R24">
    <cfRule type="cellIs" dxfId="103" priority="48" operator="between">
      <formula>$R$3</formula>
      <formula>$R$4</formula>
    </cfRule>
    <cfRule type="cellIs" dxfId="102" priority="35" operator="lessThanOrEqual">
      <formula>$R$2</formula>
    </cfRule>
    <cfRule type="cellIs" dxfId="101" priority="61" operator="greaterThanOrEqual">
      <formula>$R$4</formula>
    </cfRule>
  </conditionalFormatting>
  <conditionalFormatting sqref="S8:S24">
    <cfRule type="cellIs" dxfId="100" priority="49" operator="between">
      <formula>$S$3</formula>
      <formula>$S$4</formula>
    </cfRule>
    <cfRule type="cellIs" dxfId="99" priority="36" operator="lessThanOrEqual">
      <formula>$S$2</formula>
    </cfRule>
    <cfRule type="cellIs" dxfId="98" priority="62" operator="greaterThanOrEqual">
      <formula>$S$4</formula>
    </cfRule>
  </conditionalFormatting>
  <conditionalFormatting sqref="T8:T24">
    <cfRule type="cellIs" dxfId="97" priority="37" operator="lessThanOrEqual">
      <formula>$T$2</formula>
    </cfRule>
    <cfRule type="cellIs" dxfId="96" priority="50" operator="between">
      <formula>$T$3</formula>
      <formula>$T$4</formula>
    </cfRule>
    <cfRule type="cellIs" dxfId="95" priority="63" operator="greaterThanOrEqual">
      <formula>$T$4</formula>
    </cfRule>
  </conditionalFormatting>
  <conditionalFormatting sqref="U8:U24">
    <cfRule type="cellIs" dxfId="94" priority="38" operator="lessThanOrEqual">
      <formula>$U$2</formula>
    </cfRule>
    <cfRule type="cellIs" dxfId="93" priority="51" operator="between">
      <formula>$U$3</formula>
      <formula>$U$4</formula>
    </cfRule>
    <cfRule type="cellIs" dxfId="92" priority="64" operator="greaterThanOrEqual">
      <formula>$U$4</formula>
    </cfRule>
  </conditionalFormatting>
  <conditionalFormatting sqref="V8:V24">
    <cfRule type="cellIs" dxfId="91" priority="39" operator="lessThanOrEqual">
      <formula>$V$2</formula>
    </cfRule>
    <cfRule type="cellIs" dxfId="90" priority="52" operator="between">
      <formula>$V$3</formula>
      <formula>$V$4</formula>
    </cfRule>
    <cfRule type="cellIs" dxfId="89" priority="65" operator="greaterThanOrEqual">
      <formula>$V$4</formula>
    </cfRule>
  </conditionalFormatting>
  <conditionalFormatting sqref="W8:W24">
    <cfRule type="cellIs" dxfId="88" priority="40" operator="lessThanOrEqual">
      <formula>$W$2</formula>
    </cfRule>
    <cfRule type="cellIs" dxfId="87" priority="53" operator="between">
      <formula>$W$3</formula>
      <formula>$W$4</formula>
    </cfRule>
    <cfRule type="cellIs" dxfId="86" priority="66" operator="greaterThanOrEqual">
      <formula>$W$4</formula>
    </cfRule>
  </conditionalFormatting>
  <conditionalFormatting sqref="X8:X24">
    <cfRule type="cellIs" dxfId="85" priority="54" operator="between">
      <formula>$X$3</formula>
      <formula>$X$4</formula>
    </cfRule>
    <cfRule type="cellIs" dxfId="84" priority="41" operator="lessThanOrEqual">
      <formula>$X$2</formula>
    </cfRule>
    <cfRule type="cellIs" dxfId="83" priority="67" operator="greaterThanOrEqual">
      <formula>$X$4</formula>
    </cfRule>
  </conditionalFormatting>
  <conditionalFormatting sqref="Y8:Y24">
    <cfRule type="cellIs" dxfId="82" priority="42" operator="lessThanOrEqual">
      <formula>$Y$2</formula>
    </cfRule>
    <cfRule type="cellIs" dxfId="81" priority="55" operator="between">
      <formula>$Y$3</formula>
      <formula>$Y$4</formula>
    </cfRule>
    <cfRule type="cellIs" dxfId="80" priority="68" operator="greaterThanOrEqual">
      <formula>$Y$4</formula>
    </cfRule>
  </conditionalFormatting>
  <conditionalFormatting sqref="Z8:Z24">
    <cfRule type="cellIs" dxfId="79" priority="56" operator="between">
      <formula>$Z$3</formula>
      <formula>$Z$4</formula>
    </cfRule>
    <cfRule type="cellIs" dxfId="78" priority="43" operator="lessThanOrEqual">
      <formula>$Z$2</formula>
    </cfRule>
    <cfRule type="cellIs" dxfId="77" priority="69" operator="greaterThanOrEqual">
      <formula>$Z$4</formula>
    </cfRule>
  </conditionalFormatting>
  <conditionalFormatting sqref="AA8:AA24">
    <cfRule type="cellIs" dxfId="76" priority="57" operator="between">
      <formula>$AA$3</formula>
      <formula>$AA$4</formula>
    </cfRule>
    <cfRule type="cellIs" dxfId="75" priority="44" operator="lessThanOrEqual">
      <formula>$AA$2</formula>
    </cfRule>
    <cfRule type="cellIs" dxfId="74" priority="70" operator="greaterThanOrEqual">
      <formula>$AA$4</formula>
    </cfRule>
  </conditionalFormatting>
  <conditionalFormatting sqref="AB8:AB24">
    <cfRule type="cellIs" dxfId="73" priority="45" operator="lessThanOrEqual">
      <formula>$AB$2</formula>
    </cfRule>
    <cfRule type="cellIs" dxfId="72" priority="58" operator="between">
      <formula>$AB$3</formula>
      <formula>$AB$4</formula>
    </cfRule>
    <cfRule type="cellIs" dxfId="71" priority="71" operator="greaterThanOrEqual">
      <formula>$AB$4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B1000"/>
  <sheetViews>
    <sheetView tabSelected="1" workbookViewId="0">
      <selection activeCell="M18" sqref="M18"/>
    </sheetView>
  </sheetViews>
  <sheetFormatPr defaultColWidth="12.61328125" defaultRowHeight="15" customHeight="1" x14ac:dyDescent="0.3"/>
  <cols>
    <col min="1" max="1" width="10.4609375" customWidth="1"/>
    <col min="2" max="2" width="2.3828125" customWidth="1"/>
    <col min="3" max="3" width="10.4609375" customWidth="1"/>
    <col min="4" max="4" width="12.61328125" customWidth="1"/>
    <col min="5" max="5" width="2.3828125" customWidth="1"/>
    <col min="6" max="6" width="10.4609375" customWidth="1"/>
    <col min="9" max="10" width="14.61328125" customWidth="1"/>
  </cols>
  <sheetData>
    <row r="1" spans="1:28" ht="15.75" customHeight="1" x14ac:dyDescent="0.3">
      <c r="A1" s="1"/>
      <c r="B1" s="2"/>
      <c r="C1" s="32" t="s">
        <v>0</v>
      </c>
      <c r="D1" s="30"/>
      <c r="E1" s="2"/>
      <c r="F1" s="3"/>
      <c r="G1" s="32" t="s">
        <v>1</v>
      </c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ht="15.75" customHeight="1" x14ac:dyDescent="0.3">
      <c r="A2" s="33" t="s">
        <v>2</v>
      </c>
      <c r="B2" s="2"/>
      <c r="C2" s="4" t="s">
        <v>3</v>
      </c>
      <c r="D2" s="5">
        <f>D3/12</f>
        <v>1.893939393939394E-2</v>
      </c>
      <c r="E2" s="2"/>
      <c r="F2" s="4" t="s">
        <v>3</v>
      </c>
      <c r="G2" s="5">
        <f t="shared" ref="G2:AB2" si="0">G3/12</f>
        <v>1.7424242424242422</v>
      </c>
      <c r="H2" s="5">
        <f t="shared" si="0"/>
        <v>1.6098484848484846</v>
      </c>
      <c r="I2" s="5">
        <f t="shared" si="0"/>
        <v>1.5530303030303028</v>
      </c>
      <c r="J2" s="5">
        <f t="shared" si="0"/>
        <v>1.4393939393939392</v>
      </c>
      <c r="K2" s="5">
        <f t="shared" si="0"/>
        <v>1.893939393939394E-2</v>
      </c>
      <c r="L2" s="5">
        <f t="shared" si="0"/>
        <v>1.893939393939394E-2</v>
      </c>
      <c r="M2" s="5">
        <f t="shared" si="0"/>
        <v>1.893939393939394E-2</v>
      </c>
      <c r="N2" s="5">
        <f t="shared" si="0"/>
        <v>1.893939393939394E-2</v>
      </c>
      <c r="O2" s="5">
        <f t="shared" si="0"/>
        <v>1.893939393939394E-2</v>
      </c>
      <c r="P2" s="5">
        <f t="shared" si="0"/>
        <v>1.893939393939394E-2</v>
      </c>
      <c r="Q2" s="5">
        <f t="shared" si="0"/>
        <v>1.893939393939394E-2</v>
      </c>
      <c r="R2" s="5">
        <f t="shared" si="0"/>
        <v>1.893939393939394E-2</v>
      </c>
      <c r="S2" s="5">
        <f t="shared" si="0"/>
        <v>1.893939393939394E-2</v>
      </c>
      <c r="T2" s="5">
        <f t="shared" si="0"/>
        <v>1.893939393939394E-2</v>
      </c>
      <c r="U2" s="5">
        <f t="shared" si="0"/>
        <v>1.893939393939394E-2</v>
      </c>
      <c r="V2" s="5">
        <f t="shared" si="0"/>
        <v>1.893939393939394E-2</v>
      </c>
      <c r="W2" s="5">
        <f t="shared" si="0"/>
        <v>1.893939393939394E-2</v>
      </c>
      <c r="X2" s="5">
        <f t="shared" si="0"/>
        <v>1.893939393939394E-2</v>
      </c>
      <c r="Y2" s="5">
        <f t="shared" si="0"/>
        <v>1.893939393939394E-2</v>
      </c>
      <c r="Z2" s="5">
        <f t="shared" si="0"/>
        <v>1.893939393939394E-2</v>
      </c>
      <c r="AA2" s="5">
        <f t="shared" si="0"/>
        <v>1.893939393939394E-2</v>
      </c>
      <c r="AB2" s="5">
        <f t="shared" si="0"/>
        <v>1.893939393939394E-2</v>
      </c>
    </row>
    <row r="3" spans="1:28" ht="15.75" customHeight="1" x14ac:dyDescent="0.3">
      <c r="A3" s="30"/>
      <c r="B3" s="2"/>
      <c r="C3" s="4" t="s">
        <v>4</v>
      </c>
      <c r="D3" s="5">
        <f>D4/4.4</f>
        <v>0.22727272727272727</v>
      </c>
      <c r="E3" s="2"/>
      <c r="F3" s="4" t="s">
        <v>4</v>
      </c>
      <c r="G3" s="5">
        <f t="shared" ref="G3:AB3" si="1">G4/4.4</f>
        <v>20.909090909090907</v>
      </c>
      <c r="H3" s="5">
        <f t="shared" si="1"/>
        <v>19.318181818181817</v>
      </c>
      <c r="I3" s="5">
        <f t="shared" si="1"/>
        <v>18.636363636363633</v>
      </c>
      <c r="J3" s="5">
        <f t="shared" si="1"/>
        <v>17.27272727272727</v>
      </c>
      <c r="K3" s="5">
        <f t="shared" si="1"/>
        <v>0.22727272727272727</v>
      </c>
      <c r="L3" s="5">
        <f t="shared" si="1"/>
        <v>0.22727272727272727</v>
      </c>
      <c r="M3" s="5">
        <f t="shared" si="1"/>
        <v>0.22727272727272727</v>
      </c>
      <c r="N3" s="5">
        <f t="shared" si="1"/>
        <v>0.22727272727272727</v>
      </c>
      <c r="O3" s="5">
        <f t="shared" si="1"/>
        <v>0.22727272727272727</v>
      </c>
      <c r="P3" s="5">
        <f t="shared" si="1"/>
        <v>0.22727272727272727</v>
      </c>
      <c r="Q3" s="5">
        <f t="shared" si="1"/>
        <v>0.22727272727272727</v>
      </c>
      <c r="R3" s="5">
        <f t="shared" si="1"/>
        <v>0.22727272727272727</v>
      </c>
      <c r="S3" s="5">
        <f t="shared" si="1"/>
        <v>0.22727272727272727</v>
      </c>
      <c r="T3" s="5">
        <f t="shared" si="1"/>
        <v>0.22727272727272727</v>
      </c>
      <c r="U3" s="5">
        <f t="shared" si="1"/>
        <v>0.22727272727272727</v>
      </c>
      <c r="V3" s="5">
        <f t="shared" si="1"/>
        <v>0.22727272727272727</v>
      </c>
      <c r="W3" s="5">
        <f t="shared" si="1"/>
        <v>0.22727272727272727</v>
      </c>
      <c r="X3" s="5">
        <f t="shared" si="1"/>
        <v>0.22727272727272727</v>
      </c>
      <c r="Y3" s="5">
        <f t="shared" si="1"/>
        <v>0.22727272727272727</v>
      </c>
      <c r="Z3" s="5">
        <f t="shared" si="1"/>
        <v>0.22727272727272727</v>
      </c>
      <c r="AA3" s="5">
        <f t="shared" si="1"/>
        <v>0.22727272727272727</v>
      </c>
      <c r="AB3" s="5">
        <f t="shared" si="1"/>
        <v>0.22727272727272727</v>
      </c>
    </row>
    <row r="4" spans="1:28" ht="15.75" customHeight="1" x14ac:dyDescent="0.3">
      <c r="A4" s="30"/>
      <c r="B4" s="2"/>
      <c r="C4" s="4" t="s">
        <v>5</v>
      </c>
      <c r="D4" s="6">
        <v>1</v>
      </c>
      <c r="E4" s="2"/>
      <c r="F4" s="4" t="s">
        <v>5</v>
      </c>
      <c r="G4" s="25">
        <v>92</v>
      </c>
      <c r="H4" s="26">
        <v>85</v>
      </c>
      <c r="I4" s="26">
        <v>82</v>
      </c>
      <c r="J4" s="26">
        <v>76</v>
      </c>
      <c r="K4" s="25">
        <v>1</v>
      </c>
      <c r="L4" s="26">
        <v>1</v>
      </c>
      <c r="M4" s="26">
        <v>1</v>
      </c>
      <c r="N4" s="26">
        <v>1</v>
      </c>
      <c r="O4" s="25">
        <v>1</v>
      </c>
      <c r="P4" s="26">
        <v>1</v>
      </c>
      <c r="Q4" s="26">
        <v>1</v>
      </c>
      <c r="R4" s="25">
        <v>1</v>
      </c>
      <c r="S4" s="26">
        <v>1</v>
      </c>
      <c r="T4" s="26">
        <v>1</v>
      </c>
      <c r="U4" s="26">
        <v>1</v>
      </c>
      <c r="V4" s="25">
        <v>1</v>
      </c>
      <c r="W4" s="26">
        <v>1</v>
      </c>
      <c r="X4" s="25">
        <v>1</v>
      </c>
      <c r="Y4" s="25">
        <v>1</v>
      </c>
      <c r="Z4" s="26">
        <v>1</v>
      </c>
      <c r="AA4" s="26">
        <v>1</v>
      </c>
      <c r="AB4" s="26">
        <v>1</v>
      </c>
    </row>
    <row r="5" spans="1:28" ht="25.5" customHeight="1" x14ac:dyDescent="0.3">
      <c r="A5" s="30"/>
      <c r="B5" s="2"/>
      <c r="C5" s="7" t="s">
        <v>6</v>
      </c>
      <c r="D5" s="8">
        <v>1</v>
      </c>
      <c r="E5" s="2"/>
      <c r="F5" s="7" t="s">
        <v>6</v>
      </c>
      <c r="G5" s="27">
        <v>7</v>
      </c>
      <c r="H5" s="28">
        <v>5</v>
      </c>
      <c r="I5" s="28">
        <v>1</v>
      </c>
      <c r="J5" s="28">
        <v>2</v>
      </c>
      <c r="K5" s="27">
        <v>1</v>
      </c>
      <c r="L5" s="28">
        <v>1</v>
      </c>
      <c r="M5" s="28">
        <v>1</v>
      </c>
      <c r="N5" s="28">
        <v>1</v>
      </c>
      <c r="O5" s="27">
        <v>1</v>
      </c>
      <c r="P5" s="28">
        <v>1</v>
      </c>
      <c r="Q5" s="28">
        <v>1</v>
      </c>
      <c r="R5" s="27">
        <v>1</v>
      </c>
      <c r="S5" s="28">
        <v>1</v>
      </c>
      <c r="T5" s="28">
        <v>1</v>
      </c>
      <c r="U5" s="28">
        <v>1</v>
      </c>
      <c r="V5" s="27">
        <v>1</v>
      </c>
      <c r="W5" s="28">
        <v>1</v>
      </c>
      <c r="X5" s="27">
        <v>1</v>
      </c>
      <c r="Y5" s="27">
        <v>1</v>
      </c>
      <c r="Z5" s="28">
        <v>1</v>
      </c>
      <c r="AA5" s="28">
        <v>1</v>
      </c>
      <c r="AB5" s="28">
        <v>1</v>
      </c>
    </row>
    <row r="6" spans="1:28" ht="15.75" customHeight="1" x14ac:dyDescent="0.3">
      <c r="A6" s="3"/>
      <c r="B6" s="2"/>
      <c r="C6" s="29"/>
      <c r="D6" s="30"/>
      <c r="E6" s="2"/>
      <c r="F6" s="3"/>
      <c r="G6" s="31" t="s">
        <v>7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spans="1:28" ht="15.75" customHeight="1" x14ac:dyDescent="0.3">
      <c r="A7" s="9" t="s">
        <v>8</v>
      </c>
      <c r="B7" s="2"/>
      <c r="C7" s="10" t="s">
        <v>9</v>
      </c>
      <c r="D7" s="10" t="s">
        <v>10</v>
      </c>
      <c r="E7" s="2"/>
      <c r="F7" s="10" t="s">
        <v>9</v>
      </c>
      <c r="G7" s="10" t="s">
        <v>91</v>
      </c>
      <c r="H7" s="10" t="s">
        <v>92</v>
      </c>
      <c r="I7" s="10" t="s">
        <v>93</v>
      </c>
      <c r="J7" s="10" t="s">
        <v>94</v>
      </c>
      <c r="K7" s="10"/>
      <c r="L7" s="10"/>
      <c r="M7" s="10"/>
      <c r="N7" s="10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5.75" customHeight="1" x14ac:dyDescent="0.3">
      <c r="A8" s="12">
        <f>RAW!$A$6</f>
        <v>400</v>
      </c>
      <c r="B8" s="2"/>
      <c r="C8" s="13" t="s">
        <v>19</v>
      </c>
      <c r="D8" s="14">
        <f t="shared" ref="D8:D24" si="2">($A8/D$5)/365</f>
        <v>1.095890410958904</v>
      </c>
      <c r="E8" s="2"/>
      <c r="F8" s="13" t="s">
        <v>19</v>
      </c>
      <c r="G8" s="14">
        <f t="shared" ref="G8:AB8" si="3">($A8/G$5)/365</f>
        <v>0.15655577299412918</v>
      </c>
      <c r="H8" s="14">
        <f t="shared" si="3"/>
        <v>0.21917808219178081</v>
      </c>
      <c r="I8" s="14">
        <f t="shared" si="3"/>
        <v>1.095890410958904</v>
      </c>
      <c r="J8" s="14">
        <f t="shared" si="3"/>
        <v>0.54794520547945202</v>
      </c>
      <c r="K8" s="14">
        <f t="shared" si="3"/>
        <v>1.095890410958904</v>
      </c>
      <c r="L8" s="14">
        <f t="shared" si="3"/>
        <v>1.095890410958904</v>
      </c>
      <c r="M8" s="14">
        <f t="shared" si="3"/>
        <v>1.095890410958904</v>
      </c>
      <c r="N8" s="14">
        <f t="shared" si="3"/>
        <v>1.095890410958904</v>
      </c>
      <c r="O8" s="15">
        <f t="shared" si="3"/>
        <v>1.095890410958904</v>
      </c>
      <c r="P8" s="16">
        <f t="shared" si="3"/>
        <v>1.095890410958904</v>
      </c>
      <c r="Q8" s="16">
        <f t="shared" si="3"/>
        <v>1.095890410958904</v>
      </c>
      <c r="R8" s="16">
        <f t="shared" si="3"/>
        <v>1.095890410958904</v>
      </c>
      <c r="S8" s="16">
        <f t="shared" si="3"/>
        <v>1.095890410958904</v>
      </c>
      <c r="T8" s="16">
        <f t="shared" si="3"/>
        <v>1.095890410958904</v>
      </c>
      <c r="U8" s="16">
        <f t="shared" si="3"/>
        <v>1.095890410958904</v>
      </c>
      <c r="V8" s="16">
        <f t="shared" si="3"/>
        <v>1.095890410958904</v>
      </c>
      <c r="W8" s="16">
        <f t="shared" si="3"/>
        <v>1.095890410958904</v>
      </c>
      <c r="X8" s="16">
        <f t="shared" si="3"/>
        <v>1.095890410958904</v>
      </c>
      <c r="Y8" s="16">
        <f t="shared" si="3"/>
        <v>1.095890410958904</v>
      </c>
      <c r="Z8" s="16">
        <f t="shared" si="3"/>
        <v>1.095890410958904</v>
      </c>
      <c r="AA8" s="16">
        <f t="shared" si="3"/>
        <v>1.095890410958904</v>
      </c>
      <c r="AB8" s="16">
        <f t="shared" si="3"/>
        <v>1.095890410958904</v>
      </c>
    </row>
    <row r="9" spans="1:28" ht="15.75" customHeight="1" x14ac:dyDescent="0.3">
      <c r="A9" s="12">
        <f>RAW!$A$7</f>
        <v>1200</v>
      </c>
      <c r="B9" s="2"/>
      <c r="C9" s="17" t="s">
        <v>20</v>
      </c>
      <c r="D9" s="14">
        <f t="shared" si="2"/>
        <v>3.2876712328767121</v>
      </c>
      <c r="E9" s="2"/>
      <c r="F9" s="17" t="s">
        <v>20</v>
      </c>
      <c r="G9" s="14">
        <f t="shared" ref="G9:AB9" si="4">($A9/G$5)/365</f>
        <v>0.46966731898238745</v>
      </c>
      <c r="H9" s="14">
        <f t="shared" si="4"/>
        <v>0.65753424657534243</v>
      </c>
      <c r="I9" s="14">
        <f t="shared" si="4"/>
        <v>3.2876712328767121</v>
      </c>
      <c r="J9" s="14">
        <f t="shared" si="4"/>
        <v>1.6438356164383561</v>
      </c>
      <c r="K9" s="14">
        <f t="shared" si="4"/>
        <v>3.2876712328767121</v>
      </c>
      <c r="L9" s="14">
        <f t="shared" si="4"/>
        <v>3.2876712328767121</v>
      </c>
      <c r="M9" s="14">
        <f t="shared" si="4"/>
        <v>3.2876712328767121</v>
      </c>
      <c r="N9" s="14">
        <f t="shared" si="4"/>
        <v>3.2876712328767121</v>
      </c>
      <c r="O9" s="15">
        <f t="shared" si="4"/>
        <v>3.2876712328767121</v>
      </c>
      <c r="P9" s="16">
        <f t="shared" si="4"/>
        <v>3.2876712328767121</v>
      </c>
      <c r="Q9" s="16">
        <f t="shared" si="4"/>
        <v>3.2876712328767121</v>
      </c>
      <c r="R9" s="16">
        <f t="shared" si="4"/>
        <v>3.2876712328767121</v>
      </c>
      <c r="S9" s="16">
        <f t="shared" si="4"/>
        <v>3.2876712328767121</v>
      </c>
      <c r="T9" s="16">
        <f t="shared" si="4"/>
        <v>3.2876712328767121</v>
      </c>
      <c r="U9" s="16">
        <f t="shared" si="4"/>
        <v>3.2876712328767121</v>
      </c>
      <c r="V9" s="16">
        <f t="shared" si="4"/>
        <v>3.2876712328767121</v>
      </c>
      <c r="W9" s="16">
        <f t="shared" si="4"/>
        <v>3.2876712328767121</v>
      </c>
      <c r="X9" s="16">
        <f t="shared" si="4"/>
        <v>3.2876712328767121</v>
      </c>
      <c r="Y9" s="16">
        <f t="shared" si="4"/>
        <v>3.2876712328767121</v>
      </c>
      <c r="Z9" s="16">
        <f t="shared" si="4"/>
        <v>3.2876712328767121</v>
      </c>
      <c r="AA9" s="16">
        <f t="shared" si="4"/>
        <v>3.2876712328767121</v>
      </c>
      <c r="AB9" s="16">
        <f t="shared" si="4"/>
        <v>3.2876712328767121</v>
      </c>
    </row>
    <row r="10" spans="1:28" ht="15.75" customHeight="1" x14ac:dyDescent="0.3">
      <c r="A10" s="12">
        <f>RAW!$A$8</f>
        <v>2800</v>
      </c>
      <c r="B10" s="2"/>
      <c r="C10" s="17" t="s">
        <v>21</v>
      </c>
      <c r="D10" s="14">
        <f t="shared" si="2"/>
        <v>7.6712328767123283</v>
      </c>
      <c r="E10" s="2"/>
      <c r="F10" s="17" t="s">
        <v>21</v>
      </c>
      <c r="G10" s="14">
        <f t="shared" ref="G10:AB10" si="5">($A10/G$5)/365</f>
        <v>1.095890410958904</v>
      </c>
      <c r="H10" s="14">
        <f t="shared" si="5"/>
        <v>1.5342465753424657</v>
      </c>
      <c r="I10" s="14">
        <f t="shared" si="5"/>
        <v>7.6712328767123283</v>
      </c>
      <c r="J10" s="14">
        <f t="shared" si="5"/>
        <v>3.8356164383561642</v>
      </c>
      <c r="K10" s="14">
        <f t="shared" si="5"/>
        <v>7.6712328767123283</v>
      </c>
      <c r="L10" s="14">
        <f t="shared" si="5"/>
        <v>7.6712328767123283</v>
      </c>
      <c r="M10" s="14">
        <f t="shared" si="5"/>
        <v>7.6712328767123283</v>
      </c>
      <c r="N10" s="14">
        <f t="shared" si="5"/>
        <v>7.6712328767123283</v>
      </c>
      <c r="O10" s="15">
        <f t="shared" si="5"/>
        <v>7.6712328767123283</v>
      </c>
      <c r="P10" s="16">
        <f t="shared" si="5"/>
        <v>7.6712328767123283</v>
      </c>
      <c r="Q10" s="16">
        <f t="shared" si="5"/>
        <v>7.6712328767123283</v>
      </c>
      <c r="R10" s="16">
        <f t="shared" si="5"/>
        <v>7.6712328767123283</v>
      </c>
      <c r="S10" s="16">
        <f t="shared" si="5"/>
        <v>7.6712328767123283</v>
      </c>
      <c r="T10" s="16">
        <f t="shared" si="5"/>
        <v>7.6712328767123283</v>
      </c>
      <c r="U10" s="16">
        <f t="shared" si="5"/>
        <v>7.6712328767123283</v>
      </c>
      <c r="V10" s="16">
        <f t="shared" si="5"/>
        <v>7.6712328767123283</v>
      </c>
      <c r="W10" s="16">
        <f t="shared" si="5"/>
        <v>7.6712328767123283</v>
      </c>
      <c r="X10" s="16">
        <f t="shared" si="5"/>
        <v>7.6712328767123283</v>
      </c>
      <c r="Y10" s="16">
        <f t="shared" si="5"/>
        <v>7.6712328767123283</v>
      </c>
      <c r="Z10" s="16">
        <f t="shared" si="5"/>
        <v>7.6712328767123283</v>
      </c>
      <c r="AA10" s="16">
        <f t="shared" si="5"/>
        <v>7.6712328767123283</v>
      </c>
      <c r="AB10" s="16">
        <f t="shared" si="5"/>
        <v>7.6712328767123283</v>
      </c>
    </row>
    <row r="11" spans="1:28" ht="15.75" customHeight="1" x14ac:dyDescent="0.3">
      <c r="A11" s="12">
        <f>RAW!$A$9</f>
        <v>6000</v>
      </c>
      <c r="B11" s="2"/>
      <c r="C11" s="17" t="s">
        <v>22</v>
      </c>
      <c r="D11" s="14">
        <f t="shared" si="2"/>
        <v>16.438356164383563</v>
      </c>
      <c r="E11" s="2"/>
      <c r="F11" s="17" t="s">
        <v>22</v>
      </c>
      <c r="G11" s="14">
        <f t="shared" ref="G11:AB11" si="6">($A11/G$5)/365</f>
        <v>2.3483365949119372</v>
      </c>
      <c r="H11" s="14">
        <f t="shared" si="6"/>
        <v>3.2876712328767121</v>
      </c>
      <c r="I11" s="14">
        <f t="shared" si="6"/>
        <v>16.438356164383563</v>
      </c>
      <c r="J11" s="14">
        <f t="shared" si="6"/>
        <v>8.2191780821917817</v>
      </c>
      <c r="K11" s="14">
        <f t="shared" si="6"/>
        <v>16.438356164383563</v>
      </c>
      <c r="L11" s="14">
        <f t="shared" si="6"/>
        <v>16.438356164383563</v>
      </c>
      <c r="M11" s="14">
        <f t="shared" si="6"/>
        <v>16.438356164383563</v>
      </c>
      <c r="N11" s="14">
        <f t="shared" si="6"/>
        <v>16.438356164383563</v>
      </c>
      <c r="O11" s="15">
        <f t="shared" si="6"/>
        <v>16.438356164383563</v>
      </c>
      <c r="P11" s="16">
        <f t="shared" si="6"/>
        <v>16.438356164383563</v>
      </c>
      <c r="Q11" s="16">
        <f t="shared" si="6"/>
        <v>16.438356164383563</v>
      </c>
      <c r="R11" s="16">
        <f t="shared" si="6"/>
        <v>16.438356164383563</v>
      </c>
      <c r="S11" s="16">
        <f t="shared" si="6"/>
        <v>16.438356164383563</v>
      </c>
      <c r="T11" s="16">
        <f t="shared" si="6"/>
        <v>16.438356164383563</v>
      </c>
      <c r="U11" s="16">
        <f t="shared" si="6"/>
        <v>16.438356164383563</v>
      </c>
      <c r="V11" s="16">
        <f t="shared" si="6"/>
        <v>16.438356164383563</v>
      </c>
      <c r="W11" s="16">
        <f t="shared" si="6"/>
        <v>16.438356164383563</v>
      </c>
      <c r="X11" s="16">
        <f t="shared" si="6"/>
        <v>16.438356164383563</v>
      </c>
      <c r="Y11" s="16">
        <f t="shared" si="6"/>
        <v>16.438356164383563</v>
      </c>
      <c r="Z11" s="16">
        <f t="shared" si="6"/>
        <v>16.438356164383563</v>
      </c>
      <c r="AA11" s="16">
        <f t="shared" si="6"/>
        <v>16.438356164383563</v>
      </c>
      <c r="AB11" s="16">
        <f t="shared" si="6"/>
        <v>16.438356164383563</v>
      </c>
    </row>
    <row r="12" spans="1:28" ht="15.75" customHeight="1" x14ac:dyDescent="0.3">
      <c r="A12" s="12">
        <f>RAW!$A$10</f>
        <v>12400</v>
      </c>
      <c r="B12" s="2"/>
      <c r="C12" s="17" t="s">
        <v>23</v>
      </c>
      <c r="D12" s="14">
        <f t="shared" si="2"/>
        <v>33.972602739726028</v>
      </c>
      <c r="E12" s="2"/>
      <c r="F12" s="17" t="s">
        <v>23</v>
      </c>
      <c r="G12" s="14">
        <f t="shared" ref="G12:AB12" si="7">($A12/G$5)/365</f>
        <v>4.8532289628180036</v>
      </c>
      <c r="H12" s="14">
        <f t="shared" si="7"/>
        <v>6.7945205479452051</v>
      </c>
      <c r="I12" s="14">
        <f t="shared" si="7"/>
        <v>33.972602739726028</v>
      </c>
      <c r="J12" s="14">
        <f t="shared" si="7"/>
        <v>16.986301369863014</v>
      </c>
      <c r="K12" s="14">
        <f t="shared" si="7"/>
        <v>33.972602739726028</v>
      </c>
      <c r="L12" s="14">
        <f t="shared" si="7"/>
        <v>33.972602739726028</v>
      </c>
      <c r="M12" s="14">
        <f t="shared" si="7"/>
        <v>33.972602739726028</v>
      </c>
      <c r="N12" s="14">
        <f t="shared" si="7"/>
        <v>33.972602739726028</v>
      </c>
      <c r="O12" s="15">
        <f t="shared" si="7"/>
        <v>33.972602739726028</v>
      </c>
      <c r="P12" s="16">
        <f t="shared" si="7"/>
        <v>33.972602739726028</v>
      </c>
      <c r="Q12" s="16">
        <f t="shared" si="7"/>
        <v>33.972602739726028</v>
      </c>
      <c r="R12" s="16">
        <f t="shared" si="7"/>
        <v>33.972602739726028</v>
      </c>
      <c r="S12" s="16">
        <f t="shared" si="7"/>
        <v>33.972602739726028</v>
      </c>
      <c r="T12" s="16">
        <f t="shared" si="7"/>
        <v>33.972602739726028</v>
      </c>
      <c r="U12" s="16">
        <f t="shared" si="7"/>
        <v>33.972602739726028</v>
      </c>
      <c r="V12" s="16">
        <f t="shared" si="7"/>
        <v>33.972602739726028</v>
      </c>
      <c r="W12" s="16">
        <f t="shared" si="7"/>
        <v>33.972602739726028</v>
      </c>
      <c r="X12" s="16">
        <f t="shared" si="7"/>
        <v>33.972602739726028</v>
      </c>
      <c r="Y12" s="16">
        <f t="shared" si="7"/>
        <v>33.972602739726028</v>
      </c>
      <c r="Z12" s="16">
        <f t="shared" si="7"/>
        <v>33.972602739726028</v>
      </c>
      <c r="AA12" s="16">
        <f t="shared" si="7"/>
        <v>33.972602739726028</v>
      </c>
      <c r="AB12" s="16">
        <f t="shared" si="7"/>
        <v>33.972602739726028</v>
      </c>
    </row>
    <row r="13" spans="1:28" ht="15.75" customHeight="1" x14ac:dyDescent="0.3">
      <c r="A13" s="12">
        <f>RAW!$A$11</f>
        <v>25200</v>
      </c>
      <c r="B13" s="2"/>
      <c r="C13" s="17" t="s">
        <v>24</v>
      </c>
      <c r="D13" s="14">
        <f t="shared" si="2"/>
        <v>69.041095890410958</v>
      </c>
      <c r="E13" s="2"/>
      <c r="F13" s="17" t="s">
        <v>24</v>
      </c>
      <c r="G13" s="14">
        <f t="shared" ref="G13:AB13" si="8">($A13/G$5)/365</f>
        <v>9.8630136986301373</v>
      </c>
      <c r="H13" s="14">
        <f t="shared" si="8"/>
        <v>13.808219178082192</v>
      </c>
      <c r="I13" s="14">
        <f t="shared" si="8"/>
        <v>69.041095890410958</v>
      </c>
      <c r="J13" s="14">
        <f t="shared" si="8"/>
        <v>34.520547945205479</v>
      </c>
      <c r="K13" s="14">
        <f t="shared" si="8"/>
        <v>69.041095890410958</v>
      </c>
      <c r="L13" s="14">
        <f t="shared" si="8"/>
        <v>69.041095890410958</v>
      </c>
      <c r="M13" s="14">
        <f t="shared" si="8"/>
        <v>69.041095890410958</v>
      </c>
      <c r="N13" s="14">
        <f t="shared" si="8"/>
        <v>69.041095890410958</v>
      </c>
      <c r="O13" s="15">
        <f t="shared" si="8"/>
        <v>69.041095890410958</v>
      </c>
      <c r="P13" s="16">
        <f t="shared" si="8"/>
        <v>69.041095890410958</v>
      </c>
      <c r="Q13" s="16">
        <f t="shared" si="8"/>
        <v>69.041095890410958</v>
      </c>
      <c r="R13" s="16">
        <f t="shared" si="8"/>
        <v>69.041095890410958</v>
      </c>
      <c r="S13" s="16">
        <f t="shared" si="8"/>
        <v>69.041095890410958</v>
      </c>
      <c r="T13" s="16">
        <f t="shared" si="8"/>
        <v>69.041095890410958</v>
      </c>
      <c r="U13" s="16">
        <f t="shared" si="8"/>
        <v>69.041095890410958</v>
      </c>
      <c r="V13" s="16">
        <f t="shared" si="8"/>
        <v>69.041095890410958</v>
      </c>
      <c r="W13" s="16">
        <f t="shared" si="8"/>
        <v>69.041095890410958</v>
      </c>
      <c r="X13" s="16">
        <f t="shared" si="8"/>
        <v>69.041095890410958</v>
      </c>
      <c r="Y13" s="16">
        <f t="shared" si="8"/>
        <v>69.041095890410958</v>
      </c>
      <c r="Z13" s="16">
        <f t="shared" si="8"/>
        <v>69.041095890410958</v>
      </c>
      <c r="AA13" s="16">
        <f t="shared" si="8"/>
        <v>69.041095890410958</v>
      </c>
      <c r="AB13" s="16">
        <f t="shared" si="8"/>
        <v>69.041095890410958</v>
      </c>
    </row>
    <row r="14" spans="1:28" ht="15.75" customHeight="1" x14ac:dyDescent="0.3">
      <c r="A14" s="12">
        <f>RAW!$A$12</f>
        <v>50800</v>
      </c>
      <c r="B14" s="2"/>
      <c r="C14" s="17" t="s">
        <v>25</v>
      </c>
      <c r="D14" s="14">
        <f t="shared" si="2"/>
        <v>139.17808219178082</v>
      </c>
      <c r="E14" s="2"/>
      <c r="F14" s="17" t="s">
        <v>25</v>
      </c>
      <c r="G14" s="14">
        <f t="shared" ref="G14:AB14" si="9">($A14/G$5)/365</f>
        <v>19.882583170254403</v>
      </c>
      <c r="H14" s="14">
        <f t="shared" si="9"/>
        <v>27.835616438356166</v>
      </c>
      <c r="I14" s="14">
        <f t="shared" si="9"/>
        <v>139.17808219178082</v>
      </c>
      <c r="J14" s="14">
        <f t="shared" si="9"/>
        <v>69.589041095890408</v>
      </c>
      <c r="K14" s="14">
        <f t="shared" si="9"/>
        <v>139.17808219178082</v>
      </c>
      <c r="L14" s="14">
        <f t="shared" si="9"/>
        <v>139.17808219178082</v>
      </c>
      <c r="M14" s="14">
        <f t="shared" si="9"/>
        <v>139.17808219178082</v>
      </c>
      <c r="N14" s="14">
        <f t="shared" si="9"/>
        <v>139.17808219178082</v>
      </c>
      <c r="O14" s="15">
        <f t="shared" si="9"/>
        <v>139.17808219178082</v>
      </c>
      <c r="P14" s="16">
        <f t="shared" si="9"/>
        <v>139.17808219178082</v>
      </c>
      <c r="Q14" s="16">
        <f t="shared" si="9"/>
        <v>139.17808219178082</v>
      </c>
      <c r="R14" s="16">
        <f t="shared" si="9"/>
        <v>139.17808219178082</v>
      </c>
      <c r="S14" s="16">
        <f t="shared" si="9"/>
        <v>139.17808219178082</v>
      </c>
      <c r="T14" s="16">
        <f t="shared" si="9"/>
        <v>139.17808219178082</v>
      </c>
      <c r="U14" s="16">
        <f t="shared" si="9"/>
        <v>139.17808219178082</v>
      </c>
      <c r="V14" s="16">
        <f t="shared" si="9"/>
        <v>139.17808219178082</v>
      </c>
      <c r="W14" s="16">
        <f t="shared" si="9"/>
        <v>139.17808219178082</v>
      </c>
      <c r="X14" s="16">
        <f t="shared" si="9"/>
        <v>139.17808219178082</v>
      </c>
      <c r="Y14" s="16">
        <f t="shared" si="9"/>
        <v>139.17808219178082</v>
      </c>
      <c r="Z14" s="16">
        <f t="shared" si="9"/>
        <v>139.17808219178082</v>
      </c>
      <c r="AA14" s="16">
        <f t="shared" si="9"/>
        <v>139.17808219178082</v>
      </c>
      <c r="AB14" s="16">
        <f t="shared" si="9"/>
        <v>139.17808219178082</v>
      </c>
    </row>
    <row r="15" spans="1:28" ht="15.75" customHeight="1" x14ac:dyDescent="0.3">
      <c r="A15" s="12">
        <f>RAW!$A$13</f>
        <v>102000</v>
      </c>
      <c r="B15" s="2"/>
      <c r="C15" s="17" t="s">
        <v>26</v>
      </c>
      <c r="D15" s="14">
        <f t="shared" si="2"/>
        <v>279.45205479452056</v>
      </c>
      <c r="E15" s="2"/>
      <c r="F15" s="17" t="s">
        <v>26</v>
      </c>
      <c r="G15" s="14">
        <f t="shared" ref="G15:AB15" si="10">($A15/G$5)/365</f>
        <v>39.921722113502931</v>
      </c>
      <c r="H15" s="14">
        <f t="shared" si="10"/>
        <v>55.890410958904113</v>
      </c>
      <c r="I15" s="14">
        <f t="shared" si="10"/>
        <v>279.45205479452056</v>
      </c>
      <c r="J15" s="14">
        <f t="shared" si="10"/>
        <v>139.72602739726028</v>
      </c>
      <c r="K15" s="14">
        <f t="shared" si="10"/>
        <v>279.45205479452056</v>
      </c>
      <c r="L15" s="14">
        <f t="shared" si="10"/>
        <v>279.45205479452056</v>
      </c>
      <c r="M15" s="14">
        <f t="shared" si="10"/>
        <v>279.45205479452056</v>
      </c>
      <c r="N15" s="14">
        <f t="shared" si="10"/>
        <v>279.45205479452056</v>
      </c>
      <c r="O15" s="15">
        <f t="shared" si="10"/>
        <v>279.45205479452056</v>
      </c>
      <c r="P15" s="16">
        <f t="shared" si="10"/>
        <v>279.45205479452056</v>
      </c>
      <c r="Q15" s="16">
        <f t="shared" si="10"/>
        <v>279.45205479452056</v>
      </c>
      <c r="R15" s="16">
        <f t="shared" si="10"/>
        <v>279.45205479452056</v>
      </c>
      <c r="S15" s="16">
        <f t="shared" si="10"/>
        <v>279.45205479452056</v>
      </c>
      <c r="T15" s="16">
        <f t="shared" si="10"/>
        <v>279.45205479452056</v>
      </c>
      <c r="U15" s="16">
        <f t="shared" si="10"/>
        <v>279.45205479452056</v>
      </c>
      <c r="V15" s="16">
        <f t="shared" si="10"/>
        <v>279.45205479452056</v>
      </c>
      <c r="W15" s="16">
        <f t="shared" si="10"/>
        <v>279.45205479452056</v>
      </c>
      <c r="X15" s="16">
        <f t="shared" si="10"/>
        <v>279.45205479452056</v>
      </c>
      <c r="Y15" s="16">
        <f t="shared" si="10"/>
        <v>279.45205479452056</v>
      </c>
      <c r="Z15" s="16">
        <f t="shared" si="10"/>
        <v>279.45205479452056</v>
      </c>
      <c r="AA15" s="16">
        <f t="shared" si="10"/>
        <v>279.45205479452056</v>
      </c>
      <c r="AB15" s="16">
        <f t="shared" si="10"/>
        <v>279.45205479452056</v>
      </c>
    </row>
    <row r="16" spans="1:28" ht="15.75" customHeight="1" x14ac:dyDescent="0.3">
      <c r="A16" s="12">
        <f>RAW!$A$14</f>
        <v>204400</v>
      </c>
      <c r="B16" s="2"/>
      <c r="C16" s="17" t="s">
        <v>27</v>
      </c>
      <c r="D16" s="14">
        <f t="shared" si="2"/>
        <v>560</v>
      </c>
      <c r="E16" s="2"/>
      <c r="F16" s="17" t="s">
        <v>27</v>
      </c>
      <c r="G16" s="14">
        <f t="shared" ref="G16:AB16" si="11">($A16/G$5)/365</f>
        <v>80</v>
      </c>
      <c r="H16" s="14">
        <f t="shared" si="11"/>
        <v>112</v>
      </c>
      <c r="I16" s="14">
        <f t="shared" si="11"/>
        <v>560</v>
      </c>
      <c r="J16" s="14">
        <f t="shared" si="11"/>
        <v>280</v>
      </c>
      <c r="K16" s="14">
        <f t="shared" si="11"/>
        <v>560</v>
      </c>
      <c r="L16" s="14">
        <f t="shared" si="11"/>
        <v>560</v>
      </c>
      <c r="M16" s="14">
        <f t="shared" si="11"/>
        <v>560</v>
      </c>
      <c r="N16" s="14">
        <f t="shared" si="11"/>
        <v>560</v>
      </c>
      <c r="O16" s="15">
        <f t="shared" si="11"/>
        <v>560</v>
      </c>
      <c r="P16" s="16">
        <f t="shared" si="11"/>
        <v>560</v>
      </c>
      <c r="Q16" s="16">
        <f t="shared" si="11"/>
        <v>560</v>
      </c>
      <c r="R16" s="16">
        <f t="shared" si="11"/>
        <v>560</v>
      </c>
      <c r="S16" s="16">
        <f t="shared" si="11"/>
        <v>560</v>
      </c>
      <c r="T16" s="16">
        <f t="shared" si="11"/>
        <v>560</v>
      </c>
      <c r="U16" s="16">
        <f t="shared" si="11"/>
        <v>560</v>
      </c>
      <c r="V16" s="16">
        <f t="shared" si="11"/>
        <v>560</v>
      </c>
      <c r="W16" s="16">
        <f t="shared" si="11"/>
        <v>560</v>
      </c>
      <c r="X16" s="16">
        <f t="shared" si="11"/>
        <v>560</v>
      </c>
      <c r="Y16" s="16">
        <f t="shared" si="11"/>
        <v>560</v>
      </c>
      <c r="Z16" s="16">
        <f t="shared" si="11"/>
        <v>560</v>
      </c>
      <c r="AA16" s="16">
        <f t="shared" si="11"/>
        <v>560</v>
      </c>
      <c r="AB16" s="16">
        <f t="shared" si="11"/>
        <v>560</v>
      </c>
    </row>
    <row r="17" spans="1:28" ht="15.75" customHeight="1" x14ac:dyDescent="0.3">
      <c r="A17" s="12">
        <f>RAW!$A$15</f>
        <v>409200</v>
      </c>
      <c r="B17" s="2"/>
      <c r="C17" s="17" t="s">
        <v>28</v>
      </c>
      <c r="D17" s="14">
        <f t="shared" si="2"/>
        <v>1121.0958904109589</v>
      </c>
      <c r="E17" s="2"/>
      <c r="F17" s="17" t="s">
        <v>28</v>
      </c>
      <c r="G17" s="14">
        <f t="shared" ref="G17:AB17" si="12">($A17/G$5)/365</f>
        <v>160.15655577299412</v>
      </c>
      <c r="H17" s="14">
        <f t="shared" si="12"/>
        <v>224.21917808219177</v>
      </c>
      <c r="I17" s="14">
        <f t="shared" si="12"/>
        <v>1121.0958904109589</v>
      </c>
      <c r="J17" s="14">
        <f t="shared" si="12"/>
        <v>560.54794520547944</v>
      </c>
      <c r="K17" s="14">
        <f t="shared" si="12"/>
        <v>1121.0958904109589</v>
      </c>
      <c r="L17" s="14">
        <f t="shared" si="12"/>
        <v>1121.0958904109589</v>
      </c>
      <c r="M17" s="14">
        <f t="shared" si="12"/>
        <v>1121.0958904109589</v>
      </c>
      <c r="N17" s="14">
        <f t="shared" si="12"/>
        <v>1121.0958904109589</v>
      </c>
      <c r="O17" s="15">
        <f t="shared" si="12"/>
        <v>1121.0958904109589</v>
      </c>
      <c r="P17" s="16">
        <f t="shared" si="12"/>
        <v>1121.0958904109589</v>
      </c>
      <c r="Q17" s="16">
        <f t="shared" si="12"/>
        <v>1121.0958904109589</v>
      </c>
      <c r="R17" s="16">
        <f t="shared" si="12"/>
        <v>1121.0958904109589</v>
      </c>
      <c r="S17" s="16">
        <f t="shared" si="12"/>
        <v>1121.0958904109589</v>
      </c>
      <c r="T17" s="16">
        <f t="shared" si="12"/>
        <v>1121.0958904109589</v>
      </c>
      <c r="U17" s="16">
        <f t="shared" si="12"/>
        <v>1121.0958904109589</v>
      </c>
      <c r="V17" s="16">
        <f t="shared" si="12"/>
        <v>1121.0958904109589</v>
      </c>
      <c r="W17" s="16">
        <f t="shared" si="12"/>
        <v>1121.0958904109589</v>
      </c>
      <c r="X17" s="16">
        <f t="shared" si="12"/>
        <v>1121.0958904109589</v>
      </c>
      <c r="Y17" s="16">
        <f t="shared" si="12"/>
        <v>1121.0958904109589</v>
      </c>
      <c r="Z17" s="16">
        <f t="shared" si="12"/>
        <v>1121.0958904109589</v>
      </c>
      <c r="AA17" s="16">
        <f t="shared" si="12"/>
        <v>1121.0958904109589</v>
      </c>
      <c r="AB17" s="16">
        <f t="shared" si="12"/>
        <v>1121.0958904109589</v>
      </c>
    </row>
    <row r="18" spans="1:28" ht="15.75" customHeight="1" x14ac:dyDescent="0.3">
      <c r="A18" s="12">
        <f>RAW!$A$16</f>
        <v>818800</v>
      </c>
      <c r="B18" s="2"/>
      <c r="C18" s="17" t="s">
        <v>29</v>
      </c>
      <c r="D18" s="14">
        <f t="shared" si="2"/>
        <v>2243.2876712328766</v>
      </c>
      <c r="E18" s="2"/>
      <c r="F18" s="17" t="s">
        <v>29</v>
      </c>
      <c r="G18" s="14">
        <f t="shared" ref="G18:AB18" si="13">($A18/G$5)/365</f>
        <v>320.46966731898237</v>
      </c>
      <c r="H18" s="14">
        <f t="shared" si="13"/>
        <v>448.65753424657532</v>
      </c>
      <c r="I18" s="14">
        <f t="shared" si="13"/>
        <v>2243.2876712328766</v>
      </c>
      <c r="J18" s="14">
        <f t="shared" si="13"/>
        <v>1121.6438356164383</v>
      </c>
      <c r="K18" s="14">
        <f t="shared" si="13"/>
        <v>2243.2876712328766</v>
      </c>
      <c r="L18" s="14">
        <f t="shared" si="13"/>
        <v>2243.2876712328766</v>
      </c>
      <c r="M18" s="14">
        <f t="shared" si="13"/>
        <v>2243.2876712328766</v>
      </c>
      <c r="N18" s="14">
        <f t="shared" si="13"/>
        <v>2243.2876712328766</v>
      </c>
      <c r="O18" s="15">
        <f t="shared" si="13"/>
        <v>2243.2876712328766</v>
      </c>
      <c r="P18" s="16">
        <f t="shared" si="13"/>
        <v>2243.2876712328766</v>
      </c>
      <c r="Q18" s="16">
        <f t="shared" si="13"/>
        <v>2243.2876712328766</v>
      </c>
      <c r="R18" s="16">
        <f t="shared" si="13"/>
        <v>2243.2876712328766</v>
      </c>
      <c r="S18" s="16">
        <f t="shared" si="13"/>
        <v>2243.2876712328766</v>
      </c>
      <c r="T18" s="16">
        <f t="shared" si="13"/>
        <v>2243.2876712328766</v>
      </c>
      <c r="U18" s="16">
        <f t="shared" si="13"/>
        <v>2243.2876712328766</v>
      </c>
      <c r="V18" s="16">
        <f t="shared" si="13"/>
        <v>2243.2876712328766</v>
      </c>
      <c r="W18" s="16">
        <f t="shared" si="13"/>
        <v>2243.2876712328766</v>
      </c>
      <c r="X18" s="16">
        <f t="shared" si="13"/>
        <v>2243.2876712328766</v>
      </c>
      <c r="Y18" s="16">
        <f t="shared" si="13"/>
        <v>2243.2876712328766</v>
      </c>
      <c r="Z18" s="16">
        <f t="shared" si="13"/>
        <v>2243.2876712328766</v>
      </c>
      <c r="AA18" s="16">
        <f t="shared" si="13"/>
        <v>2243.2876712328766</v>
      </c>
      <c r="AB18" s="16">
        <f t="shared" si="13"/>
        <v>2243.2876712328766</v>
      </c>
    </row>
    <row r="19" spans="1:28" ht="15.75" customHeight="1" x14ac:dyDescent="0.3">
      <c r="A19" s="12">
        <f>RAW!$A$17</f>
        <v>1638000</v>
      </c>
      <c r="B19" s="2"/>
      <c r="C19" s="17" t="s">
        <v>30</v>
      </c>
      <c r="D19" s="14">
        <f t="shared" si="2"/>
        <v>4487.6712328767126</v>
      </c>
      <c r="E19" s="2"/>
      <c r="F19" s="17" t="s">
        <v>30</v>
      </c>
      <c r="G19" s="14">
        <f t="shared" ref="G19:AB19" si="14">($A19/G$5)/365</f>
        <v>641.09589041095887</v>
      </c>
      <c r="H19" s="14">
        <f t="shared" si="14"/>
        <v>897.53424657534242</v>
      </c>
      <c r="I19" s="14">
        <f t="shared" si="14"/>
        <v>4487.6712328767126</v>
      </c>
      <c r="J19" s="14">
        <f t="shared" si="14"/>
        <v>2243.8356164383563</v>
      </c>
      <c r="K19" s="14">
        <f t="shared" si="14"/>
        <v>4487.6712328767126</v>
      </c>
      <c r="L19" s="14">
        <f t="shared" si="14"/>
        <v>4487.6712328767126</v>
      </c>
      <c r="M19" s="14">
        <f t="shared" si="14"/>
        <v>4487.6712328767126</v>
      </c>
      <c r="N19" s="14">
        <f t="shared" si="14"/>
        <v>4487.6712328767126</v>
      </c>
      <c r="O19" s="15">
        <f t="shared" si="14"/>
        <v>4487.6712328767126</v>
      </c>
      <c r="P19" s="16">
        <f t="shared" si="14"/>
        <v>4487.6712328767126</v>
      </c>
      <c r="Q19" s="16">
        <f t="shared" si="14"/>
        <v>4487.6712328767126</v>
      </c>
      <c r="R19" s="16">
        <f t="shared" si="14"/>
        <v>4487.6712328767126</v>
      </c>
      <c r="S19" s="16">
        <f t="shared" si="14"/>
        <v>4487.6712328767126</v>
      </c>
      <c r="T19" s="16">
        <f t="shared" si="14"/>
        <v>4487.6712328767126</v>
      </c>
      <c r="U19" s="16">
        <f t="shared" si="14"/>
        <v>4487.6712328767126</v>
      </c>
      <c r="V19" s="16">
        <f t="shared" si="14"/>
        <v>4487.6712328767126</v>
      </c>
      <c r="W19" s="16">
        <f t="shared" si="14"/>
        <v>4487.6712328767126</v>
      </c>
      <c r="X19" s="16">
        <f t="shared" si="14"/>
        <v>4487.6712328767126</v>
      </c>
      <c r="Y19" s="16">
        <f t="shared" si="14"/>
        <v>4487.6712328767126</v>
      </c>
      <c r="Z19" s="16">
        <f t="shared" si="14"/>
        <v>4487.6712328767126</v>
      </c>
      <c r="AA19" s="16">
        <f t="shared" si="14"/>
        <v>4487.6712328767126</v>
      </c>
      <c r="AB19" s="16">
        <f t="shared" si="14"/>
        <v>4487.6712328767126</v>
      </c>
    </row>
    <row r="20" spans="1:28" ht="15.75" customHeight="1" x14ac:dyDescent="0.3">
      <c r="A20" s="12">
        <f>RAW!$A$18</f>
        <v>3276400</v>
      </c>
      <c r="B20" s="2"/>
      <c r="C20" s="17" t="s">
        <v>31</v>
      </c>
      <c r="D20" s="14">
        <f t="shared" si="2"/>
        <v>8976.4383561643845</v>
      </c>
      <c r="E20" s="2"/>
      <c r="F20" s="17" t="s">
        <v>31</v>
      </c>
      <c r="G20" s="14">
        <f t="shared" ref="G20:AB20" si="15">($A20/G$5)/365</f>
        <v>1282.3483365949119</v>
      </c>
      <c r="H20" s="14">
        <f t="shared" si="15"/>
        <v>1795.2876712328766</v>
      </c>
      <c r="I20" s="14">
        <f t="shared" si="15"/>
        <v>8976.4383561643845</v>
      </c>
      <c r="J20" s="14">
        <f t="shared" si="15"/>
        <v>4488.2191780821922</v>
      </c>
      <c r="K20" s="14">
        <f t="shared" si="15"/>
        <v>8976.4383561643845</v>
      </c>
      <c r="L20" s="14">
        <f t="shared" si="15"/>
        <v>8976.4383561643845</v>
      </c>
      <c r="M20" s="14">
        <f t="shared" si="15"/>
        <v>8976.4383561643845</v>
      </c>
      <c r="N20" s="14">
        <f t="shared" si="15"/>
        <v>8976.4383561643845</v>
      </c>
      <c r="O20" s="15">
        <f t="shared" si="15"/>
        <v>8976.4383561643845</v>
      </c>
      <c r="P20" s="16">
        <f t="shared" si="15"/>
        <v>8976.4383561643845</v>
      </c>
      <c r="Q20" s="16">
        <f t="shared" si="15"/>
        <v>8976.4383561643845</v>
      </c>
      <c r="R20" s="16">
        <f t="shared" si="15"/>
        <v>8976.4383561643845</v>
      </c>
      <c r="S20" s="16">
        <f t="shared" si="15"/>
        <v>8976.4383561643845</v>
      </c>
      <c r="T20" s="16">
        <f t="shared" si="15"/>
        <v>8976.4383561643845</v>
      </c>
      <c r="U20" s="16">
        <f t="shared" si="15"/>
        <v>8976.4383561643845</v>
      </c>
      <c r="V20" s="16">
        <f t="shared" si="15"/>
        <v>8976.4383561643845</v>
      </c>
      <c r="W20" s="16">
        <f t="shared" si="15"/>
        <v>8976.4383561643845</v>
      </c>
      <c r="X20" s="16">
        <f t="shared" si="15"/>
        <v>8976.4383561643845</v>
      </c>
      <c r="Y20" s="16">
        <f t="shared" si="15"/>
        <v>8976.4383561643845</v>
      </c>
      <c r="Z20" s="16">
        <f t="shared" si="15"/>
        <v>8976.4383561643845</v>
      </c>
      <c r="AA20" s="16">
        <f t="shared" si="15"/>
        <v>8976.4383561643845</v>
      </c>
      <c r="AB20" s="16">
        <f t="shared" si="15"/>
        <v>8976.4383561643845</v>
      </c>
    </row>
    <row r="21" spans="1:28" ht="15.75" customHeight="1" x14ac:dyDescent="0.3">
      <c r="A21" s="12">
        <f>RAW!$A$19</f>
        <v>6553200</v>
      </c>
      <c r="B21" s="2"/>
      <c r="C21" s="17" t="s">
        <v>32</v>
      </c>
      <c r="D21" s="14">
        <f t="shared" si="2"/>
        <v>17953.972602739726</v>
      </c>
      <c r="E21" s="2"/>
      <c r="F21" s="17" t="s">
        <v>32</v>
      </c>
      <c r="G21" s="14">
        <f t="shared" ref="G21:AB21" si="16">($A21/G$5)/365</f>
        <v>2564.8532289628179</v>
      </c>
      <c r="H21" s="14">
        <f t="shared" si="16"/>
        <v>3590.794520547945</v>
      </c>
      <c r="I21" s="14">
        <f t="shared" si="16"/>
        <v>17953.972602739726</v>
      </c>
      <c r="J21" s="14">
        <f t="shared" si="16"/>
        <v>8976.9863013698632</v>
      </c>
      <c r="K21" s="14">
        <f t="shared" si="16"/>
        <v>17953.972602739726</v>
      </c>
      <c r="L21" s="14">
        <f t="shared" si="16"/>
        <v>17953.972602739726</v>
      </c>
      <c r="M21" s="14">
        <f t="shared" si="16"/>
        <v>17953.972602739726</v>
      </c>
      <c r="N21" s="14">
        <f t="shared" si="16"/>
        <v>17953.972602739726</v>
      </c>
      <c r="O21" s="15">
        <f t="shared" si="16"/>
        <v>17953.972602739726</v>
      </c>
      <c r="P21" s="16">
        <f t="shared" si="16"/>
        <v>17953.972602739726</v>
      </c>
      <c r="Q21" s="16">
        <f t="shared" si="16"/>
        <v>17953.972602739726</v>
      </c>
      <c r="R21" s="16">
        <f t="shared" si="16"/>
        <v>17953.972602739726</v>
      </c>
      <c r="S21" s="16">
        <f t="shared" si="16"/>
        <v>17953.972602739726</v>
      </c>
      <c r="T21" s="16">
        <f t="shared" si="16"/>
        <v>17953.972602739726</v>
      </c>
      <c r="U21" s="16">
        <f t="shared" si="16"/>
        <v>17953.972602739726</v>
      </c>
      <c r="V21" s="16">
        <f t="shared" si="16"/>
        <v>17953.972602739726</v>
      </c>
      <c r="W21" s="16">
        <f t="shared" si="16"/>
        <v>17953.972602739726</v>
      </c>
      <c r="X21" s="16">
        <f t="shared" si="16"/>
        <v>17953.972602739726</v>
      </c>
      <c r="Y21" s="16">
        <f t="shared" si="16"/>
        <v>17953.972602739726</v>
      </c>
      <c r="Z21" s="16">
        <f t="shared" si="16"/>
        <v>17953.972602739726</v>
      </c>
      <c r="AA21" s="16">
        <f t="shared" si="16"/>
        <v>17953.972602739726</v>
      </c>
      <c r="AB21" s="16">
        <f t="shared" si="16"/>
        <v>17953.972602739726</v>
      </c>
    </row>
    <row r="22" spans="1:28" ht="15.75" customHeight="1" x14ac:dyDescent="0.3">
      <c r="A22" s="12">
        <f>RAW!$A$20</f>
        <v>13106800</v>
      </c>
      <c r="B22" s="2"/>
      <c r="C22" s="17" t="s">
        <v>33</v>
      </c>
      <c r="D22" s="14">
        <f t="shared" si="2"/>
        <v>35909.04109589041</v>
      </c>
      <c r="E22" s="2"/>
      <c r="F22" s="17" t="s">
        <v>33</v>
      </c>
      <c r="G22" s="14">
        <f t="shared" ref="G22:AB22" si="17">($A22/G$5)/365</f>
        <v>5129.8630136986303</v>
      </c>
      <c r="H22" s="14">
        <f t="shared" si="17"/>
        <v>7181.8082191780823</v>
      </c>
      <c r="I22" s="14">
        <f t="shared" si="17"/>
        <v>35909.04109589041</v>
      </c>
      <c r="J22" s="14">
        <f t="shared" si="17"/>
        <v>17954.520547945205</v>
      </c>
      <c r="K22" s="14">
        <f t="shared" si="17"/>
        <v>35909.04109589041</v>
      </c>
      <c r="L22" s="14">
        <f t="shared" si="17"/>
        <v>35909.04109589041</v>
      </c>
      <c r="M22" s="14">
        <f t="shared" si="17"/>
        <v>35909.04109589041</v>
      </c>
      <c r="N22" s="14">
        <f t="shared" si="17"/>
        <v>35909.04109589041</v>
      </c>
      <c r="O22" s="15">
        <f t="shared" si="17"/>
        <v>35909.04109589041</v>
      </c>
      <c r="P22" s="16">
        <f t="shared" si="17"/>
        <v>35909.04109589041</v>
      </c>
      <c r="Q22" s="16">
        <f t="shared" si="17"/>
        <v>35909.04109589041</v>
      </c>
      <c r="R22" s="16">
        <f t="shared" si="17"/>
        <v>35909.04109589041</v>
      </c>
      <c r="S22" s="16">
        <f t="shared" si="17"/>
        <v>35909.04109589041</v>
      </c>
      <c r="T22" s="16">
        <f t="shared" si="17"/>
        <v>35909.04109589041</v>
      </c>
      <c r="U22" s="16">
        <f t="shared" si="17"/>
        <v>35909.04109589041</v>
      </c>
      <c r="V22" s="16">
        <f t="shared" si="17"/>
        <v>35909.04109589041</v>
      </c>
      <c r="W22" s="16">
        <f t="shared" si="17"/>
        <v>35909.04109589041</v>
      </c>
      <c r="X22" s="16">
        <f t="shared" si="17"/>
        <v>35909.04109589041</v>
      </c>
      <c r="Y22" s="16">
        <f t="shared" si="17"/>
        <v>35909.04109589041</v>
      </c>
      <c r="Z22" s="16">
        <f t="shared" si="17"/>
        <v>35909.04109589041</v>
      </c>
      <c r="AA22" s="16">
        <f t="shared" si="17"/>
        <v>35909.04109589041</v>
      </c>
      <c r="AB22" s="16">
        <f t="shared" si="17"/>
        <v>35909.04109589041</v>
      </c>
    </row>
    <row r="23" spans="1:28" ht="15.75" customHeight="1" x14ac:dyDescent="0.3">
      <c r="A23" s="12">
        <f>RAW!$A$21</f>
        <v>26214000</v>
      </c>
      <c r="B23" s="2"/>
      <c r="C23" s="17" t="s">
        <v>34</v>
      </c>
      <c r="D23" s="14">
        <f t="shared" si="2"/>
        <v>71819.178082191778</v>
      </c>
      <c r="E23" s="2"/>
      <c r="F23" s="17" t="s">
        <v>34</v>
      </c>
      <c r="G23" s="14">
        <f t="shared" ref="G23:AB23" si="18">($A23/G$5)/365</f>
        <v>10259.882583170254</v>
      </c>
      <c r="H23" s="14">
        <f t="shared" si="18"/>
        <v>14363.835616438357</v>
      </c>
      <c r="I23" s="14">
        <f t="shared" si="18"/>
        <v>71819.178082191778</v>
      </c>
      <c r="J23" s="14">
        <f t="shared" si="18"/>
        <v>35909.589041095889</v>
      </c>
      <c r="K23" s="14">
        <f t="shared" si="18"/>
        <v>71819.178082191778</v>
      </c>
      <c r="L23" s="14">
        <f t="shared" si="18"/>
        <v>71819.178082191778</v>
      </c>
      <c r="M23" s="14">
        <f t="shared" si="18"/>
        <v>71819.178082191778</v>
      </c>
      <c r="N23" s="14">
        <f t="shared" si="18"/>
        <v>71819.178082191778</v>
      </c>
      <c r="O23" s="15">
        <f t="shared" si="18"/>
        <v>71819.178082191778</v>
      </c>
      <c r="P23" s="16">
        <f t="shared" si="18"/>
        <v>71819.178082191778</v>
      </c>
      <c r="Q23" s="16">
        <f t="shared" si="18"/>
        <v>71819.178082191778</v>
      </c>
      <c r="R23" s="16">
        <f t="shared" si="18"/>
        <v>71819.178082191778</v>
      </c>
      <c r="S23" s="16">
        <f t="shared" si="18"/>
        <v>71819.178082191778</v>
      </c>
      <c r="T23" s="16">
        <f t="shared" si="18"/>
        <v>71819.178082191778</v>
      </c>
      <c r="U23" s="16">
        <f t="shared" si="18"/>
        <v>71819.178082191778</v>
      </c>
      <c r="V23" s="16">
        <f t="shared" si="18"/>
        <v>71819.178082191778</v>
      </c>
      <c r="W23" s="16">
        <f t="shared" si="18"/>
        <v>71819.178082191778</v>
      </c>
      <c r="X23" s="16">
        <f t="shared" si="18"/>
        <v>71819.178082191778</v>
      </c>
      <c r="Y23" s="16">
        <f t="shared" si="18"/>
        <v>71819.178082191778</v>
      </c>
      <c r="Z23" s="16">
        <f t="shared" si="18"/>
        <v>71819.178082191778</v>
      </c>
      <c r="AA23" s="16">
        <f t="shared" si="18"/>
        <v>71819.178082191778</v>
      </c>
      <c r="AB23" s="16">
        <f t="shared" si="18"/>
        <v>71819.178082191778</v>
      </c>
    </row>
    <row r="24" spans="1:28" ht="15.75" customHeight="1" x14ac:dyDescent="0.3">
      <c r="A24" s="12">
        <f>RAW!$A$22</f>
        <v>52428400</v>
      </c>
      <c r="B24" s="2"/>
      <c r="C24" s="17" t="s">
        <v>35</v>
      </c>
      <c r="D24" s="14">
        <f t="shared" si="2"/>
        <v>143639.45205479453</v>
      </c>
      <c r="E24" s="2"/>
      <c r="F24" s="17" t="s">
        <v>35</v>
      </c>
      <c r="G24" s="14">
        <f t="shared" ref="G24:AB24" si="19">($A24/G$5)/365</f>
        <v>20519.9217221135</v>
      </c>
      <c r="H24" s="14">
        <f t="shared" si="19"/>
        <v>28727.890410958906</v>
      </c>
      <c r="I24" s="14">
        <f t="shared" si="19"/>
        <v>143639.45205479453</v>
      </c>
      <c r="J24" s="14">
        <f t="shared" si="19"/>
        <v>71819.726027397264</v>
      </c>
      <c r="K24" s="14">
        <f t="shared" si="19"/>
        <v>143639.45205479453</v>
      </c>
      <c r="L24" s="14">
        <f t="shared" si="19"/>
        <v>143639.45205479453</v>
      </c>
      <c r="M24" s="14">
        <f t="shared" si="19"/>
        <v>143639.45205479453</v>
      </c>
      <c r="N24" s="14">
        <f t="shared" si="19"/>
        <v>143639.45205479453</v>
      </c>
      <c r="O24" s="15">
        <f t="shared" si="19"/>
        <v>143639.45205479453</v>
      </c>
      <c r="P24" s="16">
        <f t="shared" si="19"/>
        <v>143639.45205479453</v>
      </c>
      <c r="Q24" s="16">
        <f t="shared" si="19"/>
        <v>143639.45205479453</v>
      </c>
      <c r="R24" s="16">
        <f t="shared" si="19"/>
        <v>143639.45205479453</v>
      </c>
      <c r="S24" s="16">
        <f t="shared" si="19"/>
        <v>143639.45205479453</v>
      </c>
      <c r="T24" s="16">
        <f t="shared" si="19"/>
        <v>143639.45205479453</v>
      </c>
      <c r="U24" s="16">
        <f t="shared" si="19"/>
        <v>143639.45205479453</v>
      </c>
      <c r="V24" s="16">
        <f t="shared" si="19"/>
        <v>143639.45205479453</v>
      </c>
      <c r="W24" s="16">
        <f t="shared" si="19"/>
        <v>143639.45205479453</v>
      </c>
      <c r="X24" s="16">
        <f t="shared" si="19"/>
        <v>143639.45205479453</v>
      </c>
      <c r="Y24" s="16">
        <f t="shared" si="19"/>
        <v>143639.45205479453</v>
      </c>
      <c r="Z24" s="16">
        <f t="shared" si="19"/>
        <v>143639.45205479453</v>
      </c>
      <c r="AA24" s="16">
        <f t="shared" si="19"/>
        <v>143639.45205479453</v>
      </c>
      <c r="AB24" s="16">
        <f t="shared" si="19"/>
        <v>143639.45205479453</v>
      </c>
    </row>
    <row r="25" spans="1:28" ht="15.75" customHeight="1" x14ac:dyDescent="0.3">
      <c r="A25" s="3"/>
      <c r="B25" s="2"/>
      <c r="C25" s="29"/>
      <c r="D25" s="30"/>
      <c r="E25" s="2"/>
      <c r="F25" s="3"/>
      <c r="G25" s="31" t="s">
        <v>36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spans="1:28" ht="15.75" customHeight="1" x14ac:dyDescent="0.3">
      <c r="A26" s="19" t="s">
        <v>37</v>
      </c>
      <c r="B26" s="2"/>
      <c r="C26" s="10" t="s">
        <v>9</v>
      </c>
      <c r="D26" s="10" t="s">
        <v>10</v>
      </c>
      <c r="E26" s="2"/>
      <c r="F26" s="20" t="s">
        <v>9</v>
      </c>
      <c r="G26" s="11" t="str">
        <f t="shared" ref="G26:AB26" si="20">G7</f>
        <v>Dalila</v>
      </c>
      <c r="H26" s="11" t="str">
        <f t="shared" si="20"/>
        <v>Melada</v>
      </c>
      <c r="I26" s="11" t="str">
        <f t="shared" si="20"/>
        <v>Honati</v>
      </c>
      <c r="J26" s="11" t="str">
        <f t="shared" si="20"/>
        <v>Laramy</v>
      </c>
      <c r="K26" s="11">
        <f t="shared" si="20"/>
        <v>0</v>
      </c>
      <c r="L26" s="11">
        <f t="shared" si="20"/>
        <v>0</v>
      </c>
      <c r="M26" s="11">
        <f t="shared" si="20"/>
        <v>0</v>
      </c>
      <c r="N26" s="11">
        <f t="shared" si="20"/>
        <v>0</v>
      </c>
      <c r="O26" s="11">
        <f t="shared" si="20"/>
        <v>0</v>
      </c>
      <c r="P26" s="11">
        <f t="shared" si="20"/>
        <v>0</v>
      </c>
      <c r="Q26" s="11">
        <f t="shared" si="20"/>
        <v>0</v>
      </c>
      <c r="R26" s="11">
        <f t="shared" si="20"/>
        <v>0</v>
      </c>
      <c r="S26" s="11">
        <f t="shared" si="20"/>
        <v>0</v>
      </c>
      <c r="T26" s="11">
        <f t="shared" si="20"/>
        <v>0</v>
      </c>
      <c r="U26" s="11">
        <f t="shared" si="20"/>
        <v>0</v>
      </c>
      <c r="V26" s="11">
        <f t="shared" si="20"/>
        <v>0</v>
      </c>
      <c r="W26" s="11">
        <f t="shared" si="20"/>
        <v>0</v>
      </c>
      <c r="X26" s="11">
        <f t="shared" si="20"/>
        <v>0</v>
      </c>
      <c r="Y26" s="11">
        <f t="shared" si="20"/>
        <v>0</v>
      </c>
      <c r="Z26" s="11">
        <f t="shared" si="20"/>
        <v>0</v>
      </c>
      <c r="AA26" s="11">
        <f t="shared" si="20"/>
        <v>0</v>
      </c>
      <c r="AB26" s="11">
        <f t="shared" si="20"/>
        <v>0</v>
      </c>
    </row>
    <row r="27" spans="1:28" ht="15.75" customHeight="1" x14ac:dyDescent="0.3">
      <c r="A27" s="12">
        <f>RAW!$A$6</f>
        <v>400</v>
      </c>
      <c r="B27" s="2"/>
      <c r="C27" s="21" t="s">
        <v>19</v>
      </c>
      <c r="D27" s="22">
        <f t="shared" ref="D27:D43" si="21">$A27/D$5</f>
        <v>400</v>
      </c>
      <c r="E27" s="2"/>
      <c r="F27" s="21" t="s">
        <v>19</v>
      </c>
      <c r="G27" s="23">
        <f t="shared" ref="G27:AB27" si="22">$A27/G$5</f>
        <v>57.142857142857146</v>
      </c>
      <c r="H27" s="23">
        <f t="shared" si="22"/>
        <v>80</v>
      </c>
      <c r="I27" s="23">
        <f t="shared" si="22"/>
        <v>400</v>
      </c>
      <c r="J27" s="23">
        <f t="shared" si="22"/>
        <v>200</v>
      </c>
      <c r="K27" s="23">
        <f t="shared" si="22"/>
        <v>400</v>
      </c>
      <c r="L27" s="23">
        <f t="shared" si="22"/>
        <v>400</v>
      </c>
      <c r="M27" s="23">
        <f t="shared" si="22"/>
        <v>400</v>
      </c>
      <c r="N27" s="23">
        <f t="shared" si="22"/>
        <v>400</v>
      </c>
      <c r="O27" s="23">
        <f t="shared" si="22"/>
        <v>400</v>
      </c>
      <c r="P27" s="23">
        <f t="shared" si="22"/>
        <v>400</v>
      </c>
      <c r="Q27" s="23">
        <f t="shared" si="22"/>
        <v>400</v>
      </c>
      <c r="R27" s="23">
        <f t="shared" si="22"/>
        <v>400</v>
      </c>
      <c r="S27" s="23">
        <f t="shared" si="22"/>
        <v>400</v>
      </c>
      <c r="T27" s="23">
        <f t="shared" si="22"/>
        <v>400</v>
      </c>
      <c r="U27" s="23">
        <f t="shared" si="22"/>
        <v>400</v>
      </c>
      <c r="V27" s="23">
        <f t="shared" si="22"/>
        <v>400</v>
      </c>
      <c r="W27" s="23">
        <f t="shared" si="22"/>
        <v>400</v>
      </c>
      <c r="X27" s="23">
        <f t="shared" si="22"/>
        <v>400</v>
      </c>
      <c r="Y27" s="23">
        <f t="shared" si="22"/>
        <v>400</v>
      </c>
      <c r="Z27" s="23">
        <f t="shared" si="22"/>
        <v>400</v>
      </c>
      <c r="AA27" s="23">
        <f t="shared" si="22"/>
        <v>400</v>
      </c>
      <c r="AB27" s="23">
        <f t="shared" si="22"/>
        <v>400</v>
      </c>
    </row>
    <row r="28" spans="1:28" ht="15.75" customHeight="1" x14ac:dyDescent="0.3">
      <c r="A28" s="12">
        <f>RAW!$A$7</f>
        <v>1200</v>
      </c>
      <c r="B28" s="2"/>
      <c r="C28" s="24" t="s">
        <v>20</v>
      </c>
      <c r="D28" s="23">
        <f t="shared" si="21"/>
        <v>1200</v>
      </c>
      <c r="E28" s="2"/>
      <c r="F28" s="24" t="s">
        <v>20</v>
      </c>
      <c r="G28" s="23">
        <f t="shared" ref="G28:AB28" si="23">$A28/G$5</f>
        <v>171.42857142857142</v>
      </c>
      <c r="H28" s="23">
        <f t="shared" si="23"/>
        <v>240</v>
      </c>
      <c r="I28" s="23">
        <f t="shared" si="23"/>
        <v>1200</v>
      </c>
      <c r="J28" s="23">
        <f t="shared" si="23"/>
        <v>600</v>
      </c>
      <c r="K28" s="23">
        <f t="shared" si="23"/>
        <v>1200</v>
      </c>
      <c r="L28" s="23">
        <f t="shared" si="23"/>
        <v>1200</v>
      </c>
      <c r="M28" s="23">
        <f t="shared" si="23"/>
        <v>1200</v>
      </c>
      <c r="N28" s="23">
        <f t="shared" si="23"/>
        <v>1200</v>
      </c>
      <c r="O28" s="23">
        <f t="shared" si="23"/>
        <v>1200</v>
      </c>
      <c r="P28" s="23">
        <f t="shared" si="23"/>
        <v>1200</v>
      </c>
      <c r="Q28" s="23">
        <f t="shared" si="23"/>
        <v>1200</v>
      </c>
      <c r="R28" s="23">
        <f t="shared" si="23"/>
        <v>1200</v>
      </c>
      <c r="S28" s="23">
        <f t="shared" si="23"/>
        <v>1200</v>
      </c>
      <c r="T28" s="23">
        <f t="shared" si="23"/>
        <v>1200</v>
      </c>
      <c r="U28" s="23">
        <f t="shared" si="23"/>
        <v>1200</v>
      </c>
      <c r="V28" s="23">
        <f t="shared" si="23"/>
        <v>1200</v>
      </c>
      <c r="W28" s="23">
        <f t="shared" si="23"/>
        <v>1200</v>
      </c>
      <c r="X28" s="23">
        <f t="shared" si="23"/>
        <v>1200</v>
      </c>
      <c r="Y28" s="23">
        <f t="shared" si="23"/>
        <v>1200</v>
      </c>
      <c r="Z28" s="23">
        <f t="shared" si="23"/>
        <v>1200</v>
      </c>
      <c r="AA28" s="23">
        <f t="shared" si="23"/>
        <v>1200</v>
      </c>
      <c r="AB28" s="23">
        <f t="shared" si="23"/>
        <v>1200</v>
      </c>
    </row>
    <row r="29" spans="1:28" ht="15.75" customHeight="1" x14ac:dyDescent="0.3">
      <c r="A29" s="12">
        <f>RAW!$A$8</f>
        <v>2800</v>
      </c>
      <c r="B29" s="2"/>
      <c r="C29" s="24" t="s">
        <v>21</v>
      </c>
      <c r="D29" s="23">
        <f t="shared" si="21"/>
        <v>2800</v>
      </c>
      <c r="E29" s="2"/>
      <c r="F29" s="24" t="s">
        <v>21</v>
      </c>
      <c r="G29" s="23">
        <f t="shared" ref="G29:AB29" si="24">$A29/G$5</f>
        <v>400</v>
      </c>
      <c r="H29" s="23">
        <f t="shared" si="24"/>
        <v>560</v>
      </c>
      <c r="I29" s="23">
        <f t="shared" si="24"/>
        <v>2800</v>
      </c>
      <c r="J29" s="23">
        <f t="shared" si="24"/>
        <v>1400</v>
      </c>
      <c r="K29" s="23">
        <f t="shared" si="24"/>
        <v>2800</v>
      </c>
      <c r="L29" s="23">
        <f t="shared" si="24"/>
        <v>2800</v>
      </c>
      <c r="M29" s="23">
        <f t="shared" si="24"/>
        <v>2800</v>
      </c>
      <c r="N29" s="23">
        <f t="shared" si="24"/>
        <v>2800</v>
      </c>
      <c r="O29" s="23">
        <f t="shared" si="24"/>
        <v>2800</v>
      </c>
      <c r="P29" s="23">
        <f t="shared" si="24"/>
        <v>2800</v>
      </c>
      <c r="Q29" s="23">
        <f t="shared" si="24"/>
        <v>2800</v>
      </c>
      <c r="R29" s="23">
        <f t="shared" si="24"/>
        <v>2800</v>
      </c>
      <c r="S29" s="23">
        <f t="shared" si="24"/>
        <v>2800</v>
      </c>
      <c r="T29" s="23">
        <f t="shared" si="24"/>
        <v>2800</v>
      </c>
      <c r="U29" s="23">
        <f t="shared" si="24"/>
        <v>2800</v>
      </c>
      <c r="V29" s="23">
        <f t="shared" si="24"/>
        <v>2800</v>
      </c>
      <c r="W29" s="23">
        <f t="shared" si="24"/>
        <v>2800</v>
      </c>
      <c r="X29" s="23">
        <f t="shared" si="24"/>
        <v>2800</v>
      </c>
      <c r="Y29" s="23">
        <f t="shared" si="24"/>
        <v>2800</v>
      </c>
      <c r="Z29" s="23">
        <f t="shared" si="24"/>
        <v>2800</v>
      </c>
      <c r="AA29" s="23">
        <f t="shared" si="24"/>
        <v>2800</v>
      </c>
      <c r="AB29" s="23">
        <f t="shared" si="24"/>
        <v>2800</v>
      </c>
    </row>
    <row r="30" spans="1:28" ht="15.75" customHeight="1" x14ac:dyDescent="0.3">
      <c r="A30" s="12">
        <f>RAW!$A$9</f>
        <v>6000</v>
      </c>
      <c r="B30" s="2"/>
      <c r="C30" s="24" t="s">
        <v>22</v>
      </c>
      <c r="D30" s="23">
        <f t="shared" si="21"/>
        <v>6000</v>
      </c>
      <c r="E30" s="2"/>
      <c r="F30" s="24" t="s">
        <v>22</v>
      </c>
      <c r="G30" s="23">
        <f t="shared" ref="G30:AB30" si="25">$A30/G$5</f>
        <v>857.14285714285711</v>
      </c>
      <c r="H30" s="23">
        <f t="shared" si="25"/>
        <v>1200</v>
      </c>
      <c r="I30" s="23">
        <f t="shared" si="25"/>
        <v>6000</v>
      </c>
      <c r="J30" s="23">
        <f t="shared" si="25"/>
        <v>3000</v>
      </c>
      <c r="K30" s="23">
        <f t="shared" si="25"/>
        <v>6000</v>
      </c>
      <c r="L30" s="23">
        <f t="shared" si="25"/>
        <v>6000</v>
      </c>
      <c r="M30" s="23">
        <f t="shared" si="25"/>
        <v>6000</v>
      </c>
      <c r="N30" s="23">
        <f t="shared" si="25"/>
        <v>6000</v>
      </c>
      <c r="O30" s="23">
        <f t="shared" si="25"/>
        <v>6000</v>
      </c>
      <c r="P30" s="23">
        <f t="shared" si="25"/>
        <v>6000</v>
      </c>
      <c r="Q30" s="23">
        <f t="shared" si="25"/>
        <v>6000</v>
      </c>
      <c r="R30" s="23">
        <f t="shared" si="25"/>
        <v>6000</v>
      </c>
      <c r="S30" s="23">
        <f t="shared" si="25"/>
        <v>6000</v>
      </c>
      <c r="T30" s="23">
        <f t="shared" si="25"/>
        <v>6000</v>
      </c>
      <c r="U30" s="23">
        <f t="shared" si="25"/>
        <v>6000</v>
      </c>
      <c r="V30" s="23">
        <f t="shared" si="25"/>
        <v>6000</v>
      </c>
      <c r="W30" s="23">
        <f t="shared" si="25"/>
        <v>6000</v>
      </c>
      <c r="X30" s="23">
        <f t="shared" si="25"/>
        <v>6000</v>
      </c>
      <c r="Y30" s="23">
        <f t="shared" si="25"/>
        <v>6000</v>
      </c>
      <c r="Z30" s="23">
        <f t="shared" si="25"/>
        <v>6000</v>
      </c>
      <c r="AA30" s="23">
        <f t="shared" si="25"/>
        <v>6000</v>
      </c>
      <c r="AB30" s="23">
        <f t="shared" si="25"/>
        <v>6000</v>
      </c>
    </row>
    <row r="31" spans="1:28" ht="15.75" customHeight="1" x14ac:dyDescent="0.3">
      <c r="A31" s="12">
        <f>RAW!$A$10</f>
        <v>12400</v>
      </c>
      <c r="B31" s="2"/>
      <c r="C31" s="24" t="s">
        <v>23</v>
      </c>
      <c r="D31" s="23">
        <f t="shared" si="21"/>
        <v>12400</v>
      </c>
      <c r="E31" s="2"/>
      <c r="F31" s="24" t="s">
        <v>23</v>
      </c>
      <c r="G31" s="23">
        <f t="shared" ref="G31:AB31" si="26">$A31/G$5</f>
        <v>1771.4285714285713</v>
      </c>
      <c r="H31" s="23">
        <f t="shared" si="26"/>
        <v>2480</v>
      </c>
      <c r="I31" s="23">
        <f t="shared" si="26"/>
        <v>12400</v>
      </c>
      <c r="J31" s="23">
        <f t="shared" si="26"/>
        <v>6200</v>
      </c>
      <c r="K31" s="23">
        <f t="shared" si="26"/>
        <v>12400</v>
      </c>
      <c r="L31" s="23">
        <f t="shared" si="26"/>
        <v>12400</v>
      </c>
      <c r="M31" s="23">
        <f t="shared" si="26"/>
        <v>12400</v>
      </c>
      <c r="N31" s="23">
        <f t="shared" si="26"/>
        <v>12400</v>
      </c>
      <c r="O31" s="23">
        <f t="shared" si="26"/>
        <v>12400</v>
      </c>
      <c r="P31" s="23">
        <f t="shared" si="26"/>
        <v>12400</v>
      </c>
      <c r="Q31" s="23">
        <f t="shared" si="26"/>
        <v>12400</v>
      </c>
      <c r="R31" s="23">
        <f t="shared" si="26"/>
        <v>12400</v>
      </c>
      <c r="S31" s="23">
        <f t="shared" si="26"/>
        <v>12400</v>
      </c>
      <c r="T31" s="23">
        <f t="shared" si="26"/>
        <v>12400</v>
      </c>
      <c r="U31" s="23">
        <f t="shared" si="26"/>
        <v>12400</v>
      </c>
      <c r="V31" s="23">
        <f t="shared" si="26"/>
        <v>12400</v>
      </c>
      <c r="W31" s="23">
        <f t="shared" si="26"/>
        <v>12400</v>
      </c>
      <c r="X31" s="23">
        <f t="shared" si="26"/>
        <v>12400</v>
      </c>
      <c r="Y31" s="23">
        <f t="shared" si="26"/>
        <v>12400</v>
      </c>
      <c r="Z31" s="23">
        <f t="shared" si="26"/>
        <v>12400</v>
      </c>
      <c r="AA31" s="23">
        <f t="shared" si="26"/>
        <v>12400</v>
      </c>
      <c r="AB31" s="23">
        <f t="shared" si="26"/>
        <v>12400</v>
      </c>
    </row>
    <row r="32" spans="1:28" ht="15.75" customHeight="1" x14ac:dyDescent="0.3">
      <c r="A32" s="12">
        <f>RAW!$A$11</f>
        <v>25200</v>
      </c>
      <c r="B32" s="2"/>
      <c r="C32" s="24" t="s">
        <v>24</v>
      </c>
      <c r="D32" s="23">
        <f t="shared" si="21"/>
        <v>25200</v>
      </c>
      <c r="E32" s="2"/>
      <c r="F32" s="24" t="s">
        <v>24</v>
      </c>
      <c r="G32" s="23">
        <f t="shared" ref="G32:AB32" si="27">$A32/G$5</f>
        <v>3600</v>
      </c>
      <c r="H32" s="23">
        <f t="shared" si="27"/>
        <v>5040</v>
      </c>
      <c r="I32" s="23">
        <f t="shared" si="27"/>
        <v>25200</v>
      </c>
      <c r="J32" s="23">
        <f t="shared" si="27"/>
        <v>12600</v>
      </c>
      <c r="K32" s="23">
        <f t="shared" si="27"/>
        <v>25200</v>
      </c>
      <c r="L32" s="23">
        <f t="shared" si="27"/>
        <v>25200</v>
      </c>
      <c r="M32" s="23">
        <f t="shared" si="27"/>
        <v>25200</v>
      </c>
      <c r="N32" s="23">
        <f t="shared" si="27"/>
        <v>25200</v>
      </c>
      <c r="O32" s="23">
        <f t="shared" si="27"/>
        <v>25200</v>
      </c>
      <c r="P32" s="23">
        <f t="shared" si="27"/>
        <v>25200</v>
      </c>
      <c r="Q32" s="23">
        <f t="shared" si="27"/>
        <v>25200</v>
      </c>
      <c r="R32" s="23">
        <f t="shared" si="27"/>
        <v>25200</v>
      </c>
      <c r="S32" s="23">
        <f t="shared" si="27"/>
        <v>25200</v>
      </c>
      <c r="T32" s="23">
        <f t="shared" si="27"/>
        <v>25200</v>
      </c>
      <c r="U32" s="23">
        <f t="shared" si="27"/>
        <v>25200</v>
      </c>
      <c r="V32" s="23">
        <f t="shared" si="27"/>
        <v>25200</v>
      </c>
      <c r="W32" s="23">
        <f t="shared" si="27"/>
        <v>25200</v>
      </c>
      <c r="X32" s="23">
        <f t="shared" si="27"/>
        <v>25200</v>
      </c>
      <c r="Y32" s="23">
        <f t="shared" si="27"/>
        <v>25200</v>
      </c>
      <c r="Z32" s="23">
        <f t="shared" si="27"/>
        <v>25200</v>
      </c>
      <c r="AA32" s="23">
        <f t="shared" si="27"/>
        <v>25200</v>
      </c>
      <c r="AB32" s="23">
        <f t="shared" si="27"/>
        <v>25200</v>
      </c>
    </row>
    <row r="33" spans="1:28" ht="15.75" customHeight="1" x14ac:dyDescent="0.3">
      <c r="A33" s="12">
        <f>RAW!$A$12</f>
        <v>50800</v>
      </c>
      <c r="B33" s="2"/>
      <c r="C33" s="24" t="s">
        <v>25</v>
      </c>
      <c r="D33" s="23">
        <f t="shared" si="21"/>
        <v>50800</v>
      </c>
      <c r="E33" s="2"/>
      <c r="F33" s="24" t="s">
        <v>25</v>
      </c>
      <c r="G33" s="23">
        <f t="shared" ref="G33:AB33" si="28">$A33/G$5</f>
        <v>7257.1428571428569</v>
      </c>
      <c r="H33" s="23">
        <f t="shared" si="28"/>
        <v>10160</v>
      </c>
      <c r="I33" s="23">
        <f t="shared" si="28"/>
        <v>50800</v>
      </c>
      <c r="J33" s="23">
        <f t="shared" si="28"/>
        <v>25400</v>
      </c>
      <c r="K33" s="23">
        <f t="shared" si="28"/>
        <v>50800</v>
      </c>
      <c r="L33" s="23">
        <f t="shared" si="28"/>
        <v>50800</v>
      </c>
      <c r="M33" s="23">
        <f t="shared" si="28"/>
        <v>50800</v>
      </c>
      <c r="N33" s="23">
        <f t="shared" si="28"/>
        <v>50800</v>
      </c>
      <c r="O33" s="23">
        <f t="shared" si="28"/>
        <v>50800</v>
      </c>
      <c r="P33" s="23">
        <f t="shared" si="28"/>
        <v>50800</v>
      </c>
      <c r="Q33" s="23">
        <f t="shared" si="28"/>
        <v>50800</v>
      </c>
      <c r="R33" s="23">
        <f t="shared" si="28"/>
        <v>50800</v>
      </c>
      <c r="S33" s="23">
        <f t="shared" si="28"/>
        <v>50800</v>
      </c>
      <c r="T33" s="23">
        <f t="shared" si="28"/>
        <v>50800</v>
      </c>
      <c r="U33" s="23">
        <f t="shared" si="28"/>
        <v>50800</v>
      </c>
      <c r="V33" s="23">
        <f t="shared" si="28"/>
        <v>50800</v>
      </c>
      <c r="W33" s="23">
        <f t="shared" si="28"/>
        <v>50800</v>
      </c>
      <c r="X33" s="23">
        <f t="shared" si="28"/>
        <v>50800</v>
      </c>
      <c r="Y33" s="23">
        <f t="shared" si="28"/>
        <v>50800</v>
      </c>
      <c r="Z33" s="23">
        <f t="shared" si="28"/>
        <v>50800</v>
      </c>
      <c r="AA33" s="23">
        <f t="shared" si="28"/>
        <v>50800</v>
      </c>
      <c r="AB33" s="23">
        <f t="shared" si="28"/>
        <v>50800</v>
      </c>
    </row>
    <row r="34" spans="1:28" ht="15.75" customHeight="1" x14ac:dyDescent="0.3">
      <c r="A34" s="12">
        <f>RAW!$A$13</f>
        <v>102000</v>
      </c>
      <c r="B34" s="2"/>
      <c r="C34" s="24" t="s">
        <v>26</v>
      </c>
      <c r="D34" s="23">
        <f t="shared" si="21"/>
        <v>102000</v>
      </c>
      <c r="E34" s="2"/>
      <c r="F34" s="24" t="s">
        <v>26</v>
      </c>
      <c r="G34" s="23">
        <f t="shared" ref="G34:AB34" si="29">$A34/G$5</f>
        <v>14571.428571428571</v>
      </c>
      <c r="H34" s="23">
        <f t="shared" si="29"/>
        <v>20400</v>
      </c>
      <c r="I34" s="23">
        <f t="shared" si="29"/>
        <v>102000</v>
      </c>
      <c r="J34" s="23">
        <f t="shared" si="29"/>
        <v>51000</v>
      </c>
      <c r="K34" s="23">
        <f t="shared" si="29"/>
        <v>102000</v>
      </c>
      <c r="L34" s="23">
        <f t="shared" si="29"/>
        <v>102000</v>
      </c>
      <c r="M34" s="23">
        <f t="shared" si="29"/>
        <v>102000</v>
      </c>
      <c r="N34" s="23">
        <f t="shared" si="29"/>
        <v>102000</v>
      </c>
      <c r="O34" s="23">
        <f t="shared" si="29"/>
        <v>102000</v>
      </c>
      <c r="P34" s="23">
        <f t="shared" si="29"/>
        <v>102000</v>
      </c>
      <c r="Q34" s="23">
        <f t="shared" si="29"/>
        <v>102000</v>
      </c>
      <c r="R34" s="23">
        <f t="shared" si="29"/>
        <v>102000</v>
      </c>
      <c r="S34" s="23">
        <f t="shared" si="29"/>
        <v>102000</v>
      </c>
      <c r="T34" s="23">
        <f t="shared" si="29"/>
        <v>102000</v>
      </c>
      <c r="U34" s="23">
        <f t="shared" si="29"/>
        <v>102000</v>
      </c>
      <c r="V34" s="23">
        <f t="shared" si="29"/>
        <v>102000</v>
      </c>
      <c r="W34" s="23">
        <f t="shared" si="29"/>
        <v>102000</v>
      </c>
      <c r="X34" s="23">
        <f t="shared" si="29"/>
        <v>102000</v>
      </c>
      <c r="Y34" s="23">
        <f t="shared" si="29"/>
        <v>102000</v>
      </c>
      <c r="Z34" s="23">
        <f t="shared" si="29"/>
        <v>102000</v>
      </c>
      <c r="AA34" s="23">
        <f t="shared" si="29"/>
        <v>102000</v>
      </c>
      <c r="AB34" s="23">
        <f t="shared" si="29"/>
        <v>102000</v>
      </c>
    </row>
    <row r="35" spans="1:28" ht="15.75" customHeight="1" x14ac:dyDescent="0.3">
      <c r="A35" s="12">
        <f>RAW!$A$14</f>
        <v>204400</v>
      </c>
      <c r="B35" s="2"/>
      <c r="C35" s="24" t="s">
        <v>27</v>
      </c>
      <c r="D35" s="23">
        <f t="shared" si="21"/>
        <v>204400</v>
      </c>
      <c r="E35" s="2"/>
      <c r="F35" s="24" t="s">
        <v>27</v>
      </c>
      <c r="G35" s="23">
        <f t="shared" ref="G35:AB35" si="30">$A35/G$5</f>
        <v>29200</v>
      </c>
      <c r="H35" s="23">
        <f t="shared" si="30"/>
        <v>40880</v>
      </c>
      <c r="I35" s="23">
        <f t="shared" si="30"/>
        <v>204400</v>
      </c>
      <c r="J35" s="23">
        <f t="shared" si="30"/>
        <v>102200</v>
      </c>
      <c r="K35" s="23">
        <f t="shared" si="30"/>
        <v>204400</v>
      </c>
      <c r="L35" s="23">
        <f t="shared" si="30"/>
        <v>204400</v>
      </c>
      <c r="M35" s="23">
        <f t="shared" si="30"/>
        <v>204400</v>
      </c>
      <c r="N35" s="23">
        <f t="shared" si="30"/>
        <v>204400</v>
      </c>
      <c r="O35" s="23">
        <f t="shared" si="30"/>
        <v>204400</v>
      </c>
      <c r="P35" s="23">
        <f t="shared" si="30"/>
        <v>204400</v>
      </c>
      <c r="Q35" s="23">
        <f t="shared" si="30"/>
        <v>204400</v>
      </c>
      <c r="R35" s="23">
        <f t="shared" si="30"/>
        <v>204400</v>
      </c>
      <c r="S35" s="23">
        <f t="shared" si="30"/>
        <v>204400</v>
      </c>
      <c r="T35" s="23">
        <f t="shared" si="30"/>
        <v>204400</v>
      </c>
      <c r="U35" s="23">
        <f t="shared" si="30"/>
        <v>204400</v>
      </c>
      <c r="V35" s="23">
        <f t="shared" si="30"/>
        <v>204400</v>
      </c>
      <c r="W35" s="23">
        <f t="shared" si="30"/>
        <v>204400</v>
      </c>
      <c r="X35" s="23">
        <f t="shared" si="30"/>
        <v>204400</v>
      </c>
      <c r="Y35" s="23">
        <f t="shared" si="30"/>
        <v>204400</v>
      </c>
      <c r="Z35" s="23">
        <f t="shared" si="30"/>
        <v>204400</v>
      </c>
      <c r="AA35" s="23">
        <f t="shared" si="30"/>
        <v>204400</v>
      </c>
      <c r="AB35" s="23">
        <f t="shared" si="30"/>
        <v>204400</v>
      </c>
    </row>
    <row r="36" spans="1:28" ht="15.75" customHeight="1" x14ac:dyDescent="0.3">
      <c r="A36" s="12">
        <f>RAW!$A$15</f>
        <v>409200</v>
      </c>
      <c r="B36" s="2"/>
      <c r="C36" s="24" t="s">
        <v>28</v>
      </c>
      <c r="D36" s="23">
        <f t="shared" si="21"/>
        <v>409200</v>
      </c>
      <c r="E36" s="2"/>
      <c r="F36" s="24" t="s">
        <v>28</v>
      </c>
      <c r="G36" s="23">
        <f t="shared" ref="G36:AB36" si="31">$A36/G$5</f>
        <v>58457.142857142855</v>
      </c>
      <c r="H36" s="23">
        <f t="shared" si="31"/>
        <v>81840</v>
      </c>
      <c r="I36" s="23">
        <f t="shared" si="31"/>
        <v>409200</v>
      </c>
      <c r="J36" s="23">
        <f t="shared" si="31"/>
        <v>204600</v>
      </c>
      <c r="K36" s="23">
        <f t="shared" si="31"/>
        <v>409200</v>
      </c>
      <c r="L36" s="23">
        <f t="shared" si="31"/>
        <v>409200</v>
      </c>
      <c r="M36" s="23">
        <f t="shared" si="31"/>
        <v>409200</v>
      </c>
      <c r="N36" s="23">
        <f t="shared" si="31"/>
        <v>409200</v>
      </c>
      <c r="O36" s="23">
        <f t="shared" si="31"/>
        <v>409200</v>
      </c>
      <c r="P36" s="23">
        <f t="shared" si="31"/>
        <v>409200</v>
      </c>
      <c r="Q36" s="23">
        <f t="shared" si="31"/>
        <v>409200</v>
      </c>
      <c r="R36" s="23">
        <f t="shared" si="31"/>
        <v>409200</v>
      </c>
      <c r="S36" s="23">
        <f t="shared" si="31"/>
        <v>409200</v>
      </c>
      <c r="T36" s="23">
        <f t="shared" si="31"/>
        <v>409200</v>
      </c>
      <c r="U36" s="23">
        <f t="shared" si="31"/>
        <v>409200</v>
      </c>
      <c r="V36" s="23">
        <f t="shared" si="31"/>
        <v>409200</v>
      </c>
      <c r="W36" s="23">
        <f t="shared" si="31"/>
        <v>409200</v>
      </c>
      <c r="X36" s="23">
        <f t="shared" si="31"/>
        <v>409200</v>
      </c>
      <c r="Y36" s="23">
        <f t="shared" si="31"/>
        <v>409200</v>
      </c>
      <c r="Z36" s="23">
        <f t="shared" si="31"/>
        <v>409200</v>
      </c>
      <c r="AA36" s="23">
        <f t="shared" si="31"/>
        <v>409200</v>
      </c>
      <c r="AB36" s="23">
        <f t="shared" si="31"/>
        <v>409200</v>
      </c>
    </row>
    <row r="37" spans="1:28" ht="15.75" customHeight="1" x14ac:dyDescent="0.3">
      <c r="A37" s="12">
        <f>RAW!$A$16</f>
        <v>818800</v>
      </c>
      <c r="B37" s="2"/>
      <c r="C37" s="24" t="s">
        <v>29</v>
      </c>
      <c r="D37" s="23">
        <f t="shared" si="21"/>
        <v>818800</v>
      </c>
      <c r="E37" s="2"/>
      <c r="F37" s="24" t="s">
        <v>29</v>
      </c>
      <c r="G37" s="23">
        <f t="shared" ref="G37:AB37" si="32">$A37/G$5</f>
        <v>116971.42857142857</v>
      </c>
      <c r="H37" s="23">
        <f t="shared" si="32"/>
        <v>163760</v>
      </c>
      <c r="I37" s="23">
        <f t="shared" si="32"/>
        <v>818800</v>
      </c>
      <c r="J37" s="23">
        <f t="shared" si="32"/>
        <v>409400</v>
      </c>
      <c r="K37" s="23">
        <f t="shared" si="32"/>
        <v>818800</v>
      </c>
      <c r="L37" s="23">
        <f t="shared" si="32"/>
        <v>818800</v>
      </c>
      <c r="M37" s="23">
        <f t="shared" si="32"/>
        <v>818800</v>
      </c>
      <c r="N37" s="23">
        <f t="shared" si="32"/>
        <v>818800</v>
      </c>
      <c r="O37" s="23">
        <f t="shared" si="32"/>
        <v>818800</v>
      </c>
      <c r="P37" s="23">
        <f t="shared" si="32"/>
        <v>818800</v>
      </c>
      <c r="Q37" s="23">
        <f t="shared" si="32"/>
        <v>818800</v>
      </c>
      <c r="R37" s="23">
        <f t="shared" si="32"/>
        <v>818800</v>
      </c>
      <c r="S37" s="23">
        <f t="shared" si="32"/>
        <v>818800</v>
      </c>
      <c r="T37" s="23">
        <f t="shared" si="32"/>
        <v>818800</v>
      </c>
      <c r="U37" s="23">
        <f t="shared" si="32"/>
        <v>818800</v>
      </c>
      <c r="V37" s="23">
        <f t="shared" si="32"/>
        <v>818800</v>
      </c>
      <c r="W37" s="23">
        <f t="shared" si="32"/>
        <v>818800</v>
      </c>
      <c r="X37" s="23">
        <f t="shared" si="32"/>
        <v>818800</v>
      </c>
      <c r="Y37" s="23">
        <f t="shared" si="32"/>
        <v>818800</v>
      </c>
      <c r="Z37" s="23">
        <f t="shared" si="32"/>
        <v>818800</v>
      </c>
      <c r="AA37" s="23">
        <f t="shared" si="32"/>
        <v>818800</v>
      </c>
      <c r="AB37" s="23">
        <f t="shared" si="32"/>
        <v>818800</v>
      </c>
    </row>
    <row r="38" spans="1:28" ht="15.75" customHeight="1" x14ac:dyDescent="0.3">
      <c r="A38" s="12">
        <f>RAW!$A$17</f>
        <v>1638000</v>
      </c>
      <c r="B38" s="2"/>
      <c r="C38" s="24" t="s">
        <v>30</v>
      </c>
      <c r="D38" s="23">
        <f t="shared" si="21"/>
        <v>1638000</v>
      </c>
      <c r="E38" s="2"/>
      <c r="F38" s="24" t="s">
        <v>30</v>
      </c>
      <c r="G38" s="23">
        <f t="shared" ref="G38:AB38" si="33">$A38/G$5</f>
        <v>234000</v>
      </c>
      <c r="H38" s="23">
        <f t="shared" si="33"/>
        <v>327600</v>
      </c>
      <c r="I38" s="23">
        <f t="shared" si="33"/>
        <v>1638000</v>
      </c>
      <c r="J38" s="23">
        <f t="shared" si="33"/>
        <v>819000</v>
      </c>
      <c r="K38" s="23">
        <f t="shared" si="33"/>
        <v>1638000</v>
      </c>
      <c r="L38" s="23">
        <f t="shared" si="33"/>
        <v>1638000</v>
      </c>
      <c r="M38" s="23">
        <f t="shared" si="33"/>
        <v>1638000</v>
      </c>
      <c r="N38" s="23">
        <f t="shared" si="33"/>
        <v>1638000</v>
      </c>
      <c r="O38" s="23">
        <f t="shared" si="33"/>
        <v>1638000</v>
      </c>
      <c r="P38" s="23">
        <f t="shared" si="33"/>
        <v>1638000</v>
      </c>
      <c r="Q38" s="23">
        <f t="shared" si="33"/>
        <v>1638000</v>
      </c>
      <c r="R38" s="23">
        <f t="shared" si="33"/>
        <v>1638000</v>
      </c>
      <c r="S38" s="23">
        <f t="shared" si="33"/>
        <v>1638000</v>
      </c>
      <c r="T38" s="23">
        <f t="shared" si="33"/>
        <v>1638000</v>
      </c>
      <c r="U38" s="23">
        <f t="shared" si="33"/>
        <v>1638000</v>
      </c>
      <c r="V38" s="23">
        <f t="shared" si="33"/>
        <v>1638000</v>
      </c>
      <c r="W38" s="23">
        <f t="shared" si="33"/>
        <v>1638000</v>
      </c>
      <c r="X38" s="23">
        <f t="shared" si="33"/>
        <v>1638000</v>
      </c>
      <c r="Y38" s="23">
        <f t="shared" si="33"/>
        <v>1638000</v>
      </c>
      <c r="Z38" s="23">
        <f t="shared" si="33"/>
        <v>1638000</v>
      </c>
      <c r="AA38" s="23">
        <f t="shared" si="33"/>
        <v>1638000</v>
      </c>
      <c r="AB38" s="23">
        <f t="shared" si="33"/>
        <v>1638000</v>
      </c>
    </row>
    <row r="39" spans="1:28" ht="15.75" customHeight="1" x14ac:dyDescent="0.3">
      <c r="A39" s="12">
        <f>RAW!$A$18</f>
        <v>3276400</v>
      </c>
      <c r="B39" s="2"/>
      <c r="C39" s="24" t="s">
        <v>31</v>
      </c>
      <c r="D39" s="23">
        <f t="shared" si="21"/>
        <v>3276400</v>
      </c>
      <c r="E39" s="2"/>
      <c r="F39" s="24" t="s">
        <v>31</v>
      </c>
      <c r="G39" s="23">
        <f t="shared" ref="G39:AB39" si="34">$A39/G$5</f>
        <v>468057.14285714284</v>
      </c>
      <c r="H39" s="23">
        <f t="shared" si="34"/>
        <v>655280</v>
      </c>
      <c r="I39" s="23">
        <f t="shared" si="34"/>
        <v>3276400</v>
      </c>
      <c r="J39" s="23">
        <f t="shared" si="34"/>
        <v>1638200</v>
      </c>
      <c r="K39" s="23">
        <f t="shared" si="34"/>
        <v>3276400</v>
      </c>
      <c r="L39" s="23">
        <f t="shared" si="34"/>
        <v>3276400</v>
      </c>
      <c r="M39" s="23">
        <f t="shared" si="34"/>
        <v>3276400</v>
      </c>
      <c r="N39" s="23">
        <f t="shared" si="34"/>
        <v>3276400</v>
      </c>
      <c r="O39" s="23">
        <f t="shared" si="34"/>
        <v>3276400</v>
      </c>
      <c r="P39" s="23">
        <f t="shared" si="34"/>
        <v>3276400</v>
      </c>
      <c r="Q39" s="23">
        <f t="shared" si="34"/>
        <v>3276400</v>
      </c>
      <c r="R39" s="23">
        <f t="shared" si="34"/>
        <v>3276400</v>
      </c>
      <c r="S39" s="23">
        <f t="shared" si="34"/>
        <v>3276400</v>
      </c>
      <c r="T39" s="23">
        <f t="shared" si="34"/>
        <v>3276400</v>
      </c>
      <c r="U39" s="23">
        <f t="shared" si="34"/>
        <v>3276400</v>
      </c>
      <c r="V39" s="23">
        <f t="shared" si="34"/>
        <v>3276400</v>
      </c>
      <c r="W39" s="23">
        <f t="shared" si="34"/>
        <v>3276400</v>
      </c>
      <c r="X39" s="23">
        <f t="shared" si="34"/>
        <v>3276400</v>
      </c>
      <c r="Y39" s="23">
        <f t="shared" si="34"/>
        <v>3276400</v>
      </c>
      <c r="Z39" s="23">
        <f t="shared" si="34"/>
        <v>3276400</v>
      </c>
      <c r="AA39" s="23">
        <f t="shared" si="34"/>
        <v>3276400</v>
      </c>
      <c r="AB39" s="23">
        <f t="shared" si="34"/>
        <v>3276400</v>
      </c>
    </row>
    <row r="40" spans="1:28" ht="15.75" customHeight="1" x14ac:dyDescent="0.3">
      <c r="A40" s="12">
        <f>RAW!$A$19</f>
        <v>6553200</v>
      </c>
      <c r="B40" s="2"/>
      <c r="C40" s="24" t="s">
        <v>32</v>
      </c>
      <c r="D40" s="23">
        <f t="shared" si="21"/>
        <v>6553200</v>
      </c>
      <c r="E40" s="2"/>
      <c r="F40" s="24" t="s">
        <v>32</v>
      </c>
      <c r="G40" s="23">
        <f t="shared" ref="G40:AB40" si="35">$A40/G$5</f>
        <v>936171.42857142852</v>
      </c>
      <c r="H40" s="23">
        <f t="shared" si="35"/>
        <v>1310640</v>
      </c>
      <c r="I40" s="23">
        <f t="shared" si="35"/>
        <v>6553200</v>
      </c>
      <c r="J40" s="23">
        <f t="shared" si="35"/>
        <v>3276600</v>
      </c>
      <c r="K40" s="23">
        <f t="shared" si="35"/>
        <v>6553200</v>
      </c>
      <c r="L40" s="23">
        <f t="shared" si="35"/>
        <v>6553200</v>
      </c>
      <c r="M40" s="23">
        <f t="shared" si="35"/>
        <v>6553200</v>
      </c>
      <c r="N40" s="23">
        <f t="shared" si="35"/>
        <v>6553200</v>
      </c>
      <c r="O40" s="23">
        <f t="shared" si="35"/>
        <v>6553200</v>
      </c>
      <c r="P40" s="23">
        <f t="shared" si="35"/>
        <v>6553200</v>
      </c>
      <c r="Q40" s="23">
        <f t="shared" si="35"/>
        <v>6553200</v>
      </c>
      <c r="R40" s="23">
        <f t="shared" si="35"/>
        <v>6553200</v>
      </c>
      <c r="S40" s="23">
        <f t="shared" si="35"/>
        <v>6553200</v>
      </c>
      <c r="T40" s="23">
        <f t="shared" si="35"/>
        <v>6553200</v>
      </c>
      <c r="U40" s="23">
        <f t="shared" si="35"/>
        <v>6553200</v>
      </c>
      <c r="V40" s="23">
        <f t="shared" si="35"/>
        <v>6553200</v>
      </c>
      <c r="W40" s="23">
        <f t="shared" si="35"/>
        <v>6553200</v>
      </c>
      <c r="X40" s="23">
        <f t="shared" si="35"/>
        <v>6553200</v>
      </c>
      <c r="Y40" s="23">
        <f t="shared" si="35"/>
        <v>6553200</v>
      </c>
      <c r="Z40" s="23">
        <f t="shared" si="35"/>
        <v>6553200</v>
      </c>
      <c r="AA40" s="23">
        <f t="shared" si="35"/>
        <v>6553200</v>
      </c>
      <c r="AB40" s="23">
        <f t="shared" si="35"/>
        <v>6553200</v>
      </c>
    </row>
    <row r="41" spans="1:28" ht="15.75" customHeight="1" x14ac:dyDescent="0.3">
      <c r="A41" s="12">
        <f>RAW!$A$20</f>
        <v>13106800</v>
      </c>
      <c r="B41" s="2"/>
      <c r="C41" s="24" t="s">
        <v>33</v>
      </c>
      <c r="D41" s="23">
        <f t="shared" si="21"/>
        <v>13106800</v>
      </c>
      <c r="E41" s="2"/>
      <c r="F41" s="24" t="s">
        <v>33</v>
      </c>
      <c r="G41" s="23">
        <f t="shared" ref="G41:AB41" si="36">$A41/G$5</f>
        <v>1872400</v>
      </c>
      <c r="H41" s="23">
        <f t="shared" si="36"/>
        <v>2621360</v>
      </c>
      <c r="I41" s="23">
        <f t="shared" si="36"/>
        <v>13106800</v>
      </c>
      <c r="J41" s="23">
        <f t="shared" si="36"/>
        <v>6553400</v>
      </c>
      <c r="K41" s="23">
        <f t="shared" si="36"/>
        <v>13106800</v>
      </c>
      <c r="L41" s="23">
        <f t="shared" si="36"/>
        <v>13106800</v>
      </c>
      <c r="M41" s="23">
        <f t="shared" si="36"/>
        <v>13106800</v>
      </c>
      <c r="N41" s="23">
        <f t="shared" si="36"/>
        <v>13106800</v>
      </c>
      <c r="O41" s="23">
        <f t="shared" si="36"/>
        <v>13106800</v>
      </c>
      <c r="P41" s="23">
        <f t="shared" si="36"/>
        <v>13106800</v>
      </c>
      <c r="Q41" s="23">
        <f t="shared" si="36"/>
        <v>13106800</v>
      </c>
      <c r="R41" s="23">
        <f t="shared" si="36"/>
        <v>13106800</v>
      </c>
      <c r="S41" s="23">
        <f t="shared" si="36"/>
        <v>13106800</v>
      </c>
      <c r="T41" s="23">
        <f t="shared" si="36"/>
        <v>13106800</v>
      </c>
      <c r="U41" s="23">
        <f t="shared" si="36"/>
        <v>13106800</v>
      </c>
      <c r="V41" s="23">
        <f t="shared" si="36"/>
        <v>13106800</v>
      </c>
      <c r="W41" s="23">
        <f t="shared" si="36"/>
        <v>13106800</v>
      </c>
      <c r="X41" s="23">
        <f t="shared" si="36"/>
        <v>13106800</v>
      </c>
      <c r="Y41" s="23">
        <f t="shared" si="36"/>
        <v>13106800</v>
      </c>
      <c r="Z41" s="23">
        <f t="shared" si="36"/>
        <v>13106800</v>
      </c>
      <c r="AA41" s="23">
        <f t="shared" si="36"/>
        <v>13106800</v>
      </c>
      <c r="AB41" s="23">
        <f t="shared" si="36"/>
        <v>13106800</v>
      </c>
    </row>
    <row r="42" spans="1:28" ht="15.75" customHeight="1" x14ac:dyDescent="0.3">
      <c r="A42" s="12">
        <f>RAW!$A$21</f>
        <v>26214000</v>
      </c>
      <c r="B42" s="2"/>
      <c r="C42" s="24" t="s">
        <v>34</v>
      </c>
      <c r="D42" s="23">
        <f t="shared" si="21"/>
        <v>26214000</v>
      </c>
      <c r="E42" s="2"/>
      <c r="F42" s="24" t="s">
        <v>34</v>
      </c>
      <c r="G42" s="23">
        <f t="shared" ref="G42:AB42" si="37">$A42/G$5</f>
        <v>3744857.1428571427</v>
      </c>
      <c r="H42" s="23">
        <f t="shared" si="37"/>
        <v>5242800</v>
      </c>
      <c r="I42" s="23">
        <f t="shared" si="37"/>
        <v>26214000</v>
      </c>
      <c r="J42" s="23">
        <f t="shared" si="37"/>
        <v>13107000</v>
      </c>
      <c r="K42" s="23">
        <f t="shared" si="37"/>
        <v>26214000</v>
      </c>
      <c r="L42" s="23">
        <f t="shared" si="37"/>
        <v>26214000</v>
      </c>
      <c r="M42" s="23">
        <f t="shared" si="37"/>
        <v>26214000</v>
      </c>
      <c r="N42" s="23">
        <f t="shared" si="37"/>
        <v>26214000</v>
      </c>
      <c r="O42" s="23">
        <f t="shared" si="37"/>
        <v>26214000</v>
      </c>
      <c r="P42" s="23">
        <f t="shared" si="37"/>
        <v>26214000</v>
      </c>
      <c r="Q42" s="23">
        <f t="shared" si="37"/>
        <v>26214000</v>
      </c>
      <c r="R42" s="23">
        <f t="shared" si="37"/>
        <v>26214000</v>
      </c>
      <c r="S42" s="23">
        <f t="shared" si="37"/>
        <v>26214000</v>
      </c>
      <c r="T42" s="23">
        <f t="shared" si="37"/>
        <v>26214000</v>
      </c>
      <c r="U42" s="23">
        <f t="shared" si="37"/>
        <v>26214000</v>
      </c>
      <c r="V42" s="23">
        <f t="shared" si="37"/>
        <v>26214000</v>
      </c>
      <c r="W42" s="23">
        <f t="shared" si="37"/>
        <v>26214000</v>
      </c>
      <c r="X42" s="23">
        <f t="shared" si="37"/>
        <v>26214000</v>
      </c>
      <c r="Y42" s="23">
        <f t="shared" si="37"/>
        <v>26214000</v>
      </c>
      <c r="Z42" s="23">
        <f t="shared" si="37"/>
        <v>26214000</v>
      </c>
      <c r="AA42" s="23">
        <f t="shared" si="37"/>
        <v>26214000</v>
      </c>
      <c r="AB42" s="23">
        <f t="shared" si="37"/>
        <v>26214000</v>
      </c>
    </row>
    <row r="43" spans="1:28" ht="15.75" customHeight="1" x14ac:dyDescent="0.3">
      <c r="A43" s="12">
        <f>RAW!$A$22</f>
        <v>52428400</v>
      </c>
      <c r="B43" s="2"/>
      <c r="C43" s="24" t="s">
        <v>35</v>
      </c>
      <c r="D43" s="23">
        <f t="shared" si="21"/>
        <v>52428400</v>
      </c>
      <c r="E43" s="2"/>
      <c r="F43" s="24" t="s">
        <v>35</v>
      </c>
      <c r="G43" s="23">
        <f t="shared" ref="G43:AB43" si="38">$A43/G$5</f>
        <v>7489771.4285714282</v>
      </c>
      <c r="H43" s="23">
        <f t="shared" si="38"/>
        <v>10485680</v>
      </c>
      <c r="I43" s="23">
        <f t="shared" si="38"/>
        <v>52428400</v>
      </c>
      <c r="J43" s="23">
        <f t="shared" si="38"/>
        <v>26214200</v>
      </c>
      <c r="K43" s="23">
        <f t="shared" si="38"/>
        <v>52428400</v>
      </c>
      <c r="L43" s="23">
        <f t="shared" si="38"/>
        <v>52428400</v>
      </c>
      <c r="M43" s="23">
        <f t="shared" si="38"/>
        <v>52428400</v>
      </c>
      <c r="N43" s="23">
        <f t="shared" si="38"/>
        <v>52428400</v>
      </c>
      <c r="O43" s="23">
        <f t="shared" si="38"/>
        <v>52428400</v>
      </c>
      <c r="P43" s="23">
        <f t="shared" si="38"/>
        <v>52428400</v>
      </c>
      <c r="Q43" s="23">
        <f t="shared" si="38"/>
        <v>52428400</v>
      </c>
      <c r="R43" s="23">
        <f t="shared" si="38"/>
        <v>52428400</v>
      </c>
      <c r="S43" s="23">
        <f t="shared" si="38"/>
        <v>52428400</v>
      </c>
      <c r="T43" s="23">
        <f t="shared" si="38"/>
        <v>52428400</v>
      </c>
      <c r="U43" s="23">
        <f t="shared" si="38"/>
        <v>52428400</v>
      </c>
      <c r="V43" s="23">
        <f t="shared" si="38"/>
        <v>52428400</v>
      </c>
      <c r="W43" s="23">
        <f t="shared" si="38"/>
        <v>52428400</v>
      </c>
      <c r="X43" s="23">
        <f t="shared" si="38"/>
        <v>52428400</v>
      </c>
      <c r="Y43" s="23">
        <f t="shared" si="38"/>
        <v>52428400</v>
      </c>
      <c r="Z43" s="23">
        <f t="shared" si="38"/>
        <v>52428400</v>
      </c>
      <c r="AA43" s="23">
        <f t="shared" si="38"/>
        <v>52428400</v>
      </c>
      <c r="AB43" s="23">
        <f t="shared" si="38"/>
        <v>52428400</v>
      </c>
    </row>
    <row r="44" spans="1:28" ht="15.75" customHeight="1" x14ac:dyDescent="0.3">
      <c r="A44" s="3"/>
      <c r="B44" s="2"/>
      <c r="C44" s="29"/>
      <c r="D44" s="30"/>
      <c r="E44" s="2"/>
      <c r="F44" s="3"/>
      <c r="G44" s="31" t="s">
        <v>38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15.75" customHeight="1" x14ac:dyDescent="0.3">
      <c r="A45" s="19" t="s">
        <v>37</v>
      </c>
      <c r="B45" s="2"/>
      <c r="C45" s="10" t="s">
        <v>9</v>
      </c>
      <c r="D45" s="10" t="s">
        <v>10</v>
      </c>
      <c r="E45" s="2"/>
      <c r="F45" s="20" t="s">
        <v>9</v>
      </c>
      <c r="G45" s="11" t="str">
        <f t="shared" ref="G45:AB45" si="39">G26</f>
        <v>Dalila</v>
      </c>
      <c r="H45" s="11" t="str">
        <f t="shared" si="39"/>
        <v>Melada</v>
      </c>
      <c r="I45" s="11" t="str">
        <f t="shared" si="39"/>
        <v>Honati</v>
      </c>
      <c r="J45" s="11" t="str">
        <f t="shared" si="39"/>
        <v>Laramy</v>
      </c>
      <c r="K45" s="11">
        <f t="shared" si="39"/>
        <v>0</v>
      </c>
      <c r="L45" s="11">
        <f t="shared" si="39"/>
        <v>0</v>
      </c>
      <c r="M45" s="11">
        <f t="shared" si="39"/>
        <v>0</v>
      </c>
      <c r="N45" s="11">
        <f t="shared" si="39"/>
        <v>0</v>
      </c>
      <c r="O45" s="11">
        <f t="shared" si="39"/>
        <v>0</v>
      </c>
      <c r="P45" s="11">
        <f t="shared" si="39"/>
        <v>0</v>
      </c>
      <c r="Q45" s="11">
        <f t="shared" si="39"/>
        <v>0</v>
      </c>
      <c r="R45" s="11">
        <f t="shared" si="39"/>
        <v>0</v>
      </c>
      <c r="S45" s="11">
        <f t="shared" si="39"/>
        <v>0</v>
      </c>
      <c r="T45" s="11">
        <f t="shared" si="39"/>
        <v>0</v>
      </c>
      <c r="U45" s="11">
        <f t="shared" si="39"/>
        <v>0</v>
      </c>
      <c r="V45" s="11">
        <f t="shared" si="39"/>
        <v>0</v>
      </c>
      <c r="W45" s="11">
        <f t="shared" si="39"/>
        <v>0</v>
      </c>
      <c r="X45" s="11">
        <f t="shared" si="39"/>
        <v>0</v>
      </c>
      <c r="Y45" s="11">
        <f t="shared" si="39"/>
        <v>0</v>
      </c>
      <c r="Z45" s="11">
        <f t="shared" si="39"/>
        <v>0</v>
      </c>
      <c r="AA45" s="11">
        <f t="shared" si="39"/>
        <v>0</v>
      </c>
      <c r="AB45" s="11">
        <f t="shared" si="39"/>
        <v>0</v>
      </c>
    </row>
    <row r="46" spans="1:28" ht="15.75" customHeight="1" x14ac:dyDescent="0.3">
      <c r="A46" s="12">
        <f>RAW!$A$6</f>
        <v>400</v>
      </c>
      <c r="B46" s="2"/>
      <c r="C46" s="21" t="s">
        <v>19</v>
      </c>
      <c r="D46" s="22">
        <f t="shared" ref="D46:D62" si="40">($A46/D$5)/365</f>
        <v>1.095890410958904</v>
      </c>
      <c r="E46" s="2"/>
      <c r="F46" s="21" t="s">
        <v>19</v>
      </c>
      <c r="G46" s="23">
        <f t="shared" ref="G46:AB46" si="41">($A46/G$5)/365</f>
        <v>0.15655577299412918</v>
      </c>
      <c r="H46" s="23">
        <f t="shared" si="41"/>
        <v>0.21917808219178081</v>
      </c>
      <c r="I46" s="23">
        <f t="shared" si="41"/>
        <v>1.095890410958904</v>
      </c>
      <c r="J46" s="23">
        <f t="shared" si="41"/>
        <v>0.54794520547945202</v>
      </c>
      <c r="K46" s="23">
        <f t="shared" si="41"/>
        <v>1.095890410958904</v>
      </c>
      <c r="L46" s="23">
        <f t="shared" si="41"/>
        <v>1.095890410958904</v>
      </c>
      <c r="M46" s="23">
        <f t="shared" si="41"/>
        <v>1.095890410958904</v>
      </c>
      <c r="N46" s="23">
        <f t="shared" si="41"/>
        <v>1.095890410958904</v>
      </c>
      <c r="O46" s="23">
        <f t="shared" si="41"/>
        <v>1.095890410958904</v>
      </c>
      <c r="P46" s="23">
        <f t="shared" si="41"/>
        <v>1.095890410958904</v>
      </c>
      <c r="Q46" s="23">
        <f t="shared" si="41"/>
        <v>1.095890410958904</v>
      </c>
      <c r="R46" s="23">
        <f t="shared" si="41"/>
        <v>1.095890410958904</v>
      </c>
      <c r="S46" s="23">
        <f t="shared" si="41"/>
        <v>1.095890410958904</v>
      </c>
      <c r="T46" s="23">
        <f t="shared" si="41"/>
        <v>1.095890410958904</v>
      </c>
      <c r="U46" s="23">
        <f t="shared" si="41"/>
        <v>1.095890410958904</v>
      </c>
      <c r="V46" s="23">
        <f t="shared" si="41"/>
        <v>1.095890410958904</v>
      </c>
      <c r="W46" s="23">
        <f t="shared" si="41"/>
        <v>1.095890410958904</v>
      </c>
      <c r="X46" s="23">
        <f t="shared" si="41"/>
        <v>1.095890410958904</v>
      </c>
      <c r="Y46" s="23">
        <f t="shared" si="41"/>
        <v>1.095890410958904</v>
      </c>
      <c r="Z46" s="23">
        <f t="shared" si="41"/>
        <v>1.095890410958904</v>
      </c>
      <c r="AA46" s="23">
        <f t="shared" si="41"/>
        <v>1.095890410958904</v>
      </c>
      <c r="AB46" s="23">
        <f t="shared" si="41"/>
        <v>1.095890410958904</v>
      </c>
    </row>
    <row r="47" spans="1:28" ht="15.75" customHeight="1" x14ac:dyDescent="0.3">
      <c r="A47" s="12">
        <f>RAW!$A$7</f>
        <v>1200</v>
      </c>
      <c r="B47" s="2"/>
      <c r="C47" s="24" t="s">
        <v>20</v>
      </c>
      <c r="D47" s="23">
        <f t="shared" si="40"/>
        <v>3.2876712328767121</v>
      </c>
      <c r="E47" s="2"/>
      <c r="F47" s="24" t="s">
        <v>20</v>
      </c>
      <c r="G47" s="23">
        <f t="shared" ref="G47:AB47" si="42">($A47/G$5)/365</f>
        <v>0.46966731898238745</v>
      </c>
      <c r="H47" s="23">
        <f t="shared" si="42"/>
        <v>0.65753424657534243</v>
      </c>
      <c r="I47" s="23">
        <f t="shared" si="42"/>
        <v>3.2876712328767121</v>
      </c>
      <c r="J47" s="23">
        <f t="shared" si="42"/>
        <v>1.6438356164383561</v>
      </c>
      <c r="K47" s="23">
        <f t="shared" si="42"/>
        <v>3.2876712328767121</v>
      </c>
      <c r="L47" s="23">
        <f t="shared" si="42"/>
        <v>3.2876712328767121</v>
      </c>
      <c r="M47" s="23">
        <f t="shared" si="42"/>
        <v>3.2876712328767121</v>
      </c>
      <c r="N47" s="23">
        <f t="shared" si="42"/>
        <v>3.2876712328767121</v>
      </c>
      <c r="O47" s="23">
        <f t="shared" si="42"/>
        <v>3.2876712328767121</v>
      </c>
      <c r="P47" s="23">
        <f t="shared" si="42"/>
        <v>3.2876712328767121</v>
      </c>
      <c r="Q47" s="23">
        <f t="shared" si="42"/>
        <v>3.2876712328767121</v>
      </c>
      <c r="R47" s="23">
        <f t="shared" si="42"/>
        <v>3.2876712328767121</v>
      </c>
      <c r="S47" s="23">
        <f t="shared" si="42"/>
        <v>3.2876712328767121</v>
      </c>
      <c r="T47" s="23">
        <f t="shared" si="42"/>
        <v>3.2876712328767121</v>
      </c>
      <c r="U47" s="23">
        <f t="shared" si="42"/>
        <v>3.2876712328767121</v>
      </c>
      <c r="V47" s="23">
        <f t="shared" si="42"/>
        <v>3.2876712328767121</v>
      </c>
      <c r="W47" s="23">
        <f t="shared" si="42"/>
        <v>3.2876712328767121</v>
      </c>
      <c r="X47" s="23">
        <f t="shared" si="42"/>
        <v>3.2876712328767121</v>
      </c>
      <c r="Y47" s="23">
        <f t="shared" si="42"/>
        <v>3.2876712328767121</v>
      </c>
      <c r="Z47" s="23">
        <f t="shared" si="42"/>
        <v>3.2876712328767121</v>
      </c>
      <c r="AA47" s="23">
        <f t="shared" si="42"/>
        <v>3.2876712328767121</v>
      </c>
      <c r="AB47" s="23">
        <f t="shared" si="42"/>
        <v>3.2876712328767121</v>
      </c>
    </row>
    <row r="48" spans="1:28" ht="15.75" customHeight="1" x14ac:dyDescent="0.3">
      <c r="A48" s="12">
        <f>RAW!$A$8</f>
        <v>2800</v>
      </c>
      <c r="B48" s="2"/>
      <c r="C48" s="24" t="s">
        <v>21</v>
      </c>
      <c r="D48" s="23">
        <f t="shared" si="40"/>
        <v>7.6712328767123283</v>
      </c>
      <c r="E48" s="2"/>
      <c r="F48" s="24" t="s">
        <v>21</v>
      </c>
      <c r="G48" s="23">
        <f t="shared" ref="G48:AB48" si="43">($A48/G$5)/365</f>
        <v>1.095890410958904</v>
      </c>
      <c r="H48" s="23">
        <f t="shared" si="43"/>
        <v>1.5342465753424657</v>
      </c>
      <c r="I48" s="23">
        <f t="shared" si="43"/>
        <v>7.6712328767123283</v>
      </c>
      <c r="J48" s="23">
        <f t="shared" si="43"/>
        <v>3.8356164383561642</v>
      </c>
      <c r="K48" s="23">
        <f t="shared" si="43"/>
        <v>7.6712328767123283</v>
      </c>
      <c r="L48" s="23">
        <f t="shared" si="43"/>
        <v>7.6712328767123283</v>
      </c>
      <c r="M48" s="23">
        <f t="shared" si="43"/>
        <v>7.6712328767123283</v>
      </c>
      <c r="N48" s="23">
        <f t="shared" si="43"/>
        <v>7.6712328767123283</v>
      </c>
      <c r="O48" s="23">
        <f t="shared" si="43"/>
        <v>7.6712328767123283</v>
      </c>
      <c r="P48" s="23">
        <f t="shared" si="43"/>
        <v>7.6712328767123283</v>
      </c>
      <c r="Q48" s="23">
        <f t="shared" si="43"/>
        <v>7.6712328767123283</v>
      </c>
      <c r="R48" s="23">
        <f t="shared" si="43"/>
        <v>7.6712328767123283</v>
      </c>
      <c r="S48" s="23">
        <f t="shared" si="43"/>
        <v>7.6712328767123283</v>
      </c>
      <c r="T48" s="23">
        <f t="shared" si="43"/>
        <v>7.6712328767123283</v>
      </c>
      <c r="U48" s="23">
        <f t="shared" si="43"/>
        <v>7.6712328767123283</v>
      </c>
      <c r="V48" s="23">
        <f t="shared" si="43"/>
        <v>7.6712328767123283</v>
      </c>
      <c r="W48" s="23">
        <f t="shared" si="43"/>
        <v>7.6712328767123283</v>
      </c>
      <c r="X48" s="23">
        <f t="shared" si="43"/>
        <v>7.6712328767123283</v>
      </c>
      <c r="Y48" s="23">
        <f t="shared" si="43"/>
        <v>7.6712328767123283</v>
      </c>
      <c r="Z48" s="23">
        <f t="shared" si="43"/>
        <v>7.6712328767123283</v>
      </c>
      <c r="AA48" s="23">
        <f t="shared" si="43"/>
        <v>7.6712328767123283</v>
      </c>
      <c r="AB48" s="23">
        <f t="shared" si="43"/>
        <v>7.6712328767123283</v>
      </c>
    </row>
    <row r="49" spans="1:28" ht="15.75" customHeight="1" x14ac:dyDescent="0.3">
      <c r="A49" s="12">
        <f>RAW!$A$9</f>
        <v>6000</v>
      </c>
      <c r="B49" s="2"/>
      <c r="C49" s="24" t="s">
        <v>22</v>
      </c>
      <c r="D49" s="23">
        <f t="shared" si="40"/>
        <v>16.438356164383563</v>
      </c>
      <c r="E49" s="2"/>
      <c r="F49" s="24" t="s">
        <v>22</v>
      </c>
      <c r="G49" s="23">
        <f t="shared" ref="G49:AB49" si="44">($A49/G$5)/365</f>
        <v>2.3483365949119372</v>
      </c>
      <c r="H49" s="23">
        <f t="shared" si="44"/>
        <v>3.2876712328767121</v>
      </c>
      <c r="I49" s="23">
        <f t="shared" si="44"/>
        <v>16.438356164383563</v>
      </c>
      <c r="J49" s="23">
        <f t="shared" si="44"/>
        <v>8.2191780821917817</v>
      </c>
      <c r="K49" s="23">
        <f t="shared" si="44"/>
        <v>16.438356164383563</v>
      </c>
      <c r="L49" s="23">
        <f t="shared" si="44"/>
        <v>16.438356164383563</v>
      </c>
      <c r="M49" s="23">
        <f t="shared" si="44"/>
        <v>16.438356164383563</v>
      </c>
      <c r="N49" s="23">
        <f t="shared" si="44"/>
        <v>16.438356164383563</v>
      </c>
      <c r="O49" s="23">
        <f t="shared" si="44"/>
        <v>16.438356164383563</v>
      </c>
      <c r="P49" s="23">
        <f t="shared" si="44"/>
        <v>16.438356164383563</v>
      </c>
      <c r="Q49" s="23">
        <f t="shared" si="44"/>
        <v>16.438356164383563</v>
      </c>
      <c r="R49" s="23">
        <f t="shared" si="44"/>
        <v>16.438356164383563</v>
      </c>
      <c r="S49" s="23">
        <f t="shared" si="44"/>
        <v>16.438356164383563</v>
      </c>
      <c r="T49" s="23">
        <f t="shared" si="44"/>
        <v>16.438356164383563</v>
      </c>
      <c r="U49" s="23">
        <f t="shared" si="44"/>
        <v>16.438356164383563</v>
      </c>
      <c r="V49" s="23">
        <f t="shared" si="44"/>
        <v>16.438356164383563</v>
      </c>
      <c r="W49" s="23">
        <f t="shared" si="44"/>
        <v>16.438356164383563</v>
      </c>
      <c r="X49" s="23">
        <f t="shared" si="44"/>
        <v>16.438356164383563</v>
      </c>
      <c r="Y49" s="23">
        <f t="shared" si="44"/>
        <v>16.438356164383563</v>
      </c>
      <c r="Z49" s="23">
        <f t="shared" si="44"/>
        <v>16.438356164383563</v>
      </c>
      <c r="AA49" s="23">
        <f t="shared" si="44"/>
        <v>16.438356164383563</v>
      </c>
      <c r="AB49" s="23">
        <f t="shared" si="44"/>
        <v>16.438356164383563</v>
      </c>
    </row>
    <row r="50" spans="1:28" ht="15.75" customHeight="1" x14ac:dyDescent="0.3">
      <c r="A50" s="12">
        <f>RAW!$A$10</f>
        <v>12400</v>
      </c>
      <c r="B50" s="2"/>
      <c r="C50" s="24" t="s">
        <v>23</v>
      </c>
      <c r="D50" s="23">
        <f t="shared" si="40"/>
        <v>33.972602739726028</v>
      </c>
      <c r="E50" s="2"/>
      <c r="F50" s="24" t="s">
        <v>23</v>
      </c>
      <c r="G50" s="23">
        <f t="shared" ref="G50:AB50" si="45">($A50/G$5)/365</f>
        <v>4.8532289628180036</v>
      </c>
      <c r="H50" s="23">
        <f t="shared" si="45"/>
        <v>6.7945205479452051</v>
      </c>
      <c r="I50" s="23">
        <f t="shared" si="45"/>
        <v>33.972602739726028</v>
      </c>
      <c r="J50" s="23">
        <f t="shared" si="45"/>
        <v>16.986301369863014</v>
      </c>
      <c r="K50" s="23">
        <f t="shared" si="45"/>
        <v>33.972602739726028</v>
      </c>
      <c r="L50" s="23">
        <f t="shared" si="45"/>
        <v>33.972602739726028</v>
      </c>
      <c r="M50" s="23">
        <f t="shared" si="45"/>
        <v>33.972602739726028</v>
      </c>
      <c r="N50" s="23">
        <f t="shared" si="45"/>
        <v>33.972602739726028</v>
      </c>
      <c r="O50" s="23">
        <f t="shared" si="45"/>
        <v>33.972602739726028</v>
      </c>
      <c r="P50" s="23">
        <f t="shared" si="45"/>
        <v>33.972602739726028</v>
      </c>
      <c r="Q50" s="23">
        <f t="shared" si="45"/>
        <v>33.972602739726028</v>
      </c>
      <c r="R50" s="23">
        <f t="shared" si="45"/>
        <v>33.972602739726028</v>
      </c>
      <c r="S50" s="23">
        <f t="shared" si="45"/>
        <v>33.972602739726028</v>
      </c>
      <c r="T50" s="23">
        <f t="shared" si="45"/>
        <v>33.972602739726028</v>
      </c>
      <c r="U50" s="23">
        <f t="shared" si="45"/>
        <v>33.972602739726028</v>
      </c>
      <c r="V50" s="23">
        <f t="shared" si="45"/>
        <v>33.972602739726028</v>
      </c>
      <c r="W50" s="23">
        <f t="shared" si="45"/>
        <v>33.972602739726028</v>
      </c>
      <c r="X50" s="23">
        <f t="shared" si="45"/>
        <v>33.972602739726028</v>
      </c>
      <c r="Y50" s="23">
        <f t="shared" si="45"/>
        <v>33.972602739726028</v>
      </c>
      <c r="Z50" s="23">
        <f t="shared" si="45"/>
        <v>33.972602739726028</v>
      </c>
      <c r="AA50" s="23">
        <f t="shared" si="45"/>
        <v>33.972602739726028</v>
      </c>
      <c r="AB50" s="23">
        <f t="shared" si="45"/>
        <v>33.972602739726028</v>
      </c>
    </row>
    <row r="51" spans="1:28" ht="15.75" customHeight="1" x14ac:dyDescent="0.3">
      <c r="A51" s="12">
        <f>RAW!$A$11</f>
        <v>25200</v>
      </c>
      <c r="B51" s="2"/>
      <c r="C51" s="24" t="s">
        <v>24</v>
      </c>
      <c r="D51" s="23">
        <f t="shared" si="40"/>
        <v>69.041095890410958</v>
      </c>
      <c r="E51" s="2"/>
      <c r="F51" s="24" t="s">
        <v>24</v>
      </c>
      <c r="G51" s="23">
        <f t="shared" ref="G51:AB51" si="46">($A51/G$5)/365</f>
        <v>9.8630136986301373</v>
      </c>
      <c r="H51" s="23">
        <f t="shared" si="46"/>
        <v>13.808219178082192</v>
      </c>
      <c r="I51" s="23">
        <f t="shared" si="46"/>
        <v>69.041095890410958</v>
      </c>
      <c r="J51" s="23">
        <f t="shared" si="46"/>
        <v>34.520547945205479</v>
      </c>
      <c r="K51" s="23">
        <f t="shared" si="46"/>
        <v>69.041095890410958</v>
      </c>
      <c r="L51" s="23">
        <f t="shared" si="46"/>
        <v>69.041095890410958</v>
      </c>
      <c r="M51" s="23">
        <f t="shared" si="46"/>
        <v>69.041095890410958</v>
      </c>
      <c r="N51" s="23">
        <f t="shared" si="46"/>
        <v>69.041095890410958</v>
      </c>
      <c r="O51" s="23">
        <f t="shared" si="46"/>
        <v>69.041095890410958</v>
      </c>
      <c r="P51" s="23">
        <f t="shared" si="46"/>
        <v>69.041095890410958</v>
      </c>
      <c r="Q51" s="23">
        <f t="shared" si="46"/>
        <v>69.041095890410958</v>
      </c>
      <c r="R51" s="23">
        <f t="shared" si="46"/>
        <v>69.041095890410958</v>
      </c>
      <c r="S51" s="23">
        <f t="shared" si="46"/>
        <v>69.041095890410958</v>
      </c>
      <c r="T51" s="23">
        <f t="shared" si="46"/>
        <v>69.041095890410958</v>
      </c>
      <c r="U51" s="23">
        <f t="shared" si="46"/>
        <v>69.041095890410958</v>
      </c>
      <c r="V51" s="23">
        <f t="shared" si="46"/>
        <v>69.041095890410958</v>
      </c>
      <c r="W51" s="23">
        <f t="shared" si="46"/>
        <v>69.041095890410958</v>
      </c>
      <c r="X51" s="23">
        <f t="shared" si="46"/>
        <v>69.041095890410958</v>
      </c>
      <c r="Y51" s="23">
        <f t="shared" si="46"/>
        <v>69.041095890410958</v>
      </c>
      <c r="Z51" s="23">
        <f t="shared" si="46"/>
        <v>69.041095890410958</v>
      </c>
      <c r="AA51" s="23">
        <f t="shared" si="46"/>
        <v>69.041095890410958</v>
      </c>
      <c r="AB51" s="23">
        <f t="shared" si="46"/>
        <v>69.041095890410958</v>
      </c>
    </row>
    <row r="52" spans="1:28" ht="15.75" customHeight="1" x14ac:dyDescent="0.3">
      <c r="A52" s="12">
        <f>RAW!$A$12</f>
        <v>50800</v>
      </c>
      <c r="B52" s="2"/>
      <c r="C52" s="24" t="s">
        <v>25</v>
      </c>
      <c r="D52" s="23">
        <f t="shared" si="40"/>
        <v>139.17808219178082</v>
      </c>
      <c r="E52" s="2"/>
      <c r="F52" s="24" t="s">
        <v>25</v>
      </c>
      <c r="G52" s="23">
        <f t="shared" ref="G52:AB52" si="47">($A52/G$5)/365</f>
        <v>19.882583170254403</v>
      </c>
      <c r="H52" s="23">
        <f t="shared" si="47"/>
        <v>27.835616438356166</v>
      </c>
      <c r="I52" s="23">
        <f t="shared" si="47"/>
        <v>139.17808219178082</v>
      </c>
      <c r="J52" s="23">
        <f t="shared" si="47"/>
        <v>69.589041095890408</v>
      </c>
      <c r="K52" s="23">
        <f t="shared" si="47"/>
        <v>139.17808219178082</v>
      </c>
      <c r="L52" s="23">
        <f t="shared" si="47"/>
        <v>139.17808219178082</v>
      </c>
      <c r="M52" s="23">
        <f t="shared" si="47"/>
        <v>139.17808219178082</v>
      </c>
      <c r="N52" s="23">
        <f t="shared" si="47"/>
        <v>139.17808219178082</v>
      </c>
      <c r="O52" s="23">
        <f t="shared" si="47"/>
        <v>139.17808219178082</v>
      </c>
      <c r="P52" s="23">
        <f t="shared" si="47"/>
        <v>139.17808219178082</v>
      </c>
      <c r="Q52" s="23">
        <f t="shared" si="47"/>
        <v>139.17808219178082</v>
      </c>
      <c r="R52" s="23">
        <f t="shared" si="47"/>
        <v>139.17808219178082</v>
      </c>
      <c r="S52" s="23">
        <f t="shared" si="47"/>
        <v>139.17808219178082</v>
      </c>
      <c r="T52" s="23">
        <f t="shared" si="47"/>
        <v>139.17808219178082</v>
      </c>
      <c r="U52" s="23">
        <f t="shared" si="47"/>
        <v>139.17808219178082</v>
      </c>
      <c r="V52" s="23">
        <f t="shared" si="47"/>
        <v>139.17808219178082</v>
      </c>
      <c r="W52" s="23">
        <f t="shared" si="47"/>
        <v>139.17808219178082</v>
      </c>
      <c r="X52" s="23">
        <f t="shared" si="47"/>
        <v>139.17808219178082</v>
      </c>
      <c r="Y52" s="23">
        <f t="shared" si="47"/>
        <v>139.17808219178082</v>
      </c>
      <c r="Z52" s="23">
        <f t="shared" si="47"/>
        <v>139.17808219178082</v>
      </c>
      <c r="AA52" s="23">
        <f t="shared" si="47"/>
        <v>139.17808219178082</v>
      </c>
      <c r="AB52" s="23">
        <f t="shared" si="47"/>
        <v>139.17808219178082</v>
      </c>
    </row>
    <row r="53" spans="1:28" ht="15.75" customHeight="1" x14ac:dyDescent="0.3">
      <c r="A53" s="12">
        <f>RAW!$A$13</f>
        <v>102000</v>
      </c>
      <c r="B53" s="2"/>
      <c r="C53" s="24" t="s">
        <v>26</v>
      </c>
      <c r="D53" s="23">
        <f t="shared" si="40"/>
        <v>279.45205479452056</v>
      </c>
      <c r="E53" s="2"/>
      <c r="F53" s="24" t="s">
        <v>26</v>
      </c>
      <c r="G53" s="23">
        <f t="shared" ref="G53:AB53" si="48">($A53/G$5)/365</f>
        <v>39.921722113502931</v>
      </c>
      <c r="H53" s="23">
        <f t="shared" si="48"/>
        <v>55.890410958904113</v>
      </c>
      <c r="I53" s="23">
        <f t="shared" si="48"/>
        <v>279.45205479452056</v>
      </c>
      <c r="J53" s="23">
        <f t="shared" si="48"/>
        <v>139.72602739726028</v>
      </c>
      <c r="K53" s="23">
        <f t="shared" si="48"/>
        <v>279.45205479452056</v>
      </c>
      <c r="L53" s="23">
        <f t="shared" si="48"/>
        <v>279.45205479452056</v>
      </c>
      <c r="M53" s="23">
        <f t="shared" si="48"/>
        <v>279.45205479452056</v>
      </c>
      <c r="N53" s="23">
        <f t="shared" si="48"/>
        <v>279.45205479452056</v>
      </c>
      <c r="O53" s="23">
        <f t="shared" si="48"/>
        <v>279.45205479452056</v>
      </c>
      <c r="P53" s="23">
        <f t="shared" si="48"/>
        <v>279.45205479452056</v>
      </c>
      <c r="Q53" s="23">
        <f t="shared" si="48"/>
        <v>279.45205479452056</v>
      </c>
      <c r="R53" s="23">
        <f t="shared" si="48"/>
        <v>279.45205479452056</v>
      </c>
      <c r="S53" s="23">
        <f t="shared" si="48"/>
        <v>279.45205479452056</v>
      </c>
      <c r="T53" s="23">
        <f t="shared" si="48"/>
        <v>279.45205479452056</v>
      </c>
      <c r="U53" s="23">
        <f t="shared" si="48"/>
        <v>279.45205479452056</v>
      </c>
      <c r="V53" s="23">
        <f t="shared" si="48"/>
        <v>279.45205479452056</v>
      </c>
      <c r="W53" s="23">
        <f t="shared" si="48"/>
        <v>279.45205479452056</v>
      </c>
      <c r="X53" s="23">
        <f t="shared" si="48"/>
        <v>279.45205479452056</v>
      </c>
      <c r="Y53" s="23">
        <f t="shared" si="48"/>
        <v>279.45205479452056</v>
      </c>
      <c r="Z53" s="23">
        <f t="shared" si="48"/>
        <v>279.45205479452056</v>
      </c>
      <c r="AA53" s="23">
        <f t="shared" si="48"/>
        <v>279.45205479452056</v>
      </c>
      <c r="AB53" s="23">
        <f t="shared" si="48"/>
        <v>279.45205479452056</v>
      </c>
    </row>
    <row r="54" spans="1:28" ht="15.75" customHeight="1" x14ac:dyDescent="0.3">
      <c r="A54" s="12">
        <f>RAW!$A$14</f>
        <v>204400</v>
      </c>
      <c r="B54" s="2"/>
      <c r="C54" s="24" t="s">
        <v>27</v>
      </c>
      <c r="D54" s="23">
        <f t="shared" si="40"/>
        <v>560</v>
      </c>
      <c r="E54" s="2"/>
      <c r="F54" s="24" t="s">
        <v>27</v>
      </c>
      <c r="G54" s="23">
        <f t="shared" ref="G54:AB54" si="49">($A54/G$5)/365</f>
        <v>80</v>
      </c>
      <c r="H54" s="23">
        <f t="shared" si="49"/>
        <v>112</v>
      </c>
      <c r="I54" s="23">
        <f t="shared" si="49"/>
        <v>560</v>
      </c>
      <c r="J54" s="23">
        <f t="shared" si="49"/>
        <v>280</v>
      </c>
      <c r="K54" s="23">
        <f t="shared" si="49"/>
        <v>560</v>
      </c>
      <c r="L54" s="23">
        <f t="shared" si="49"/>
        <v>560</v>
      </c>
      <c r="M54" s="23">
        <f t="shared" si="49"/>
        <v>560</v>
      </c>
      <c r="N54" s="23">
        <f t="shared" si="49"/>
        <v>560</v>
      </c>
      <c r="O54" s="23">
        <f t="shared" si="49"/>
        <v>560</v>
      </c>
      <c r="P54" s="23">
        <f t="shared" si="49"/>
        <v>560</v>
      </c>
      <c r="Q54" s="23">
        <f t="shared" si="49"/>
        <v>560</v>
      </c>
      <c r="R54" s="23">
        <f t="shared" si="49"/>
        <v>560</v>
      </c>
      <c r="S54" s="23">
        <f t="shared" si="49"/>
        <v>560</v>
      </c>
      <c r="T54" s="23">
        <f t="shared" si="49"/>
        <v>560</v>
      </c>
      <c r="U54" s="23">
        <f t="shared" si="49"/>
        <v>560</v>
      </c>
      <c r="V54" s="23">
        <f t="shared" si="49"/>
        <v>560</v>
      </c>
      <c r="W54" s="23">
        <f t="shared" si="49"/>
        <v>560</v>
      </c>
      <c r="X54" s="23">
        <f t="shared" si="49"/>
        <v>560</v>
      </c>
      <c r="Y54" s="23">
        <f t="shared" si="49"/>
        <v>560</v>
      </c>
      <c r="Z54" s="23">
        <f t="shared" si="49"/>
        <v>560</v>
      </c>
      <c r="AA54" s="23">
        <f t="shared" si="49"/>
        <v>560</v>
      </c>
      <c r="AB54" s="23">
        <f t="shared" si="49"/>
        <v>560</v>
      </c>
    </row>
    <row r="55" spans="1:28" ht="15.75" customHeight="1" x14ac:dyDescent="0.3">
      <c r="A55" s="12">
        <f>RAW!$A$15</f>
        <v>409200</v>
      </c>
      <c r="B55" s="2"/>
      <c r="C55" s="24" t="s">
        <v>28</v>
      </c>
      <c r="D55" s="23">
        <f t="shared" si="40"/>
        <v>1121.0958904109589</v>
      </c>
      <c r="E55" s="2"/>
      <c r="F55" s="24" t="s">
        <v>28</v>
      </c>
      <c r="G55" s="23">
        <f t="shared" ref="G55:AB55" si="50">($A55/G$5)/365</f>
        <v>160.15655577299412</v>
      </c>
      <c r="H55" s="23">
        <f t="shared" si="50"/>
        <v>224.21917808219177</v>
      </c>
      <c r="I55" s="23">
        <f t="shared" si="50"/>
        <v>1121.0958904109589</v>
      </c>
      <c r="J55" s="23">
        <f t="shared" si="50"/>
        <v>560.54794520547944</v>
      </c>
      <c r="K55" s="23">
        <f t="shared" si="50"/>
        <v>1121.0958904109589</v>
      </c>
      <c r="L55" s="23">
        <f t="shared" si="50"/>
        <v>1121.0958904109589</v>
      </c>
      <c r="M55" s="23">
        <f t="shared" si="50"/>
        <v>1121.0958904109589</v>
      </c>
      <c r="N55" s="23">
        <f t="shared" si="50"/>
        <v>1121.0958904109589</v>
      </c>
      <c r="O55" s="23">
        <f t="shared" si="50"/>
        <v>1121.0958904109589</v>
      </c>
      <c r="P55" s="23">
        <f t="shared" si="50"/>
        <v>1121.0958904109589</v>
      </c>
      <c r="Q55" s="23">
        <f t="shared" si="50"/>
        <v>1121.0958904109589</v>
      </c>
      <c r="R55" s="23">
        <f t="shared" si="50"/>
        <v>1121.0958904109589</v>
      </c>
      <c r="S55" s="23">
        <f t="shared" si="50"/>
        <v>1121.0958904109589</v>
      </c>
      <c r="T55" s="23">
        <f t="shared" si="50"/>
        <v>1121.0958904109589</v>
      </c>
      <c r="U55" s="23">
        <f t="shared" si="50"/>
        <v>1121.0958904109589</v>
      </c>
      <c r="V55" s="23">
        <f t="shared" si="50"/>
        <v>1121.0958904109589</v>
      </c>
      <c r="W55" s="23">
        <f t="shared" si="50"/>
        <v>1121.0958904109589</v>
      </c>
      <c r="X55" s="23">
        <f t="shared" si="50"/>
        <v>1121.0958904109589</v>
      </c>
      <c r="Y55" s="23">
        <f t="shared" si="50"/>
        <v>1121.0958904109589</v>
      </c>
      <c r="Z55" s="23">
        <f t="shared" si="50"/>
        <v>1121.0958904109589</v>
      </c>
      <c r="AA55" s="23">
        <f t="shared" si="50"/>
        <v>1121.0958904109589</v>
      </c>
      <c r="AB55" s="23">
        <f t="shared" si="50"/>
        <v>1121.0958904109589</v>
      </c>
    </row>
    <row r="56" spans="1:28" ht="15.75" customHeight="1" x14ac:dyDescent="0.3">
      <c r="A56" s="12">
        <f>RAW!$A$16</f>
        <v>818800</v>
      </c>
      <c r="B56" s="2"/>
      <c r="C56" s="24" t="s">
        <v>29</v>
      </c>
      <c r="D56" s="23">
        <f t="shared" si="40"/>
        <v>2243.2876712328766</v>
      </c>
      <c r="E56" s="2"/>
      <c r="F56" s="24" t="s">
        <v>29</v>
      </c>
      <c r="G56" s="23">
        <f t="shared" ref="G56:AB56" si="51">($A56/G$5)/365</f>
        <v>320.46966731898237</v>
      </c>
      <c r="H56" s="23">
        <f t="shared" si="51"/>
        <v>448.65753424657532</v>
      </c>
      <c r="I56" s="23">
        <f t="shared" si="51"/>
        <v>2243.2876712328766</v>
      </c>
      <c r="J56" s="23">
        <f t="shared" si="51"/>
        <v>1121.6438356164383</v>
      </c>
      <c r="K56" s="23">
        <f t="shared" si="51"/>
        <v>2243.2876712328766</v>
      </c>
      <c r="L56" s="23">
        <f t="shared" si="51"/>
        <v>2243.2876712328766</v>
      </c>
      <c r="M56" s="23">
        <f t="shared" si="51"/>
        <v>2243.2876712328766</v>
      </c>
      <c r="N56" s="23">
        <f t="shared" si="51"/>
        <v>2243.2876712328766</v>
      </c>
      <c r="O56" s="23">
        <f t="shared" si="51"/>
        <v>2243.2876712328766</v>
      </c>
      <c r="P56" s="23">
        <f t="shared" si="51"/>
        <v>2243.2876712328766</v>
      </c>
      <c r="Q56" s="23">
        <f t="shared" si="51"/>
        <v>2243.2876712328766</v>
      </c>
      <c r="R56" s="23">
        <f t="shared" si="51"/>
        <v>2243.2876712328766</v>
      </c>
      <c r="S56" s="23">
        <f t="shared" si="51"/>
        <v>2243.2876712328766</v>
      </c>
      <c r="T56" s="23">
        <f t="shared" si="51"/>
        <v>2243.2876712328766</v>
      </c>
      <c r="U56" s="23">
        <f t="shared" si="51"/>
        <v>2243.2876712328766</v>
      </c>
      <c r="V56" s="23">
        <f t="shared" si="51"/>
        <v>2243.2876712328766</v>
      </c>
      <c r="W56" s="23">
        <f t="shared" si="51"/>
        <v>2243.2876712328766</v>
      </c>
      <c r="X56" s="23">
        <f t="shared" si="51"/>
        <v>2243.2876712328766</v>
      </c>
      <c r="Y56" s="23">
        <f t="shared" si="51"/>
        <v>2243.2876712328766</v>
      </c>
      <c r="Z56" s="23">
        <f t="shared" si="51"/>
        <v>2243.2876712328766</v>
      </c>
      <c r="AA56" s="23">
        <f t="shared" si="51"/>
        <v>2243.2876712328766</v>
      </c>
      <c r="AB56" s="23">
        <f t="shared" si="51"/>
        <v>2243.2876712328766</v>
      </c>
    </row>
    <row r="57" spans="1:28" ht="15.75" customHeight="1" x14ac:dyDescent="0.3">
      <c r="A57" s="12">
        <f>RAW!$A$17</f>
        <v>1638000</v>
      </c>
      <c r="B57" s="2"/>
      <c r="C57" s="24" t="s">
        <v>30</v>
      </c>
      <c r="D57" s="23">
        <f t="shared" si="40"/>
        <v>4487.6712328767126</v>
      </c>
      <c r="E57" s="2"/>
      <c r="F57" s="24" t="s">
        <v>30</v>
      </c>
      <c r="G57" s="23">
        <f t="shared" ref="G57:AB57" si="52">($A57/G$5)/365</f>
        <v>641.09589041095887</v>
      </c>
      <c r="H57" s="23">
        <f t="shared" si="52"/>
        <v>897.53424657534242</v>
      </c>
      <c r="I57" s="23">
        <f t="shared" si="52"/>
        <v>4487.6712328767126</v>
      </c>
      <c r="J57" s="23">
        <f t="shared" si="52"/>
        <v>2243.8356164383563</v>
      </c>
      <c r="K57" s="23">
        <f t="shared" si="52"/>
        <v>4487.6712328767126</v>
      </c>
      <c r="L57" s="23">
        <f t="shared" si="52"/>
        <v>4487.6712328767126</v>
      </c>
      <c r="M57" s="23">
        <f t="shared" si="52"/>
        <v>4487.6712328767126</v>
      </c>
      <c r="N57" s="23">
        <f t="shared" si="52"/>
        <v>4487.6712328767126</v>
      </c>
      <c r="O57" s="23">
        <f t="shared" si="52"/>
        <v>4487.6712328767126</v>
      </c>
      <c r="P57" s="23">
        <f t="shared" si="52"/>
        <v>4487.6712328767126</v>
      </c>
      <c r="Q57" s="23">
        <f t="shared" si="52"/>
        <v>4487.6712328767126</v>
      </c>
      <c r="R57" s="23">
        <f t="shared" si="52"/>
        <v>4487.6712328767126</v>
      </c>
      <c r="S57" s="23">
        <f t="shared" si="52"/>
        <v>4487.6712328767126</v>
      </c>
      <c r="T57" s="23">
        <f t="shared" si="52"/>
        <v>4487.6712328767126</v>
      </c>
      <c r="U57" s="23">
        <f t="shared" si="52"/>
        <v>4487.6712328767126</v>
      </c>
      <c r="V57" s="23">
        <f t="shared" si="52"/>
        <v>4487.6712328767126</v>
      </c>
      <c r="W57" s="23">
        <f t="shared" si="52"/>
        <v>4487.6712328767126</v>
      </c>
      <c r="X57" s="23">
        <f t="shared" si="52"/>
        <v>4487.6712328767126</v>
      </c>
      <c r="Y57" s="23">
        <f t="shared" si="52"/>
        <v>4487.6712328767126</v>
      </c>
      <c r="Z57" s="23">
        <f t="shared" si="52"/>
        <v>4487.6712328767126</v>
      </c>
      <c r="AA57" s="23">
        <f t="shared" si="52"/>
        <v>4487.6712328767126</v>
      </c>
      <c r="AB57" s="23">
        <f t="shared" si="52"/>
        <v>4487.6712328767126</v>
      </c>
    </row>
    <row r="58" spans="1:28" ht="15.75" customHeight="1" x14ac:dyDescent="0.3">
      <c r="A58" s="12">
        <f>RAW!$A$18</f>
        <v>3276400</v>
      </c>
      <c r="B58" s="2"/>
      <c r="C58" s="24" t="s">
        <v>31</v>
      </c>
      <c r="D58" s="23">
        <f t="shared" si="40"/>
        <v>8976.4383561643845</v>
      </c>
      <c r="E58" s="2"/>
      <c r="F58" s="24" t="s">
        <v>31</v>
      </c>
      <c r="G58" s="23">
        <f t="shared" ref="G58:AB58" si="53">($A58/G$5)/365</f>
        <v>1282.3483365949119</v>
      </c>
      <c r="H58" s="23">
        <f t="shared" si="53"/>
        <v>1795.2876712328766</v>
      </c>
      <c r="I58" s="23">
        <f t="shared" si="53"/>
        <v>8976.4383561643845</v>
      </c>
      <c r="J58" s="23">
        <f t="shared" si="53"/>
        <v>4488.2191780821922</v>
      </c>
      <c r="K58" s="23">
        <f t="shared" si="53"/>
        <v>8976.4383561643845</v>
      </c>
      <c r="L58" s="23">
        <f t="shared" si="53"/>
        <v>8976.4383561643845</v>
      </c>
      <c r="M58" s="23">
        <f t="shared" si="53"/>
        <v>8976.4383561643845</v>
      </c>
      <c r="N58" s="23">
        <f t="shared" si="53"/>
        <v>8976.4383561643845</v>
      </c>
      <c r="O58" s="23">
        <f t="shared" si="53"/>
        <v>8976.4383561643845</v>
      </c>
      <c r="P58" s="23">
        <f t="shared" si="53"/>
        <v>8976.4383561643845</v>
      </c>
      <c r="Q58" s="23">
        <f t="shared" si="53"/>
        <v>8976.4383561643845</v>
      </c>
      <c r="R58" s="23">
        <f t="shared" si="53"/>
        <v>8976.4383561643845</v>
      </c>
      <c r="S58" s="23">
        <f t="shared" si="53"/>
        <v>8976.4383561643845</v>
      </c>
      <c r="T58" s="23">
        <f t="shared" si="53"/>
        <v>8976.4383561643845</v>
      </c>
      <c r="U58" s="23">
        <f t="shared" si="53"/>
        <v>8976.4383561643845</v>
      </c>
      <c r="V58" s="23">
        <f t="shared" si="53"/>
        <v>8976.4383561643845</v>
      </c>
      <c r="W58" s="23">
        <f t="shared" si="53"/>
        <v>8976.4383561643845</v>
      </c>
      <c r="X58" s="23">
        <f t="shared" si="53"/>
        <v>8976.4383561643845</v>
      </c>
      <c r="Y58" s="23">
        <f t="shared" si="53"/>
        <v>8976.4383561643845</v>
      </c>
      <c r="Z58" s="23">
        <f t="shared" si="53"/>
        <v>8976.4383561643845</v>
      </c>
      <c r="AA58" s="23">
        <f t="shared" si="53"/>
        <v>8976.4383561643845</v>
      </c>
      <c r="AB58" s="23">
        <f t="shared" si="53"/>
        <v>8976.4383561643845</v>
      </c>
    </row>
    <row r="59" spans="1:28" ht="15.75" customHeight="1" x14ac:dyDescent="0.3">
      <c r="A59" s="12">
        <f>RAW!$A$19</f>
        <v>6553200</v>
      </c>
      <c r="B59" s="2"/>
      <c r="C59" s="24" t="s">
        <v>32</v>
      </c>
      <c r="D59" s="23">
        <f t="shared" si="40"/>
        <v>17953.972602739726</v>
      </c>
      <c r="E59" s="2"/>
      <c r="F59" s="24" t="s">
        <v>32</v>
      </c>
      <c r="G59" s="23">
        <f t="shared" ref="G59:AB59" si="54">($A59/G$5)/365</f>
        <v>2564.8532289628179</v>
      </c>
      <c r="H59" s="23">
        <f t="shared" si="54"/>
        <v>3590.794520547945</v>
      </c>
      <c r="I59" s="23">
        <f t="shared" si="54"/>
        <v>17953.972602739726</v>
      </c>
      <c r="J59" s="23">
        <f t="shared" si="54"/>
        <v>8976.9863013698632</v>
      </c>
      <c r="K59" s="23">
        <f t="shared" si="54"/>
        <v>17953.972602739726</v>
      </c>
      <c r="L59" s="23">
        <f t="shared" si="54"/>
        <v>17953.972602739726</v>
      </c>
      <c r="M59" s="23">
        <f t="shared" si="54"/>
        <v>17953.972602739726</v>
      </c>
      <c r="N59" s="23">
        <f t="shared" si="54"/>
        <v>17953.972602739726</v>
      </c>
      <c r="O59" s="23">
        <f t="shared" si="54"/>
        <v>17953.972602739726</v>
      </c>
      <c r="P59" s="23">
        <f t="shared" si="54"/>
        <v>17953.972602739726</v>
      </c>
      <c r="Q59" s="23">
        <f t="shared" si="54"/>
        <v>17953.972602739726</v>
      </c>
      <c r="R59" s="23">
        <f t="shared" si="54"/>
        <v>17953.972602739726</v>
      </c>
      <c r="S59" s="23">
        <f t="shared" si="54"/>
        <v>17953.972602739726</v>
      </c>
      <c r="T59" s="23">
        <f t="shared" si="54"/>
        <v>17953.972602739726</v>
      </c>
      <c r="U59" s="23">
        <f t="shared" si="54"/>
        <v>17953.972602739726</v>
      </c>
      <c r="V59" s="23">
        <f t="shared" si="54"/>
        <v>17953.972602739726</v>
      </c>
      <c r="W59" s="23">
        <f t="shared" si="54"/>
        <v>17953.972602739726</v>
      </c>
      <c r="X59" s="23">
        <f t="shared" si="54"/>
        <v>17953.972602739726</v>
      </c>
      <c r="Y59" s="23">
        <f t="shared" si="54"/>
        <v>17953.972602739726</v>
      </c>
      <c r="Z59" s="23">
        <f t="shared" si="54"/>
        <v>17953.972602739726</v>
      </c>
      <c r="AA59" s="23">
        <f t="shared" si="54"/>
        <v>17953.972602739726</v>
      </c>
      <c r="AB59" s="23">
        <f t="shared" si="54"/>
        <v>17953.972602739726</v>
      </c>
    </row>
    <row r="60" spans="1:28" ht="15.75" customHeight="1" x14ac:dyDescent="0.3">
      <c r="A60" s="12">
        <f>RAW!$A$20</f>
        <v>13106800</v>
      </c>
      <c r="B60" s="2"/>
      <c r="C60" s="24" t="s">
        <v>33</v>
      </c>
      <c r="D60" s="23">
        <f t="shared" si="40"/>
        <v>35909.04109589041</v>
      </c>
      <c r="E60" s="2"/>
      <c r="F60" s="24" t="s">
        <v>33</v>
      </c>
      <c r="G60" s="23">
        <f t="shared" ref="G60:AB60" si="55">($A60/G$5)/365</f>
        <v>5129.8630136986303</v>
      </c>
      <c r="H60" s="23">
        <f t="shared" si="55"/>
        <v>7181.8082191780823</v>
      </c>
      <c r="I60" s="23">
        <f t="shared" si="55"/>
        <v>35909.04109589041</v>
      </c>
      <c r="J60" s="23">
        <f t="shared" si="55"/>
        <v>17954.520547945205</v>
      </c>
      <c r="K60" s="23">
        <f t="shared" si="55"/>
        <v>35909.04109589041</v>
      </c>
      <c r="L60" s="23">
        <f t="shared" si="55"/>
        <v>35909.04109589041</v>
      </c>
      <c r="M60" s="23">
        <f t="shared" si="55"/>
        <v>35909.04109589041</v>
      </c>
      <c r="N60" s="23">
        <f t="shared" si="55"/>
        <v>35909.04109589041</v>
      </c>
      <c r="O60" s="23">
        <f t="shared" si="55"/>
        <v>35909.04109589041</v>
      </c>
      <c r="P60" s="23">
        <f t="shared" si="55"/>
        <v>35909.04109589041</v>
      </c>
      <c r="Q60" s="23">
        <f t="shared" si="55"/>
        <v>35909.04109589041</v>
      </c>
      <c r="R60" s="23">
        <f t="shared" si="55"/>
        <v>35909.04109589041</v>
      </c>
      <c r="S60" s="23">
        <f t="shared" si="55"/>
        <v>35909.04109589041</v>
      </c>
      <c r="T60" s="23">
        <f t="shared" si="55"/>
        <v>35909.04109589041</v>
      </c>
      <c r="U60" s="23">
        <f t="shared" si="55"/>
        <v>35909.04109589041</v>
      </c>
      <c r="V60" s="23">
        <f t="shared" si="55"/>
        <v>35909.04109589041</v>
      </c>
      <c r="W60" s="23">
        <f t="shared" si="55"/>
        <v>35909.04109589041</v>
      </c>
      <c r="X60" s="23">
        <f t="shared" si="55"/>
        <v>35909.04109589041</v>
      </c>
      <c r="Y60" s="23">
        <f t="shared" si="55"/>
        <v>35909.04109589041</v>
      </c>
      <c r="Z60" s="23">
        <f t="shared" si="55"/>
        <v>35909.04109589041</v>
      </c>
      <c r="AA60" s="23">
        <f t="shared" si="55"/>
        <v>35909.04109589041</v>
      </c>
      <c r="AB60" s="23">
        <f t="shared" si="55"/>
        <v>35909.04109589041</v>
      </c>
    </row>
    <row r="61" spans="1:28" ht="15.75" customHeight="1" x14ac:dyDescent="0.3">
      <c r="A61" s="12">
        <f>RAW!$A$21</f>
        <v>26214000</v>
      </c>
      <c r="B61" s="2"/>
      <c r="C61" s="24" t="s">
        <v>34</v>
      </c>
      <c r="D61" s="23">
        <f t="shared" si="40"/>
        <v>71819.178082191778</v>
      </c>
      <c r="E61" s="2"/>
      <c r="F61" s="24" t="s">
        <v>34</v>
      </c>
      <c r="G61" s="23">
        <f t="shared" ref="G61:AB61" si="56">($A61/G$5)/365</f>
        <v>10259.882583170254</v>
      </c>
      <c r="H61" s="23">
        <f t="shared" si="56"/>
        <v>14363.835616438357</v>
      </c>
      <c r="I61" s="23">
        <f t="shared" si="56"/>
        <v>71819.178082191778</v>
      </c>
      <c r="J61" s="23">
        <f t="shared" si="56"/>
        <v>35909.589041095889</v>
      </c>
      <c r="K61" s="23">
        <f t="shared" si="56"/>
        <v>71819.178082191778</v>
      </c>
      <c r="L61" s="23">
        <f t="shared" si="56"/>
        <v>71819.178082191778</v>
      </c>
      <c r="M61" s="23">
        <f t="shared" si="56"/>
        <v>71819.178082191778</v>
      </c>
      <c r="N61" s="23">
        <f t="shared" si="56"/>
        <v>71819.178082191778</v>
      </c>
      <c r="O61" s="23">
        <f t="shared" si="56"/>
        <v>71819.178082191778</v>
      </c>
      <c r="P61" s="23">
        <f t="shared" si="56"/>
        <v>71819.178082191778</v>
      </c>
      <c r="Q61" s="23">
        <f t="shared" si="56"/>
        <v>71819.178082191778</v>
      </c>
      <c r="R61" s="23">
        <f t="shared" si="56"/>
        <v>71819.178082191778</v>
      </c>
      <c r="S61" s="23">
        <f t="shared" si="56"/>
        <v>71819.178082191778</v>
      </c>
      <c r="T61" s="23">
        <f t="shared" si="56"/>
        <v>71819.178082191778</v>
      </c>
      <c r="U61" s="23">
        <f t="shared" si="56"/>
        <v>71819.178082191778</v>
      </c>
      <c r="V61" s="23">
        <f t="shared" si="56"/>
        <v>71819.178082191778</v>
      </c>
      <c r="W61" s="23">
        <f t="shared" si="56"/>
        <v>71819.178082191778</v>
      </c>
      <c r="X61" s="23">
        <f t="shared" si="56"/>
        <v>71819.178082191778</v>
      </c>
      <c r="Y61" s="23">
        <f t="shared" si="56"/>
        <v>71819.178082191778</v>
      </c>
      <c r="Z61" s="23">
        <f t="shared" si="56"/>
        <v>71819.178082191778</v>
      </c>
      <c r="AA61" s="23">
        <f t="shared" si="56"/>
        <v>71819.178082191778</v>
      </c>
      <c r="AB61" s="23">
        <f t="shared" si="56"/>
        <v>71819.178082191778</v>
      </c>
    </row>
    <row r="62" spans="1:28" ht="15.75" customHeight="1" x14ac:dyDescent="0.3">
      <c r="A62" s="12">
        <f>RAW!$A$22</f>
        <v>52428400</v>
      </c>
      <c r="B62" s="2"/>
      <c r="C62" s="24" t="s">
        <v>35</v>
      </c>
      <c r="D62" s="23">
        <f t="shared" si="40"/>
        <v>143639.45205479453</v>
      </c>
      <c r="E62" s="2"/>
      <c r="F62" s="24" t="s">
        <v>35</v>
      </c>
      <c r="G62" s="23">
        <f t="shared" ref="G62:AB62" si="57">($A62/G$5)/365</f>
        <v>20519.9217221135</v>
      </c>
      <c r="H62" s="23">
        <f t="shared" si="57"/>
        <v>28727.890410958906</v>
      </c>
      <c r="I62" s="23">
        <f t="shared" si="57"/>
        <v>143639.45205479453</v>
      </c>
      <c r="J62" s="23">
        <f t="shared" si="57"/>
        <v>71819.726027397264</v>
      </c>
      <c r="K62" s="23">
        <f t="shared" si="57"/>
        <v>143639.45205479453</v>
      </c>
      <c r="L62" s="23">
        <f t="shared" si="57"/>
        <v>143639.45205479453</v>
      </c>
      <c r="M62" s="23">
        <f t="shared" si="57"/>
        <v>143639.45205479453</v>
      </c>
      <c r="N62" s="23">
        <f t="shared" si="57"/>
        <v>143639.45205479453</v>
      </c>
      <c r="O62" s="23">
        <f t="shared" si="57"/>
        <v>143639.45205479453</v>
      </c>
      <c r="P62" s="23">
        <f t="shared" si="57"/>
        <v>143639.45205479453</v>
      </c>
      <c r="Q62" s="23">
        <f t="shared" si="57"/>
        <v>143639.45205479453</v>
      </c>
      <c r="R62" s="23">
        <f t="shared" si="57"/>
        <v>143639.45205479453</v>
      </c>
      <c r="S62" s="23">
        <f t="shared" si="57"/>
        <v>143639.45205479453</v>
      </c>
      <c r="T62" s="23">
        <f t="shared" si="57"/>
        <v>143639.45205479453</v>
      </c>
      <c r="U62" s="23">
        <f t="shared" si="57"/>
        <v>143639.45205479453</v>
      </c>
      <c r="V62" s="23">
        <f t="shared" si="57"/>
        <v>143639.45205479453</v>
      </c>
      <c r="W62" s="23">
        <f t="shared" si="57"/>
        <v>143639.45205479453</v>
      </c>
      <c r="X62" s="23">
        <f t="shared" si="57"/>
        <v>143639.45205479453</v>
      </c>
      <c r="Y62" s="23">
        <f t="shared" si="57"/>
        <v>143639.45205479453</v>
      </c>
      <c r="Z62" s="23">
        <f t="shared" si="57"/>
        <v>143639.45205479453</v>
      </c>
      <c r="AA62" s="23">
        <f t="shared" si="57"/>
        <v>143639.45205479453</v>
      </c>
      <c r="AB62" s="23">
        <f t="shared" si="57"/>
        <v>143639.45205479453</v>
      </c>
    </row>
    <row r="63" spans="1:28" ht="15.75" customHeight="1" x14ac:dyDescent="0.3">
      <c r="B63" s="2"/>
      <c r="E63" s="2"/>
    </row>
    <row r="64" spans="1:28" ht="15.75" customHeight="1" x14ac:dyDescent="0.3">
      <c r="B64" s="2"/>
      <c r="E64" s="2"/>
    </row>
    <row r="65" spans="2:5" ht="15.75" customHeight="1" x14ac:dyDescent="0.3">
      <c r="B65" s="2"/>
      <c r="E65" s="2"/>
    </row>
    <row r="66" spans="2:5" ht="15.75" customHeight="1" x14ac:dyDescent="0.3">
      <c r="B66" s="2"/>
      <c r="E66" s="2"/>
    </row>
    <row r="67" spans="2:5" ht="15.75" customHeight="1" x14ac:dyDescent="0.3">
      <c r="B67" s="2"/>
      <c r="E67" s="2"/>
    </row>
    <row r="68" spans="2:5" ht="15.75" customHeight="1" x14ac:dyDescent="0.3">
      <c r="B68" s="2"/>
      <c r="E68" s="2"/>
    </row>
    <row r="69" spans="2:5" ht="15.75" customHeight="1" x14ac:dyDescent="0.3">
      <c r="B69" s="2"/>
      <c r="E69" s="2"/>
    </row>
    <row r="70" spans="2:5" ht="15.75" customHeight="1" x14ac:dyDescent="0.3">
      <c r="B70" s="2"/>
      <c r="E70" s="2"/>
    </row>
    <row r="71" spans="2:5" ht="15.75" customHeight="1" x14ac:dyDescent="0.3">
      <c r="B71" s="2"/>
      <c r="E71" s="2"/>
    </row>
    <row r="72" spans="2:5" ht="15.75" customHeight="1" x14ac:dyDescent="0.3">
      <c r="B72" s="2"/>
      <c r="E72" s="2"/>
    </row>
    <row r="73" spans="2:5" ht="15.75" customHeight="1" x14ac:dyDescent="0.3">
      <c r="B73" s="2"/>
      <c r="E73" s="2"/>
    </row>
    <row r="74" spans="2:5" ht="15.75" customHeight="1" x14ac:dyDescent="0.3">
      <c r="B74" s="2"/>
      <c r="E74" s="2"/>
    </row>
    <row r="75" spans="2:5" ht="15.75" customHeight="1" x14ac:dyDescent="0.3">
      <c r="B75" s="2"/>
      <c r="E75" s="2"/>
    </row>
    <row r="76" spans="2:5" ht="15.75" customHeight="1" x14ac:dyDescent="0.3">
      <c r="B76" s="2"/>
      <c r="E76" s="2"/>
    </row>
    <row r="77" spans="2:5" ht="15.75" customHeight="1" x14ac:dyDescent="0.3">
      <c r="B77" s="2"/>
      <c r="E77" s="2"/>
    </row>
    <row r="78" spans="2:5" ht="15.75" customHeight="1" x14ac:dyDescent="0.3">
      <c r="B78" s="2"/>
      <c r="E78" s="2"/>
    </row>
    <row r="79" spans="2:5" ht="15.75" customHeight="1" x14ac:dyDescent="0.3">
      <c r="B79" s="2"/>
      <c r="E79" s="2"/>
    </row>
    <row r="80" spans="2:5" ht="15.75" customHeight="1" x14ac:dyDescent="0.3">
      <c r="B80" s="2"/>
      <c r="E80" s="2"/>
    </row>
    <row r="81" spans="2:5" ht="15.75" customHeight="1" x14ac:dyDescent="0.3">
      <c r="B81" s="2"/>
      <c r="E81" s="2"/>
    </row>
    <row r="82" spans="2:5" ht="15.75" customHeight="1" x14ac:dyDescent="0.3">
      <c r="B82" s="2"/>
      <c r="E82" s="2"/>
    </row>
    <row r="83" spans="2:5" ht="15.75" customHeight="1" x14ac:dyDescent="0.3">
      <c r="B83" s="2"/>
      <c r="E83" s="2"/>
    </row>
    <row r="84" spans="2:5" ht="15.75" customHeight="1" x14ac:dyDescent="0.3">
      <c r="B84" s="2"/>
      <c r="E84" s="2"/>
    </row>
    <row r="85" spans="2:5" ht="15.75" customHeight="1" x14ac:dyDescent="0.3">
      <c r="B85" s="2"/>
      <c r="E85" s="2"/>
    </row>
    <row r="86" spans="2:5" ht="15.75" customHeight="1" x14ac:dyDescent="0.3">
      <c r="B86" s="2"/>
      <c r="E86" s="2"/>
    </row>
    <row r="87" spans="2:5" ht="15.75" customHeight="1" x14ac:dyDescent="0.3">
      <c r="B87" s="2"/>
      <c r="E87" s="2"/>
    </row>
    <row r="88" spans="2:5" ht="15.75" customHeight="1" x14ac:dyDescent="0.3">
      <c r="B88" s="2"/>
      <c r="E88" s="2"/>
    </row>
    <row r="89" spans="2:5" ht="15.75" customHeight="1" x14ac:dyDescent="0.3">
      <c r="B89" s="2"/>
      <c r="E89" s="2"/>
    </row>
    <row r="90" spans="2:5" ht="15.75" customHeight="1" x14ac:dyDescent="0.3">
      <c r="B90" s="2"/>
      <c r="E90" s="2"/>
    </row>
    <row r="91" spans="2:5" ht="15.75" customHeight="1" x14ac:dyDescent="0.3">
      <c r="B91" s="2"/>
      <c r="E91" s="2"/>
    </row>
    <row r="92" spans="2:5" ht="15.75" customHeight="1" x14ac:dyDescent="0.3">
      <c r="B92" s="2"/>
      <c r="E92" s="2"/>
    </row>
    <row r="93" spans="2:5" ht="15.75" customHeight="1" x14ac:dyDescent="0.3">
      <c r="B93" s="2"/>
      <c r="E93" s="2"/>
    </row>
    <row r="94" spans="2:5" ht="15.75" customHeight="1" x14ac:dyDescent="0.3">
      <c r="B94" s="2"/>
      <c r="E94" s="2"/>
    </row>
    <row r="95" spans="2:5" ht="15.75" customHeight="1" x14ac:dyDescent="0.3">
      <c r="B95" s="2"/>
      <c r="E95" s="2"/>
    </row>
    <row r="96" spans="2:5" ht="15.75" customHeight="1" x14ac:dyDescent="0.3">
      <c r="B96" s="2"/>
      <c r="E96" s="2"/>
    </row>
    <row r="97" spans="2:5" ht="15.75" customHeight="1" x14ac:dyDescent="0.3">
      <c r="B97" s="2"/>
      <c r="E97" s="2"/>
    </row>
    <row r="98" spans="2:5" ht="15.75" customHeight="1" x14ac:dyDescent="0.3">
      <c r="B98" s="2"/>
      <c r="E98" s="2"/>
    </row>
    <row r="99" spans="2:5" ht="15.75" customHeight="1" x14ac:dyDescent="0.3">
      <c r="B99" s="2"/>
      <c r="E99" s="2"/>
    </row>
    <row r="100" spans="2:5" ht="15.75" customHeight="1" x14ac:dyDescent="0.3">
      <c r="B100" s="2"/>
      <c r="E100" s="2"/>
    </row>
    <row r="101" spans="2:5" ht="15.75" customHeight="1" x14ac:dyDescent="0.3">
      <c r="B101" s="2"/>
      <c r="E101" s="2"/>
    </row>
    <row r="102" spans="2:5" ht="15.75" customHeight="1" x14ac:dyDescent="0.3">
      <c r="B102" s="2"/>
      <c r="E102" s="2"/>
    </row>
    <row r="103" spans="2:5" ht="15.75" customHeight="1" x14ac:dyDescent="0.3">
      <c r="B103" s="2"/>
      <c r="E103" s="2"/>
    </row>
    <row r="104" spans="2:5" ht="15.75" customHeight="1" x14ac:dyDescent="0.3">
      <c r="B104" s="2"/>
      <c r="E104" s="2"/>
    </row>
    <row r="105" spans="2:5" ht="15.75" customHeight="1" x14ac:dyDescent="0.3">
      <c r="B105" s="2"/>
      <c r="E105" s="2"/>
    </row>
    <row r="106" spans="2:5" ht="15.75" customHeight="1" x14ac:dyDescent="0.3">
      <c r="B106" s="2"/>
      <c r="E106" s="2"/>
    </row>
    <row r="107" spans="2:5" ht="15.75" customHeight="1" x14ac:dyDescent="0.3">
      <c r="B107" s="2"/>
      <c r="E107" s="2"/>
    </row>
    <row r="108" spans="2:5" ht="15.75" customHeight="1" x14ac:dyDescent="0.3">
      <c r="B108" s="2"/>
      <c r="E108" s="2"/>
    </row>
    <row r="109" spans="2:5" ht="15.75" customHeight="1" x14ac:dyDescent="0.3">
      <c r="B109" s="2"/>
      <c r="E109" s="2"/>
    </row>
    <row r="110" spans="2:5" ht="15.75" customHeight="1" x14ac:dyDescent="0.3">
      <c r="B110" s="2"/>
      <c r="E110" s="2"/>
    </row>
    <row r="111" spans="2:5" ht="15.75" customHeight="1" x14ac:dyDescent="0.3">
      <c r="B111" s="2"/>
      <c r="E111" s="2"/>
    </row>
    <row r="112" spans="2:5" ht="15.75" customHeight="1" x14ac:dyDescent="0.3">
      <c r="B112" s="2"/>
      <c r="E112" s="2"/>
    </row>
    <row r="113" spans="2:5" ht="15.75" customHeight="1" x14ac:dyDescent="0.3">
      <c r="B113" s="2"/>
      <c r="E113" s="2"/>
    </row>
    <row r="114" spans="2:5" ht="15.75" customHeight="1" x14ac:dyDescent="0.3">
      <c r="B114" s="2"/>
      <c r="E114" s="2"/>
    </row>
    <row r="115" spans="2:5" ht="15.75" customHeight="1" x14ac:dyDescent="0.3">
      <c r="B115" s="2"/>
      <c r="E115" s="2"/>
    </row>
    <row r="116" spans="2:5" ht="15.75" customHeight="1" x14ac:dyDescent="0.3">
      <c r="B116" s="2"/>
      <c r="E116" s="2"/>
    </row>
    <row r="117" spans="2:5" ht="15.75" customHeight="1" x14ac:dyDescent="0.3">
      <c r="B117" s="2"/>
      <c r="E117" s="2"/>
    </row>
    <row r="118" spans="2:5" ht="15.75" customHeight="1" x14ac:dyDescent="0.3">
      <c r="B118" s="2"/>
      <c r="E118" s="2"/>
    </row>
    <row r="119" spans="2:5" ht="15.75" customHeight="1" x14ac:dyDescent="0.3">
      <c r="B119" s="2"/>
      <c r="E119" s="2"/>
    </row>
    <row r="120" spans="2:5" ht="15.75" customHeight="1" x14ac:dyDescent="0.3">
      <c r="B120" s="2"/>
      <c r="E120" s="2"/>
    </row>
    <row r="121" spans="2:5" ht="15.75" customHeight="1" x14ac:dyDescent="0.3">
      <c r="B121" s="2"/>
      <c r="E121" s="2"/>
    </row>
    <row r="122" spans="2:5" ht="15.75" customHeight="1" x14ac:dyDescent="0.3">
      <c r="B122" s="2"/>
      <c r="E122" s="2"/>
    </row>
    <row r="123" spans="2:5" ht="15.75" customHeight="1" x14ac:dyDescent="0.3">
      <c r="B123" s="2"/>
      <c r="E123" s="2"/>
    </row>
    <row r="124" spans="2:5" ht="15.75" customHeight="1" x14ac:dyDescent="0.3">
      <c r="B124" s="2"/>
      <c r="E124" s="2"/>
    </row>
    <row r="125" spans="2:5" ht="15.75" customHeight="1" x14ac:dyDescent="0.3">
      <c r="B125" s="2"/>
      <c r="E125" s="2"/>
    </row>
    <row r="126" spans="2:5" ht="15.75" customHeight="1" x14ac:dyDescent="0.3">
      <c r="B126" s="2"/>
      <c r="E126" s="2"/>
    </row>
    <row r="127" spans="2:5" ht="15.75" customHeight="1" x14ac:dyDescent="0.3">
      <c r="B127" s="2"/>
      <c r="E127" s="2"/>
    </row>
    <row r="128" spans="2:5" ht="15.75" customHeight="1" x14ac:dyDescent="0.3">
      <c r="B128" s="2"/>
      <c r="E128" s="2"/>
    </row>
    <row r="129" spans="2:5" ht="15.75" customHeight="1" x14ac:dyDescent="0.3">
      <c r="B129" s="2"/>
      <c r="E129" s="2"/>
    </row>
    <row r="130" spans="2:5" ht="15.75" customHeight="1" x14ac:dyDescent="0.3">
      <c r="B130" s="2"/>
      <c r="E130" s="2"/>
    </row>
    <row r="131" spans="2:5" ht="15.75" customHeight="1" x14ac:dyDescent="0.3">
      <c r="B131" s="2"/>
      <c r="E131" s="2"/>
    </row>
    <row r="132" spans="2:5" ht="15.75" customHeight="1" x14ac:dyDescent="0.3">
      <c r="B132" s="2"/>
      <c r="E132" s="2"/>
    </row>
    <row r="133" spans="2:5" ht="15.75" customHeight="1" x14ac:dyDescent="0.3">
      <c r="B133" s="2"/>
      <c r="E133" s="2"/>
    </row>
    <row r="134" spans="2:5" ht="15.75" customHeight="1" x14ac:dyDescent="0.3">
      <c r="B134" s="2"/>
      <c r="E134" s="2"/>
    </row>
    <row r="135" spans="2:5" ht="15.75" customHeight="1" x14ac:dyDescent="0.3">
      <c r="B135" s="2"/>
      <c r="E135" s="2"/>
    </row>
    <row r="136" spans="2:5" ht="15.75" customHeight="1" x14ac:dyDescent="0.3">
      <c r="B136" s="2"/>
      <c r="E136" s="2"/>
    </row>
    <row r="137" spans="2:5" ht="15.75" customHeight="1" x14ac:dyDescent="0.3">
      <c r="B137" s="2"/>
      <c r="E137" s="2"/>
    </row>
    <row r="138" spans="2:5" ht="15.75" customHeight="1" x14ac:dyDescent="0.3">
      <c r="B138" s="2"/>
      <c r="E138" s="2"/>
    </row>
    <row r="139" spans="2:5" ht="15.75" customHeight="1" x14ac:dyDescent="0.3">
      <c r="B139" s="2"/>
      <c r="E139" s="2"/>
    </row>
    <row r="140" spans="2:5" ht="15.75" customHeight="1" x14ac:dyDescent="0.3">
      <c r="B140" s="2"/>
      <c r="E140" s="2"/>
    </row>
    <row r="141" spans="2:5" ht="15.75" customHeight="1" x14ac:dyDescent="0.3">
      <c r="B141" s="2"/>
      <c r="E141" s="2"/>
    </row>
    <row r="142" spans="2:5" ht="15.75" customHeight="1" x14ac:dyDescent="0.3">
      <c r="B142" s="2"/>
      <c r="E142" s="2"/>
    </row>
    <row r="143" spans="2:5" ht="15.75" customHeight="1" x14ac:dyDescent="0.3">
      <c r="B143" s="2"/>
      <c r="E143" s="2"/>
    </row>
    <row r="144" spans="2:5" ht="15.75" customHeight="1" x14ac:dyDescent="0.3">
      <c r="B144" s="2"/>
      <c r="E144" s="2"/>
    </row>
    <row r="145" spans="2:5" ht="15.75" customHeight="1" x14ac:dyDescent="0.3">
      <c r="B145" s="2"/>
      <c r="E145" s="2"/>
    </row>
    <row r="146" spans="2:5" ht="15.75" customHeight="1" x14ac:dyDescent="0.3">
      <c r="B146" s="2"/>
      <c r="E146" s="2"/>
    </row>
    <row r="147" spans="2:5" ht="15.75" customHeight="1" x14ac:dyDescent="0.3">
      <c r="B147" s="2"/>
      <c r="E147" s="2"/>
    </row>
    <row r="148" spans="2:5" ht="15.75" customHeight="1" x14ac:dyDescent="0.3">
      <c r="B148" s="2"/>
      <c r="E148" s="2"/>
    </row>
    <row r="149" spans="2:5" ht="15.75" customHeight="1" x14ac:dyDescent="0.3">
      <c r="B149" s="2"/>
      <c r="E149" s="2"/>
    </row>
    <row r="150" spans="2:5" ht="15.75" customHeight="1" x14ac:dyDescent="0.3">
      <c r="B150" s="2"/>
      <c r="E150" s="2"/>
    </row>
    <row r="151" spans="2:5" ht="15.75" customHeight="1" x14ac:dyDescent="0.3">
      <c r="B151" s="2"/>
      <c r="E151" s="2"/>
    </row>
    <row r="152" spans="2:5" ht="15.75" customHeight="1" x14ac:dyDescent="0.3">
      <c r="B152" s="2"/>
      <c r="E152" s="2"/>
    </row>
    <row r="153" spans="2:5" ht="15.75" customHeight="1" x14ac:dyDescent="0.3">
      <c r="B153" s="2"/>
      <c r="E153" s="2"/>
    </row>
    <row r="154" spans="2:5" ht="15.75" customHeight="1" x14ac:dyDescent="0.3">
      <c r="B154" s="2"/>
      <c r="E154" s="2"/>
    </row>
    <row r="155" spans="2:5" ht="15.75" customHeight="1" x14ac:dyDescent="0.3">
      <c r="B155" s="2"/>
      <c r="E155" s="2"/>
    </row>
    <row r="156" spans="2:5" ht="15.75" customHeight="1" x14ac:dyDescent="0.3">
      <c r="B156" s="2"/>
      <c r="E156" s="2"/>
    </row>
    <row r="157" spans="2:5" ht="15.75" customHeight="1" x14ac:dyDescent="0.3">
      <c r="B157" s="2"/>
      <c r="E157" s="2"/>
    </row>
    <row r="158" spans="2:5" ht="15.75" customHeight="1" x14ac:dyDescent="0.3">
      <c r="B158" s="2"/>
      <c r="E158" s="2"/>
    </row>
    <row r="159" spans="2:5" ht="15.75" customHeight="1" x14ac:dyDescent="0.3">
      <c r="B159" s="2"/>
      <c r="E159" s="2"/>
    </row>
    <row r="160" spans="2:5" ht="15.75" customHeight="1" x14ac:dyDescent="0.3">
      <c r="B160" s="2"/>
      <c r="E160" s="2"/>
    </row>
    <row r="161" spans="2:5" ht="15.75" customHeight="1" x14ac:dyDescent="0.3">
      <c r="B161" s="2"/>
      <c r="E161" s="2"/>
    </row>
    <row r="162" spans="2:5" ht="15.75" customHeight="1" x14ac:dyDescent="0.3">
      <c r="B162" s="2"/>
      <c r="E162" s="2"/>
    </row>
    <row r="163" spans="2:5" ht="15.75" customHeight="1" x14ac:dyDescent="0.3">
      <c r="B163" s="2"/>
      <c r="E163" s="2"/>
    </row>
    <row r="164" spans="2:5" ht="15.75" customHeight="1" x14ac:dyDescent="0.3">
      <c r="B164" s="2"/>
      <c r="E164" s="2"/>
    </row>
    <row r="165" spans="2:5" ht="15.75" customHeight="1" x14ac:dyDescent="0.3">
      <c r="B165" s="2"/>
      <c r="E165" s="2"/>
    </row>
    <row r="166" spans="2:5" ht="15.75" customHeight="1" x14ac:dyDescent="0.3">
      <c r="B166" s="2"/>
      <c r="E166" s="2"/>
    </row>
    <row r="167" spans="2:5" ht="15.75" customHeight="1" x14ac:dyDescent="0.3">
      <c r="B167" s="2"/>
      <c r="E167" s="2"/>
    </row>
    <row r="168" spans="2:5" ht="15.75" customHeight="1" x14ac:dyDescent="0.3">
      <c r="B168" s="2"/>
      <c r="E168" s="2"/>
    </row>
    <row r="169" spans="2:5" ht="15.75" customHeight="1" x14ac:dyDescent="0.3">
      <c r="B169" s="2"/>
      <c r="E169" s="2"/>
    </row>
    <row r="170" spans="2:5" ht="15.75" customHeight="1" x14ac:dyDescent="0.3">
      <c r="B170" s="2"/>
      <c r="E170" s="2"/>
    </row>
    <row r="171" spans="2:5" ht="15.75" customHeight="1" x14ac:dyDescent="0.3">
      <c r="B171" s="2"/>
      <c r="E171" s="2"/>
    </row>
    <row r="172" spans="2:5" ht="15.75" customHeight="1" x14ac:dyDescent="0.3">
      <c r="B172" s="2"/>
      <c r="E172" s="2"/>
    </row>
    <row r="173" spans="2:5" ht="15.75" customHeight="1" x14ac:dyDescent="0.3">
      <c r="B173" s="2"/>
      <c r="E173" s="2"/>
    </row>
    <row r="174" spans="2:5" ht="15.75" customHeight="1" x14ac:dyDescent="0.3">
      <c r="B174" s="2"/>
      <c r="E174" s="2"/>
    </row>
    <row r="175" spans="2:5" ht="15.75" customHeight="1" x14ac:dyDescent="0.3">
      <c r="B175" s="2"/>
      <c r="E175" s="2"/>
    </row>
    <row r="176" spans="2:5" ht="15.75" customHeight="1" x14ac:dyDescent="0.3">
      <c r="B176" s="2"/>
      <c r="E176" s="2"/>
    </row>
    <row r="177" spans="2:5" ht="15.75" customHeight="1" x14ac:dyDescent="0.3">
      <c r="B177" s="2"/>
      <c r="E177" s="2"/>
    </row>
    <row r="178" spans="2:5" ht="15.75" customHeight="1" x14ac:dyDescent="0.3">
      <c r="B178" s="2"/>
      <c r="E178" s="2"/>
    </row>
    <row r="179" spans="2:5" ht="15.75" customHeight="1" x14ac:dyDescent="0.3">
      <c r="B179" s="2"/>
      <c r="E179" s="2"/>
    </row>
    <row r="180" spans="2:5" ht="15.75" customHeight="1" x14ac:dyDescent="0.3">
      <c r="B180" s="2"/>
      <c r="E180" s="2"/>
    </row>
    <row r="181" spans="2:5" ht="15.75" customHeight="1" x14ac:dyDescent="0.3">
      <c r="B181" s="2"/>
      <c r="E181" s="2"/>
    </row>
    <row r="182" spans="2:5" ht="15.75" customHeight="1" x14ac:dyDescent="0.3">
      <c r="B182" s="2"/>
      <c r="E182" s="2"/>
    </row>
    <row r="183" spans="2:5" ht="15.75" customHeight="1" x14ac:dyDescent="0.3">
      <c r="B183" s="2"/>
      <c r="E183" s="2"/>
    </row>
    <row r="184" spans="2:5" ht="15.75" customHeight="1" x14ac:dyDescent="0.3">
      <c r="B184" s="2"/>
      <c r="E184" s="2"/>
    </row>
    <row r="185" spans="2:5" ht="15.75" customHeight="1" x14ac:dyDescent="0.3">
      <c r="B185" s="2"/>
      <c r="E185" s="2"/>
    </row>
    <row r="186" spans="2:5" ht="15.75" customHeight="1" x14ac:dyDescent="0.3">
      <c r="B186" s="2"/>
      <c r="E186" s="2"/>
    </row>
    <row r="187" spans="2:5" ht="15.75" customHeight="1" x14ac:dyDescent="0.3">
      <c r="B187" s="2"/>
      <c r="E187" s="2"/>
    </row>
    <row r="188" spans="2:5" ht="15.75" customHeight="1" x14ac:dyDescent="0.3">
      <c r="B188" s="2"/>
      <c r="E188" s="2"/>
    </row>
    <row r="189" spans="2:5" ht="15.75" customHeight="1" x14ac:dyDescent="0.3">
      <c r="B189" s="2"/>
      <c r="E189" s="2"/>
    </row>
    <row r="190" spans="2:5" ht="15.75" customHeight="1" x14ac:dyDescent="0.3">
      <c r="B190" s="2"/>
      <c r="E190" s="2"/>
    </row>
    <row r="191" spans="2:5" ht="15.75" customHeight="1" x14ac:dyDescent="0.3">
      <c r="B191" s="2"/>
      <c r="E191" s="2"/>
    </row>
    <row r="192" spans="2:5" ht="15.75" customHeight="1" x14ac:dyDescent="0.3">
      <c r="B192" s="2"/>
      <c r="E192" s="2"/>
    </row>
    <row r="193" spans="2:5" ht="15.75" customHeight="1" x14ac:dyDescent="0.3">
      <c r="B193" s="2"/>
      <c r="E193" s="2"/>
    </row>
    <row r="194" spans="2:5" ht="15.75" customHeight="1" x14ac:dyDescent="0.3">
      <c r="B194" s="2"/>
      <c r="E194" s="2"/>
    </row>
    <row r="195" spans="2:5" ht="15.75" customHeight="1" x14ac:dyDescent="0.3">
      <c r="B195" s="2"/>
      <c r="E195" s="2"/>
    </row>
    <row r="196" spans="2:5" ht="15.75" customHeight="1" x14ac:dyDescent="0.3">
      <c r="B196" s="2"/>
      <c r="E196" s="2"/>
    </row>
    <row r="197" spans="2:5" ht="15.75" customHeight="1" x14ac:dyDescent="0.3">
      <c r="B197" s="2"/>
      <c r="E197" s="2"/>
    </row>
    <row r="198" spans="2:5" ht="15.75" customHeight="1" x14ac:dyDescent="0.3">
      <c r="B198" s="2"/>
      <c r="E198" s="2"/>
    </row>
    <row r="199" spans="2:5" ht="15.75" customHeight="1" x14ac:dyDescent="0.3">
      <c r="B199" s="2"/>
      <c r="E199" s="2"/>
    </row>
    <row r="200" spans="2:5" ht="15.75" customHeight="1" x14ac:dyDescent="0.3">
      <c r="B200" s="2"/>
      <c r="E200" s="2"/>
    </row>
    <row r="201" spans="2:5" ht="15.75" customHeight="1" x14ac:dyDescent="0.3">
      <c r="B201" s="2"/>
      <c r="E201" s="2"/>
    </row>
    <row r="202" spans="2:5" ht="15.75" customHeight="1" x14ac:dyDescent="0.3">
      <c r="B202" s="2"/>
      <c r="E202" s="2"/>
    </row>
    <row r="203" spans="2:5" ht="15.75" customHeight="1" x14ac:dyDescent="0.3">
      <c r="B203" s="2"/>
      <c r="E203" s="2"/>
    </row>
    <row r="204" spans="2:5" ht="15.75" customHeight="1" x14ac:dyDescent="0.3">
      <c r="B204" s="2"/>
      <c r="E204" s="2"/>
    </row>
    <row r="205" spans="2:5" ht="15.75" customHeight="1" x14ac:dyDescent="0.3">
      <c r="B205" s="2"/>
      <c r="E205" s="2"/>
    </row>
    <row r="206" spans="2:5" ht="15.75" customHeight="1" x14ac:dyDescent="0.3">
      <c r="B206" s="2"/>
      <c r="E206" s="2"/>
    </row>
    <row r="207" spans="2:5" ht="15.75" customHeight="1" x14ac:dyDescent="0.3">
      <c r="B207" s="2"/>
      <c r="E207" s="2"/>
    </row>
    <row r="208" spans="2:5" ht="15.75" customHeight="1" x14ac:dyDescent="0.3">
      <c r="B208" s="2"/>
      <c r="E208" s="2"/>
    </row>
    <row r="209" spans="2:5" ht="15.75" customHeight="1" x14ac:dyDescent="0.3">
      <c r="B209" s="2"/>
      <c r="E209" s="2"/>
    </row>
    <row r="210" spans="2:5" ht="15.75" customHeight="1" x14ac:dyDescent="0.3">
      <c r="B210" s="2"/>
      <c r="E210" s="2"/>
    </row>
    <row r="211" spans="2:5" ht="15.75" customHeight="1" x14ac:dyDescent="0.3">
      <c r="B211" s="2"/>
      <c r="E211" s="2"/>
    </row>
    <row r="212" spans="2:5" ht="15.75" customHeight="1" x14ac:dyDescent="0.3">
      <c r="B212" s="2"/>
      <c r="E212" s="2"/>
    </row>
    <row r="213" spans="2:5" ht="15.75" customHeight="1" x14ac:dyDescent="0.3">
      <c r="B213" s="2"/>
      <c r="E213" s="2"/>
    </row>
    <row r="214" spans="2:5" ht="15.75" customHeight="1" x14ac:dyDescent="0.3">
      <c r="B214" s="2"/>
      <c r="E214" s="2"/>
    </row>
    <row r="215" spans="2:5" ht="15.75" customHeight="1" x14ac:dyDescent="0.3">
      <c r="B215" s="2"/>
      <c r="E215" s="2"/>
    </row>
    <row r="216" spans="2:5" ht="15.75" customHeight="1" x14ac:dyDescent="0.3">
      <c r="B216" s="2"/>
      <c r="E216" s="2"/>
    </row>
    <row r="217" spans="2:5" ht="15.75" customHeight="1" x14ac:dyDescent="0.3">
      <c r="B217" s="2"/>
      <c r="E217" s="2"/>
    </row>
    <row r="218" spans="2:5" ht="15.75" customHeight="1" x14ac:dyDescent="0.3">
      <c r="B218" s="2"/>
      <c r="E218" s="2"/>
    </row>
    <row r="219" spans="2:5" ht="15.75" customHeight="1" x14ac:dyDescent="0.3">
      <c r="B219" s="2"/>
      <c r="E219" s="2"/>
    </row>
    <row r="220" spans="2:5" ht="15.75" customHeight="1" x14ac:dyDescent="0.3">
      <c r="B220" s="2"/>
      <c r="E220" s="2"/>
    </row>
    <row r="221" spans="2:5" ht="15.75" customHeight="1" x14ac:dyDescent="0.3">
      <c r="B221" s="2"/>
      <c r="E221" s="2"/>
    </row>
    <row r="222" spans="2:5" ht="15.75" customHeight="1" x14ac:dyDescent="0.3">
      <c r="B222" s="2"/>
      <c r="E222" s="2"/>
    </row>
    <row r="223" spans="2:5" ht="15.75" customHeight="1" x14ac:dyDescent="0.3">
      <c r="B223" s="2"/>
      <c r="E223" s="2"/>
    </row>
    <row r="224" spans="2:5" ht="15.75" customHeight="1" x14ac:dyDescent="0.3">
      <c r="B224" s="2"/>
      <c r="E224" s="2"/>
    </row>
    <row r="225" spans="2:5" ht="15.75" customHeight="1" x14ac:dyDescent="0.3">
      <c r="B225" s="2"/>
      <c r="E225" s="2"/>
    </row>
    <row r="226" spans="2:5" ht="15.75" customHeight="1" x14ac:dyDescent="0.3">
      <c r="B226" s="2"/>
      <c r="E226" s="2"/>
    </row>
    <row r="227" spans="2:5" ht="15.75" customHeight="1" x14ac:dyDescent="0.3">
      <c r="B227" s="2"/>
      <c r="E227" s="2"/>
    </row>
    <row r="228" spans="2:5" ht="15.75" customHeight="1" x14ac:dyDescent="0.3">
      <c r="B228" s="2"/>
      <c r="E228" s="2"/>
    </row>
    <row r="229" spans="2:5" ht="15.75" customHeight="1" x14ac:dyDescent="0.3">
      <c r="B229" s="2"/>
      <c r="E229" s="2"/>
    </row>
    <row r="230" spans="2:5" ht="15.75" customHeight="1" x14ac:dyDescent="0.3">
      <c r="B230" s="2"/>
      <c r="E230" s="2"/>
    </row>
    <row r="231" spans="2:5" ht="15.75" customHeight="1" x14ac:dyDescent="0.3">
      <c r="B231" s="2"/>
      <c r="E231" s="2"/>
    </row>
    <row r="232" spans="2:5" ht="15.75" customHeight="1" x14ac:dyDescent="0.3">
      <c r="B232" s="2"/>
      <c r="E232" s="2"/>
    </row>
    <row r="233" spans="2:5" ht="15.75" customHeight="1" x14ac:dyDescent="0.3">
      <c r="B233" s="2"/>
      <c r="E233" s="2"/>
    </row>
    <row r="234" spans="2:5" ht="15.75" customHeight="1" x14ac:dyDescent="0.3">
      <c r="B234" s="2"/>
      <c r="E234" s="2"/>
    </row>
    <row r="235" spans="2:5" ht="15.75" customHeight="1" x14ac:dyDescent="0.3">
      <c r="B235" s="2"/>
      <c r="E235" s="2"/>
    </row>
    <row r="236" spans="2:5" ht="15.75" customHeight="1" x14ac:dyDescent="0.3">
      <c r="B236" s="2"/>
      <c r="E236" s="2"/>
    </row>
    <row r="237" spans="2:5" ht="15.75" customHeight="1" x14ac:dyDescent="0.3">
      <c r="B237" s="2"/>
      <c r="E237" s="2"/>
    </row>
    <row r="238" spans="2:5" ht="15.75" customHeight="1" x14ac:dyDescent="0.3">
      <c r="B238" s="2"/>
      <c r="E238" s="2"/>
    </row>
    <row r="239" spans="2:5" ht="15.75" customHeight="1" x14ac:dyDescent="0.3">
      <c r="B239" s="2"/>
      <c r="E239" s="2"/>
    </row>
    <row r="240" spans="2:5" ht="15.75" customHeight="1" x14ac:dyDescent="0.3">
      <c r="B240" s="2"/>
      <c r="E240" s="2"/>
    </row>
    <row r="241" spans="2:5" ht="15.75" customHeight="1" x14ac:dyDescent="0.3">
      <c r="B241" s="2"/>
      <c r="E241" s="2"/>
    </row>
    <row r="242" spans="2:5" ht="15.75" customHeight="1" x14ac:dyDescent="0.3">
      <c r="B242" s="2"/>
      <c r="E242" s="2"/>
    </row>
    <row r="243" spans="2:5" ht="15.75" customHeight="1" x14ac:dyDescent="0.3">
      <c r="B243" s="2"/>
      <c r="E243" s="2"/>
    </row>
    <row r="244" spans="2:5" ht="15.75" customHeight="1" x14ac:dyDescent="0.3">
      <c r="B244" s="2"/>
      <c r="E244" s="2"/>
    </row>
    <row r="245" spans="2:5" ht="15.75" customHeight="1" x14ac:dyDescent="0.3">
      <c r="B245" s="2"/>
      <c r="E245" s="2"/>
    </row>
    <row r="246" spans="2:5" ht="15.75" customHeight="1" x14ac:dyDescent="0.3">
      <c r="B246" s="2"/>
      <c r="E246" s="2"/>
    </row>
    <row r="247" spans="2:5" ht="15.75" customHeight="1" x14ac:dyDescent="0.3">
      <c r="B247" s="2"/>
      <c r="E247" s="2"/>
    </row>
    <row r="248" spans="2:5" ht="15.75" customHeight="1" x14ac:dyDescent="0.3">
      <c r="B248" s="2"/>
      <c r="E248" s="2"/>
    </row>
    <row r="249" spans="2:5" ht="15.75" customHeight="1" x14ac:dyDescent="0.3">
      <c r="B249" s="2"/>
      <c r="E249" s="2"/>
    </row>
    <row r="250" spans="2:5" ht="15.75" customHeight="1" x14ac:dyDescent="0.3">
      <c r="B250" s="2"/>
      <c r="E250" s="2"/>
    </row>
    <row r="251" spans="2:5" ht="15.75" customHeight="1" x14ac:dyDescent="0.3">
      <c r="B251" s="2"/>
      <c r="E251" s="2"/>
    </row>
    <row r="252" spans="2:5" ht="15.75" customHeight="1" x14ac:dyDescent="0.3">
      <c r="B252" s="2"/>
      <c r="E252" s="2"/>
    </row>
    <row r="253" spans="2:5" ht="15.75" customHeight="1" x14ac:dyDescent="0.3">
      <c r="B253" s="2"/>
      <c r="E253" s="2"/>
    </row>
    <row r="254" spans="2:5" ht="15.75" customHeight="1" x14ac:dyDescent="0.3">
      <c r="B254" s="2"/>
      <c r="E254" s="2"/>
    </row>
    <row r="255" spans="2:5" ht="15.75" customHeight="1" x14ac:dyDescent="0.3">
      <c r="B255" s="2"/>
      <c r="E255" s="2"/>
    </row>
    <row r="256" spans="2:5" ht="15.75" customHeight="1" x14ac:dyDescent="0.3">
      <c r="B256" s="2"/>
      <c r="E256" s="2"/>
    </row>
    <row r="257" spans="2:5" ht="15.75" customHeight="1" x14ac:dyDescent="0.3">
      <c r="B257" s="2"/>
      <c r="E257" s="2"/>
    </row>
    <row r="258" spans="2:5" ht="15.75" customHeight="1" x14ac:dyDescent="0.3">
      <c r="B258" s="2"/>
      <c r="E258" s="2"/>
    </row>
    <row r="259" spans="2:5" ht="15.75" customHeight="1" x14ac:dyDescent="0.3">
      <c r="B259" s="2"/>
      <c r="E259" s="2"/>
    </row>
    <row r="260" spans="2:5" ht="15.75" customHeight="1" x14ac:dyDescent="0.3">
      <c r="B260" s="2"/>
      <c r="E260" s="2"/>
    </row>
    <row r="261" spans="2:5" ht="15.75" customHeight="1" x14ac:dyDescent="0.3">
      <c r="B261" s="2"/>
      <c r="E261" s="2"/>
    </row>
    <row r="262" spans="2:5" ht="15.75" customHeight="1" x14ac:dyDescent="0.3">
      <c r="B262" s="2"/>
      <c r="E262" s="2"/>
    </row>
    <row r="263" spans="2:5" ht="15.75" customHeight="1" x14ac:dyDescent="0.3"/>
    <row r="264" spans="2:5" ht="15.75" customHeight="1" x14ac:dyDescent="0.3"/>
    <row r="265" spans="2:5" ht="15.75" customHeight="1" x14ac:dyDescent="0.3"/>
    <row r="266" spans="2:5" ht="15.75" customHeight="1" x14ac:dyDescent="0.3"/>
    <row r="267" spans="2:5" ht="15.75" customHeight="1" x14ac:dyDescent="0.3"/>
    <row r="268" spans="2:5" ht="15.75" customHeight="1" x14ac:dyDescent="0.3"/>
    <row r="269" spans="2:5" ht="15.75" customHeight="1" x14ac:dyDescent="0.3"/>
    <row r="270" spans="2:5" ht="15.75" customHeight="1" x14ac:dyDescent="0.3"/>
    <row r="271" spans="2:5" ht="15.75" customHeight="1" x14ac:dyDescent="0.3"/>
    <row r="272" spans="2:5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C44:D44"/>
    <mergeCell ref="G44:AB44"/>
    <mergeCell ref="C1:D1"/>
    <mergeCell ref="G1:AB1"/>
    <mergeCell ref="A2:A5"/>
    <mergeCell ref="C6:D6"/>
    <mergeCell ref="G6:AB6"/>
    <mergeCell ref="C25:D25"/>
    <mergeCell ref="G25:AB25"/>
  </mergeCells>
  <conditionalFormatting sqref="D8:D24">
    <cfRule type="cellIs" dxfId="70" priority="22" operator="greaterThanOrEqual">
      <formula>$D$4</formula>
    </cfRule>
    <cfRule type="cellIs" dxfId="69" priority="24" operator="between">
      <formula>$D$3</formula>
      <formula>$D$4</formula>
    </cfRule>
    <cfRule type="cellIs" dxfId="68" priority="23" operator="lessThanOrEqual">
      <formula>$D$2</formula>
    </cfRule>
  </conditionalFormatting>
  <conditionalFormatting sqref="D27:D43 G27:AB43">
    <cfRule type="cellIs" dxfId="67" priority="21" operator="greaterThanOrEqual">
      <formula>365</formula>
    </cfRule>
  </conditionalFormatting>
  <conditionalFormatting sqref="D46:D62 G46:AB62">
    <cfRule type="cellIs" dxfId="66" priority="20" operator="lessThanOrEqual">
      <formula>1</formula>
    </cfRule>
  </conditionalFormatting>
  <conditionalFormatting sqref="G8:G24">
    <cfRule type="cellIs" dxfId="65" priority="1" operator="greaterThanOrEqual">
      <formula>$G$4</formula>
    </cfRule>
    <cfRule type="cellIs" dxfId="64" priority="19" operator="lessThanOrEqual">
      <formula>$G$2</formula>
    </cfRule>
    <cfRule type="cellIs" dxfId="63" priority="10" operator="between">
      <formula>$G$3</formula>
      <formula>$G$4</formula>
    </cfRule>
  </conditionalFormatting>
  <conditionalFormatting sqref="H8:H24">
    <cfRule type="cellIs" dxfId="62" priority="2" operator="greaterThanOrEqual">
      <formula>$H$4</formula>
    </cfRule>
    <cfRule type="cellIs" dxfId="61" priority="11" operator="between">
      <formula>$H$3</formula>
      <formula>$H$4</formula>
    </cfRule>
    <cfRule type="cellIs" dxfId="60" priority="26" operator="lessThanOrEqual">
      <formula>$H$2</formula>
    </cfRule>
  </conditionalFormatting>
  <conditionalFormatting sqref="I8:I24">
    <cfRule type="cellIs" dxfId="59" priority="3" operator="greaterThanOrEqual">
      <formula>$I$4</formula>
    </cfRule>
    <cfRule type="cellIs" dxfId="58" priority="12" operator="between">
      <formula>I$3</formula>
      <formula>I$4</formula>
    </cfRule>
    <cfRule type="cellIs" dxfId="57" priority="27" operator="lessThanOrEqual">
      <formula>$I$2</formula>
    </cfRule>
  </conditionalFormatting>
  <conditionalFormatting sqref="J8:J24">
    <cfRule type="cellIs" dxfId="56" priority="4" operator="greaterThanOrEqual">
      <formula>$J$4</formula>
    </cfRule>
    <cfRule type="cellIs" dxfId="55" priority="13" operator="between">
      <formula>$J$3</formula>
      <formula>$J$4</formula>
    </cfRule>
    <cfRule type="cellIs" dxfId="54" priority="28" operator="lessThanOrEqual">
      <formula>$J$2</formula>
    </cfRule>
  </conditionalFormatting>
  <conditionalFormatting sqref="K8:K24">
    <cfRule type="cellIs" dxfId="53" priority="5" operator="greaterThanOrEqual">
      <formula>$K$4</formula>
    </cfRule>
    <cfRule type="cellIs" dxfId="52" priority="14" operator="between">
      <formula>$K$3</formula>
      <formula>$K$4</formula>
    </cfRule>
    <cfRule type="cellIs" dxfId="51" priority="29" operator="lessThanOrEqual">
      <formula>$K$2</formula>
    </cfRule>
  </conditionalFormatting>
  <conditionalFormatting sqref="L8:L24">
    <cfRule type="cellIs" dxfId="50" priority="6" operator="greaterThanOrEqual">
      <formula>$L$4</formula>
    </cfRule>
    <cfRule type="cellIs" dxfId="49" priority="15" operator="between">
      <formula>$L$3</formula>
      <formula>$L$4</formula>
    </cfRule>
    <cfRule type="cellIs" dxfId="48" priority="30" operator="lessThanOrEqual">
      <formula>$L$2</formula>
    </cfRule>
  </conditionalFormatting>
  <conditionalFormatting sqref="M8:M24">
    <cfRule type="cellIs" dxfId="47" priority="7" operator="greaterThanOrEqual">
      <formula>$M$4</formula>
    </cfRule>
    <cfRule type="cellIs" dxfId="46" priority="16" operator="between">
      <formula>$M$3</formula>
      <formula>$M$4</formula>
    </cfRule>
    <cfRule type="cellIs" dxfId="45" priority="31" operator="lessThanOrEqual">
      <formula>$M$2</formula>
    </cfRule>
  </conditionalFormatting>
  <conditionalFormatting sqref="N8:N24">
    <cfRule type="cellIs" dxfId="44" priority="8" operator="greaterThanOrEqual">
      <formula>$N$4</formula>
    </cfRule>
    <cfRule type="cellIs" dxfId="43" priority="17" operator="between">
      <formula>$N$3</formula>
      <formula>$N$4</formula>
    </cfRule>
    <cfRule type="cellIs" dxfId="42" priority="32" operator="lessThanOrEqual">
      <formula>$N$2</formula>
    </cfRule>
  </conditionalFormatting>
  <conditionalFormatting sqref="O8:O24">
    <cfRule type="cellIs" dxfId="41" priority="18" operator="between">
      <formula>$O$3</formula>
      <formula>$O$4</formula>
    </cfRule>
    <cfRule type="cellIs" dxfId="40" priority="9" operator="greaterThanOrEqual">
      <formula>$O$4</formula>
    </cfRule>
    <cfRule type="cellIs" dxfId="39" priority="33" operator="lessThanOrEqual">
      <formula>$O$2</formula>
    </cfRule>
  </conditionalFormatting>
  <conditionalFormatting sqref="P7:P24">
    <cfRule type="cellIs" dxfId="38" priority="46" operator="between">
      <formula>$P$3</formula>
      <formula>$P$4</formula>
    </cfRule>
  </conditionalFormatting>
  <conditionalFormatting sqref="P8:P24">
    <cfRule type="cellIs" dxfId="37" priority="25" operator="lessThanOrEqual">
      <formula>$P$2</formula>
    </cfRule>
    <cfRule type="cellIs" dxfId="36" priority="59" operator="greaterThanOrEqual">
      <formula>$P$4</formula>
    </cfRule>
  </conditionalFormatting>
  <conditionalFormatting sqref="Q8:Q24">
    <cfRule type="cellIs" dxfId="35" priority="34" operator="lessThanOrEqual">
      <formula>$Q$2</formula>
    </cfRule>
    <cfRule type="cellIs" dxfId="34" priority="47" operator="between">
      <formula>$Q$3</formula>
      <formula>$Q$4</formula>
    </cfRule>
    <cfRule type="cellIs" dxfId="33" priority="60" operator="greaterThanOrEqual">
      <formula>$Q$4</formula>
    </cfRule>
  </conditionalFormatting>
  <conditionalFormatting sqref="R8:R24">
    <cfRule type="cellIs" dxfId="32" priority="48" operator="between">
      <formula>$R$3</formula>
      <formula>$R$4</formula>
    </cfRule>
    <cfRule type="cellIs" dxfId="31" priority="35" operator="lessThanOrEqual">
      <formula>$R$2</formula>
    </cfRule>
    <cfRule type="cellIs" dxfId="30" priority="61" operator="greaterThanOrEqual">
      <formula>$R$4</formula>
    </cfRule>
  </conditionalFormatting>
  <conditionalFormatting sqref="S8:S24">
    <cfRule type="cellIs" dxfId="29" priority="49" operator="between">
      <formula>$S$3</formula>
      <formula>$S$4</formula>
    </cfRule>
    <cfRule type="cellIs" dxfId="28" priority="36" operator="lessThanOrEqual">
      <formula>$S$2</formula>
    </cfRule>
    <cfRule type="cellIs" dxfId="27" priority="62" operator="greaterThanOrEqual">
      <formula>$S$4</formula>
    </cfRule>
  </conditionalFormatting>
  <conditionalFormatting sqref="T8:T24">
    <cfRule type="cellIs" dxfId="26" priority="37" operator="lessThanOrEqual">
      <formula>$T$2</formula>
    </cfRule>
    <cfRule type="cellIs" dxfId="25" priority="50" operator="between">
      <formula>$T$3</formula>
      <formula>$T$4</formula>
    </cfRule>
    <cfRule type="cellIs" dxfId="24" priority="63" operator="greaterThanOrEqual">
      <formula>$T$4</formula>
    </cfRule>
  </conditionalFormatting>
  <conditionalFormatting sqref="U8:U24">
    <cfRule type="cellIs" dxfId="23" priority="38" operator="lessThanOrEqual">
      <formula>$U$2</formula>
    </cfRule>
    <cfRule type="cellIs" dxfId="22" priority="51" operator="between">
      <formula>$U$3</formula>
      <formula>$U$4</formula>
    </cfRule>
    <cfRule type="cellIs" dxfId="21" priority="64" operator="greaterThanOrEqual">
      <formula>$U$4</formula>
    </cfRule>
  </conditionalFormatting>
  <conditionalFormatting sqref="V8:V24">
    <cfRule type="cellIs" dxfId="20" priority="39" operator="lessThanOrEqual">
      <formula>$V$2</formula>
    </cfRule>
    <cfRule type="cellIs" dxfId="19" priority="52" operator="between">
      <formula>$V$3</formula>
      <formula>$V$4</formula>
    </cfRule>
    <cfRule type="cellIs" dxfId="18" priority="65" operator="greaterThanOrEqual">
      <formula>$V$4</formula>
    </cfRule>
  </conditionalFormatting>
  <conditionalFormatting sqref="W8:W24">
    <cfRule type="cellIs" dxfId="17" priority="40" operator="lessThanOrEqual">
      <formula>$W$2</formula>
    </cfRule>
    <cfRule type="cellIs" dxfId="16" priority="53" operator="between">
      <formula>$W$3</formula>
      <formula>$W$4</formula>
    </cfRule>
    <cfRule type="cellIs" dxfId="15" priority="66" operator="greaterThanOrEqual">
      <formula>$W$4</formula>
    </cfRule>
  </conditionalFormatting>
  <conditionalFormatting sqref="X8:X24">
    <cfRule type="cellIs" dxfId="14" priority="54" operator="between">
      <formula>$X$3</formula>
      <formula>$X$4</formula>
    </cfRule>
    <cfRule type="cellIs" dxfId="13" priority="41" operator="lessThanOrEqual">
      <formula>$X$2</formula>
    </cfRule>
    <cfRule type="cellIs" dxfId="12" priority="67" operator="greaterThanOrEqual">
      <formula>$X$4</formula>
    </cfRule>
  </conditionalFormatting>
  <conditionalFormatting sqref="Y8:Y24">
    <cfRule type="cellIs" dxfId="11" priority="42" operator="lessThanOrEqual">
      <formula>$Y$2</formula>
    </cfRule>
    <cfRule type="cellIs" dxfId="10" priority="55" operator="between">
      <formula>$Y$3</formula>
      <formula>$Y$4</formula>
    </cfRule>
    <cfRule type="cellIs" dxfId="9" priority="68" operator="greaterThanOrEqual">
      <formula>$Y$4</formula>
    </cfRule>
  </conditionalFormatting>
  <conditionalFormatting sqref="Z8:Z24">
    <cfRule type="cellIs" dxfId="8" priority="56" operator="between">
      <formula>$Z$3</formula>
      <formula>$Z$4</formula>
    </cfRule>
    <cfRule type="cellIs" dxfId="7" priority="43" operator="lessThanOrEqual">
      <formula>$Z$2</formula>
    </cfRule>
    <cfRule type="cellIs" dxfId="6" priority="69" operator="greaterThanOrEqual">
      <formula>$Z$4</formula>
    </cfRule>
  </conditionalFormatting>
  <conditionalFormatting sqref="AA8:AA24">
    <cfRule type="cellIs" dxfId="5" priority="57" operator="between">
      <formula>$AA$3</formula>
      <formula>$AA$4</formula>
    </cfRule>
    <cfRule type="cellIs" dxfId="4" priority="44" operator="lessThanOrEqual">
      <formula>$AA$2</formula>
    </cfRule>
    <cfRule type="cellIs" dxfId="3" priority="70" operator="greaterThanOrEqual">
      <formula>$AA$4</formula>
    </cfRule>
  </conditionalFormatting>
  <conditionalFormatting sqref="AB8:AB24">
    <cfRule type="cellIs" dxfId="2" priority="45" operator="lessThanOrEqual">
      <formula>$AB$2</formula>
    </cfRule>
    <cfRule type="cellIs" dxfId="1" priority="58" operator="between">
      <formula>$AB$3</formula>
      <formula>$AB$4</formula>
    </cfRule>
    <cfRule type="cellIs" dxfId="0" priority="71" operator="greaterThanOrEqual">
      <formula>$AB$4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RAW</vt:lpstr>
      <vt:lpstr>Adventurers</vt:lpstr>
      <vt:lpstr>Blood</vt:lpstr>
      <vt:lpstr>Flatland</vt:lpstr>
      <vt:lpstr>Forway</vt:lpstr>
      <vt:lpstr>Forway Villages</vt:lpstr>
      <vt:lpstr>Freeish</vt:lpstr>
      <vt:lpstr>Gandew</vt:lpstr>
      <vt:lpstr>Sanbi</vt:lpstr>
      <vt:lpstr>Sanbi Villages</vt:lpstr>
      <vt:lpstr>Sundeath</vt:lpstr>
      <vt:lpstr>Tolerideme</vt:lpstr>
      <vt:lpstr>Tolerideme Villages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Deovandski Skibinski junior</cp:lastModifiedBy>
  <dcterms:modified xsi:type="dcterms:W3CDTF">2026-06-16T15:34:54Z</dcterms:modified>
</cp:coreProperties>
</file>