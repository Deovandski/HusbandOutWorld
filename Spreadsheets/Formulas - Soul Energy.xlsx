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l Energy Tiers" sheetId="1" r:id="rId5"/>
    <sheet state="visible" name="Race Soul Avg + Char Calculator" sheetId="2" r:id="rId6"/>
    <sheet state="visible" name="Fauna (Herbivores) Soul Avg + C" sheetId="3" r:id="rId7"/>
    <sheet state="visible" name="Fauna (Carnivores) Soul Avg + C" sheetId="4" r:id="rId8"/>
    <sheet state="visible" name="Fauna (Omnivores) Soul Avg + Ch" sheetId="5" r:id="rId9"/>
    <sheet state="visible" name="Beasts (Aggresive) Soul Avg + C" sheetId="6" r:id="rId10"/>
    <sheet state="visible" name="Beasts (Defensive) Soul Avg + C" sheetId="7" r:id="rId11"/>
    <sheet state="visible" name="Beasts (Amicable) Soul Avg + Ch" sheetId="8" r:id="rId12"/>
    <sheet state="visible" name="Soul Energy Visualization" sheetId="9" r:id="rId13"/>
  </sheets>
  <definedNames/>
  <calcPr/>
</workbook>
</file>

<file path=xl/sharedStrings.xml><?xml version="1.0" encoding="utf-8"?>
<sst xmlns="http://schemas.openxmlformats.org/spreadsheetml/2006/main" count="1003" uniqueCount="106">
  <si>
    <t>Casts to upgrade tier</t>
  </si>
  <si>
    <t>On a Given Soul Units/Day recharge Rate, how long will it take to reach X Tier?</t>
  </si>
  <si>
    <t>*Years</t>
  </si>
  <si>
    <t>Soul Energy Tier</t>
  </si>
  <si>
    <t>General Power Effects</t>
  </si>
  <si>
    <t>Power Time (Hours)</t>
  </si>
  <si>
    <t>RAW Amethyst Cost</t>
  </si>
  <si>
    <t>RAW Aquamarine Cost</t>
  </si>
  <si>
    <t>RAW Shappire Cost</t>
  </si>
  <si>
    <t>Calculated Ball Cost</t>
  </si>
  <si>
    <t>Soul Cost (Units)</t>
  </si>
  <si>
    <t>RAW Tier Soul Cost</t>
  </si>
  <si>
    <t>Accumulative Total Cost</t>
  </si>
  <si>
    <t>Tier I</t>
  </si>
  <si>
    <t>0 S | 0 A | 1 A</t>
  </si>
  <si>
    <t>Tier II</t>
  </si>
  <si>
    <t>0 S | 0 A | 2 A</t>
  </si>
  <si>
    <t>Tier III</t>
  </si>
  <si>
    <t>0 S | 0 A | 4 A</t>
  </si>
  <si>
    <t>Tier IV</t>
  </si>
  <si>
    <t>0 S | 0 A | 8 A</t>
  </si>
  <si>
    <t>Tier V</t>
  </si>
  <si>
    <t>0 S | 1 A | 6 A</t>
  </si>
  <si>
    <t>Tier VI</t>
  </si>
  <si>
    <t>0 S | 3 A | 2 A</t>
  </si>
  <si>
    <t>Tier VII</t>
  </si>
  <si>
    <t>0 S | 6 A | 4 A</t>
  </si>
  <si>
    <t>Tier VIII</t>
  </si>
  <si>
    <t>1 S | 2 A | 8 A</t>
  </si>
  <si>
    <t>Tier IX</t>
  </si>
  <si>
    <t>2 S | 5 A | 6 A</t>
  </si>
  <si>
    <t>Tier X</t>
  </si>
  <si>
    <t>5 S | 1 A | 2 A</t>
  </si>
  <si>
    <t>Tier XI</t>
  </si>
  <si>
    <t>10 S | 2 A | 4 A</t>
  </si>
  <si>
    <t>Tier XII</t>
  </si>
  <si>
    <t>20 S | 4 A | 8 A</t>
  </si>
  <si>
    <t>Tier XIII</t>
  </si>
  <si>
    <t>40 S | 9 A | 6 A</t>
  </si>
  <si>
    <t>Tier XIV</t>
  </si>
  <si>
    <t>81 S | 9 A | 2 A</t>
  </si>
  <si>
    <t>Tier XV</t>
  </si>
  <si>
    <t>163 S | 8 A | 4 A</t>
  </si>
  <si>
    <t>Tier XVI</t>
  </si>
  <si>
    <t>327 S | 6 A | 8 A</t>
  </si>
  <si>
    <t>Tier XVII</t>
  </si>
  <si>
    <t>655 S | 3 A | 6 A</t>
  </si>
  <si>
    <t>CHAR CALC</t>
  </si>
  <si>
    <t>FAUNA (HERBIVORES) AVERAGE</t>
  </si>
  <si>
    <t>Below Child years is equals to shares of parents soul being infused</t>
  </si>
  <si>
    <t>Child</t>
  </si>
  <si>
    <t>Adulthood</t>
  </si>
  <si>
    <t>Lifespan</t>
  </si>
  <si>
    <t>Soul Recharge/Day</t>
  </si>
  <si>
    <t>Average Total Years to Reach Tier</t>
  </si>
  <si>
    <t>Char</t>
  </si>
  <si>
    <t>Finaies
(Low)</t>
  </si>
  <si>
    <t>Finaies
(High)</t>
  </si>
  <si>
    <t>Lishies
(Low)</t>
  </si>
  <si>
    <t>Lishies
(High)</t>
  </si>
  <si>
    <t>Buhraies
(Low)</t>
  </si>
  <si>
    <t>Buhraies
(High)</t>
  </si>
  <si>
    <t>Fuhraies
(Low)</t>
  </si>
  <si>
    <t>Fuhraies
(High)</t>
  </si>
  <si>
    <t>Darfaries
(Low)</t>
  </si>
  <si>
    <t>Darfaries
(High)</t>
  </si>
  <si>
    <t>Wozefaries
(Low)</t>
  </si>
  <si>
    <t>Wozefaries
(High)</t>
  </si>
  <si>
    <t>Sorefaries
(Low)</t>
  </si>
  <si>
    <t>Sorefaries
(High)</t>
  </si>
  <si>
    <t>Humans
(Low)</t>
  </si>
  <si>
    <t>Humans
(High)</t>
  </si>
  <si>
    <t>Cruros
(Low)</t>
  </si>
  <si>
    <t>Cruros
(High)</t>
  </si>
  <si>
    <t>How Many days does it take to recharge a spell</t>
  </si>
  <si>
    <t>Spell Soul Cost</t>
  </si>
  <si>
    <t>How Many YEARS does it take to recharge a spell</t>
  </si>
  <si>
    <t>Cinika</t>
  </si>
  <si>
    <t>Egua</t>
  </si>
  <si>
    <t>Legunia</t>
  </si>
  <si>
    <t>Koalin</t>
  </si>
  <si>
    <t>Monica</t>
  </si>
  <si>
    <t>Winga</t>
  </si>
  <si>
    <t>Wooly</t>
  </si>
  <si>
    <t>Barina</t>
  </si>
  <si>
    <t>Crocus</t>
  </si>
  <si>
    <t>Fatupari</t>
  </si>
  <si>
    <t>Fihi</t>
  </si>
  <si>
    <t>Sanbi</t>
  </si>
  <si>
    <t>Sayna</t>
  </si>
  <si>
    <t>Wozen</t>
  </si>
  <si>
    <t>Bagarisa</t>
  </si>
  <si>
    <t>Fanchaki</t>
  </si>
  <si>
    <t>Soreno</t>
  </si>
  <si>
    <t>Sand Worms</t>
  </si>
  <si>
    <t>Walking Flathead</t>
  </si>
  <si>
    <t>Wood People</t>
  </si>
  <si>
    <t>Sweet Sting</t>
  </si>
  <si>
    <t>Big Wingas</t>
  </si>
  <si>
    <t>Trunk People</t>
  </si>
  <si>
    <t>Shapeshifter</t>
  </si>
  <si>
    <t>Flinga</t>
  </si>
  <si>
    <t>Nari Worms</t>
  </si>
  <si>
    <t>Bruntos</t>
  </si>
  <si>
    <t>White Roundies</t>
  </si>
  <si>
    <t>Soul Capacity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</si>
</sst>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0.0"/>
      <color rgb="FF000000"/>
      <name val="Arial"/>
      <scheme val="minor"/>
    </font>
    <font>
      <b/>
      <sz val="9.0"/>
      <color theme="1"/>
      <name val="Arial"/>
    </font>
    <font>
      <b/>
      <sz val="10.0"/>
      <color theme="1"/>
      <name val="Arial"/>
    </font>
    <font>
      <b/>
      <sz val="8.0"/>
      <color theme="1"/>
      <name val="Arial"/>
    </font>
    <font>
      <b/>
      <sz val="9.0"/>
      <color rgb="FF000000"/>
      <name val="Arial"/>
    </font>
    <font>
      <color theme="1"/>
      <name val="Arial"/>
    </font>
    <font>
      <sz val="10.0"/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8.0"/>
      <color rgb="FFFF9900"/>
      <name val="Arial"/>
    </font>
    <font>
      <b/>
      <color rgb="FFFFFF00"/>
      <name val="Arial"/>
    </font>
    <font>
      <sz val="8.0"/>
      <color rgb="FFFFFFFF"/>
      <name val="Arial"/>
    </font>
    <font>
      <sz val="8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0C343D"/>
        <bgColor rgb="FF0C343D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2" fontId="5" numFmtId="0" xfId="0" applyFill="1" applyFont="1"/>
    <xf borderId="0" fillId="0" fontId="6" numFmtId="0" xfId="0" applyAlignment="1" applyFont="1">
      <alignment shrinkToFit="0" wrapText="1"/>
    </xf>
    <xf borderId="0" fillId="3" fontId="5" numFmtId="0" xfId="0" applyFill="1" applyFont="1"/>
    <xf borderId="0" fillId="0" fontId="7" numFmtId="0" xfId="0" applyFont="1"/>
    <xf borderId="1" fillId="4" fontId="8" numFmtId="164" xfId="0" applyBorder="1" applyFill="1" applyFont="1" applyNumberFormat="1"/>
    <xf borderId="2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0" fontId="4" numFmtId="0" xfId="0" applyAlignment="1" applyBorder="1" applyFont="1">
      <alignment horizontal="center" shrinkToFit="0" wrapText="1"/>
    </xf>
    <xf borderId="2" fillId="5" fontId="5" numFmtId="0" xfId="0" applyBorder="1" applyFill="1" applyFont="1"/>
    <xf borderId="3" fillId="0" fontId="9" numFmtId="0" xfId="0" applyAlignment="1" applyBorder="1" applyFont="1">
      <alignment horizontal="center" shrinkToFit="0" wrapText="1"/>
    </xf>
    <xf borderId="3" fillId="0" fontId="6" numFmtId="9" xfId="0" applyBorder="1" applyFont="1" applyNumberFormat="1"/>
    <xf borderId="3" fillId="0" fontId="6" numFmtId="0" xfId="0" applyBorder="1" applyFont="1"/>
    <xf borderId="3" fillId="3" fontId="6" numFmtId="0" xfId="0" applyBorder="1" applyFont="1"/>
    <xf borderId="3" fillId="0" fontId="10" numFmtId="0" xfId="0" applyAlignment="1" applyBorder="1" applyFont="1">
      <alignment horizontal="center" shrinkToFit="0" wrapText="1"/>
    </xf>
    <xf borderId="4" fillId="5" fontId="6" numFmtId="0" xfId="0" applyBorder="1" applyFont="1"/>
    <xf borderId="3" fillId="5" fontId="5" numFmtId="0" xfId="0" applyBorder="1" applyFont="1"/>
    <xf borderId="3" fillId="0" fontId="5" numFmtId="0" xfId="0" applyBorder="1" applyFont="1"/>
    <xf borderId="3" fillId="0" fontId="5" numFmtId="164" xfId="0" applyBorder="1" applyFont="1" applyNumberFormat="1"/>
    <xf borderId="1" fillId="0" fontId="9" numFmtId="0" xfId="0" applyAlignment="1" applyBorder="1" applyFont="1">
      <alignment horizontal="center" shrinkToFit="0" wrapText="1"/>
    </xf>
    <xf borderId="1" fillId="0" fontId="6" numFmtId="9" xfId="0" applyBorder="1" applyFont="1" applyNumberFormat="1"/>
    <xf borderId="1" fillId="0" fontId="6" numFmtId="0" xfId="0" applyBorder="1" applyFont="1"/>
    <xf borderId="1" fillId="3" fontId="6" numFmtId="0" xfId="0" applyBorder="1" applyFont="1"/>
    <xf borderId="1" fillId="0" fontId="10" numFmtId="0" xfId="0" applyAlignment="1" applyBorder="1" applyFont="1">
      <alignment horizontal="center" shrinkToFit="0" wrapText="1"/>
    </xf>
    <xf borderId="5" fillId="5" fontId="6" numFmtId="0" xfId="0" applyBorder="1" applyFont="1"/>
    <xf borderId="1" fillId="5" fontId="5" numFmtId="0" xfId="0" applyBorder="1" applyFont="1"/>
    <xf borderId="1" fillId="0" fontId="5" numFmtId="0" xfId="0" applyBorder="1" applyFont="1"/>
    <xf borderId="1" fillId="0" fontId="5" numFmtId="164" xfId="0" applyBorder="1" applyFont="1" applyNumberFormat="1"/>
    <xf borderId="1" fillId="4" fontId="5" numFmtId="164" xfId="0" applyBorder="1" applyFont="1" applyNumberFormat="1"/>
    <xf borderId="0" fillId="2" fontId="11" numFmtId="0" xfId="0" applyAlignment="1" applyFont="1">
      <alignment horizontal="center" shrinkToFit="0" wrapText="1"/>
    </xf>
    <xf borderId="0" fillId="2" fontId="12" numFmtId="0" xfId="0" applyAlignment="1" applyFont="1">
      <alignment horizontal="center"/>
    </xf>
    <xf borderId="0" fillId="6" fontId="13" numFmtId="0" xfId="0" applyAlignment="1" applyFill="1" applyFont="1">
      <alignment shrinkToFit="0" wrapText="1"/>
    </xf>
    <xf borderId="2" fillId="5" fontId="14" numFmtId="0" xfId="0" applyBorder="1" applyFont="1"/>
    <xf borderId="1" fillId="5" fontId="5" numFmtId="2" xfId="0" applyBorder="1" applyFont="1" applyNumberFormat="1"/>
    <xf borderId="1" fillId="7" fontId="5" numFmtId="1" xfId="0" applyBorder="1" applyFill="1" applyFont="1" applyNumberFormat="1"/>
    <xf borderId="2" fillId="5" fontId="14" numFmtId="0" xfId="0" applyAlignment="1" applyBorder="1" applyFont="1">
      <alignment shrinkToFit="0" wrapText="1"/>
    </xf>
    <xf borderId="6" fillId="7" fontId="7" numFmtId="164" xfId="0" applyBorder="1" applyFont="1" applyNumberFormat="1"/>
    <xf borderId="2" fillId="5" fontId="3" numFmtId="0" xfId="0" applyAlignment="1" applyBorder="1" applyFont="1">
      <alignment shrinkToFit="0" wrapText="1"/>
    </xf>
    <xf borderId="2" fillId="2" fontId="1" numFmtId="0" xfId="0" applyAlignment="1" applyBorder="1" applyFont="1">
      <alignment shrinkToFit="0" wrapText="1"/>
    </xf>
    <xf borderId="2" fillId="2" fontId="5" numFmtId="0" xfId="0" applyAlignment="1" applyBorder="1" applyFont="1">
      <alignment vertical="bottom"/>
    </xf>
    <xf borderId="7" fillId="0" fontId="1" numFmtId="0" xfId="0" applyAlignment="1" applyBorder="1" applyFont="1">
      <alignment shrinkToFit="0" wrapText="1"/>
    </xf>
    <xf borderId="3" fillId="0" fontId="9" numFmtId="2" xfId="0" applyAlignment="1" applyBorder="1" applyFont="1" applyNumberFormat="1">
      <alignment horizontal="center" shrinkToFit="0" wrapText="1"/>
    </xf>
    <xf borderId="3" fillId="2" fontId="9" numFmtId="2" xfId="0" applyAlignment="1" applyBorder="1" applyFont="1" applyNumberFormat="1">
      <alignment horizontal="center" shrinkToFit="0" wrapText="1"/>
    </xf>
    <xf borderId="3" fillId="2" fontId="5" numFmtId="2" xfId="0" applyAlignment="1" applyBorder="1" applyFont="1" applyNumberFormat="1">
      <alignment vertical="bottom"/>
    </xf>
    <xf borderId="4" fillId="0" fontId="9" numFmtId="2" xfId="0" applyAlignment="1" applyBorder="1" applyFont="1" applyNumberFormat="1">
      <alignment horizontal="center" shrinkToFit="0" wrapText="1"/>
    </xf>
    <xf borderId="1" fillId="0" fontId="9" numFmtId="2" xfId="0" applyAlignment="1" applyBorder="1" applyFont="1" applyNumberFormat="1">
      <alignment horizontal="center" shrinkToFit="0" wrapText="1"/>
    </xf>
    <xf borderId="3" fillId="0" fontId="2" numFmtId="2" xfId="0" applyAlignment="1" applyBorder="1" applyFont="1" applyNumberFormat="1">
      <alignment horizontal="center" shrinkToFit="0" wrapText="1"/>
    </xf>
    <xf borderId="8" fillId="5" fontId="3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0" fillId="2" fontId="5" numFmtId="1" xfId="0" applyFont="1" applyNumberFormat="1"/>
    <xf borderId="2" fillId="5" fontId="14" numFmtId="1" xfId="0" applyAlignment="1" applyBorder="1" applyFont="1" applyNumberFormat="1">
      <alignment shrinkToFit="0" wrapText="1"/>
    </xf>
    <xf borderId="6" fillId="7" fontId="7" numFmtId="1" xfId="0" applyBorder="1" applyFont="1" applyNumberFormat="1"/>
    <xf borderId="9" fillId="0" fontId="5" numFmtId="0" xfId="0" applyBorder="1" applyFont="1"/>
    <xf borderId="9" fillId="0" fontId="4" numFmtId="0" xfId="0" applyAlignment="1" applyBorder="1" applyFont="1">
      <alignment horizontal="center" shrinkToFit="0" wrapText="1"/>
    </xf>
    <xf borderId="10" fillId="0" fontId="5" numFmtId="4" xfId="0" applyBorder="1" applyFont="1" applyNumberFormat="1"/>
  </cellXfs>
  <cellStyles count="1">
    <cellStyle xfId="0" name="Normal" builtinId="0"/>
  </cellStyles>
  <dxfs count="5">
    <dxf>
      <font>
        <color rgb="FF660000"/>
      </font>
      <fill>
        <patternFill patternType="solid">
          <fgColor rgb="FF660000"/>
          <bgColor rgb="FF660000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color rgb="FF0C343D"/>
      </font>
      <fill>
        <patternFill patternType="solid">
          <fgColor rgb="FF0C343D"/>
          <bgColor rgb="FF0C343D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>
        <color rgb="FF660000"/>
      </font>
      <fill>
        <patternFill patternType="solid">
          <fgColor rgb="FF5B0F00"/>
          <bgColor rgb="FF5B0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Tiers I - V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'Soul Energy Visualization'!$A$3:$B$3</c:f>
            </c:strRef>
          </c:cat>
          <c:val>
            <c:numRef>
              <c:f>'Soul Energy Visualization'!$A$4:$B$4</c:f>
              <c:numCache/>
            </c:numRef>
          </c:val>
        </c:ser>
        <c:ser>
          <c:idx val="1"/>
          <c:order val="1"/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'Soul Energy Visualization'!$A$3:$B$3</c:f>
            </c:strRef>
          </c:cat>
          <c:val>
            <c:numRef>
              <c:f>'Soul Energy Visualization'!$A$5:$B$5</c:f>
              <c:numCache/>
            </c:numRef>
          </c:val>
        </c:ser>
        <c:ser>
          <c:idx val="2"/>
          <c:order val="2"/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'Soul Energy Visualization'!$A$3:$B$3</c:f>
            </c:strRef>
          </c:cat>
          <c:val>
            <c:numRef>
              <c:f>'Soul Energy Visualization'!$A$6:$B$6</c:f>
              <c:numCache/>
            </c:numRef>
          </c:val>
        </c:ser>
        <c:ser>
          <c:idx val="3"/>
          <c:order val="3"/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'Soul Energy Visualization'!$A$3:$B$3</c:f>
            </c:strRef>
          </c:cat>
          <c:val>
            <c:numRef>
              <c:f>'Soul Energy Visualization'!$A$7:$B$7</c:f>
              <c:numCache/>
            </c:numRef>
          </c:val>
        </c:ser>
        <c:ser>
          <c:idx val="4"/>
          <c:order val="4"/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'Soul Energy Visualization'!$A$3:$B$3</c:f>
            </c:strRef>
          </c:cat>
          <c:val>
            <c:numRef>
              <c:f>'Soul Energy Visualization'!$A$3:$B$3</c:f>
              <c:numCache/>
            </c:numRef>
          </c:val>
        </c:ser>
        <c:ser>
          <c:idx val="5"/>
          <c:order val="5"/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cat>
            <c:strRef>
              <c:f>'Soul Energy Visualization'!$A$3:$B$3</c:f>
            </c:strRef>
          </c:cat>
          <c:val>
            <c:numRef>
              <c:f>'Soul Energy Visualization'!$A$3:$B$3</c:f>
              <c:numCache/>
            </c:numRef>
          </c:val>
        </c:ser>
        <c:axId val="301850552"/>
        <c:axId val="1395245788"/>
      </c:areaChart>
      <c:catAx>
        <c:axId val="301850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5245788"/>
      </c:catAx>
      <c:valAx>
        <c:axId val="1395245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+mn-lt"/>
              </a:defRPr>
            </a:pPr>
          </a:p>
        </c:txPr>
        <c:crossAx val="301850552"/>
        <c:majorUnit val="16.0"/>
        <c:minorUnit val="16.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Tiers VI - X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'Soul Energy Visualization'!$A$3:$B$3</c:f>
            </c:strRef>
          </c:cat>
          <c:val>
            <c:numRef>
              <c:f>'Soul Energy Visualization'!$A$8:$B$8</c:f>
              <c:numCache/>
            </c:numRef>
          </c:val>
        </c:ser>
        <c:ser>
          <c:idx val="1"/>
          <c:order val="1"/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'Soul Energy Visualization'!$A$3:$B$3</c:f>
            </c:strRef>
          </c:cat>
          <c:val>
            <c:numRef>
              <c:f>'Soul Energy Visualization'!$A$9:$B$9</c:f>
              <c:numCache/>
            </c:numRef>
          </c:val>
        </c:ser>
        <c:ser>
          <c:idx val="2"/>
          <c:order val="2"/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'Soul Energy Visualization'!$A$3:$B$3</c:f>
            </c:strRef>
          </c:cat>
          <c:val>
            <c:numRef>
              <c:f>'Soul Energy Visualization'!$A$10:$B$10</c:f>
              <c:numCache/>
            </c:numRef>
          </c:val>
        </c:ser>
        <c:ser>
          <c:idx val="3"/>
          <c:order val="3"/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'Soul Energy Visualization'!$A$3:$B$3</c:f>
            </c:strRef>
          </c:cat>
          <c:val>
            <c:numRef>
              <c:f>'Soul Energy Visualization'!$A$11:$B$11</c:f>
              <c:numCache/>
            </c:numRef>
          </c:val>
        </c:ser>
        <c:ser>
          <c:idx val="4"/>
          <c:order val="4"/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'Soul Energy Visualization'!$A$3:$B$3</c:f>
            </c:strRef>
          </c:cat>
          <c:val>
            <c:numRef>
              <c:f>'Soul Energy Visualization'!$A$12:$B$12</c:f>
              <c:numCache/>
            </c:numRef>
          </c:val>
        </c:ser>
        <c:axId val="1345588936"/>
        <c:axId val="1610425046"/>
      </c:areaChart>
      <c:catAx>
        <c:axId val="1345588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10425046"/>
      </c:catAx>
      <c:valAx>
        <c:axId val="1610425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Soul Capacity</a:t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FFFFFF"/>
                </a:solidFill>
                <a:latin typeface="+mn-lt"/>
              </a:defRPr>
            </a:pPr>
          </a:p>
        </c:txPr>
        <c:crossAx val="1345588936"/>
        <c:majorUnit val="512.0"/>
        <c:minorUnit val="512.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200025</xdr:colOff>
      <xdr:row>0</xdr:row>
      <xdr:rowOff>180975</xdr:rowOff>
    </xdr:from>
    <xdr:ext cx="60483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504825</xdr:colOff>
      <xdr:row>19</xdr:row>
      <xdr:rowOff>171450</xdr:rowOff>
    </xdr:from>
    <xdr:ext cx="1323975" cy="30861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942975</xdr:colOff>
      <xdr:row>20</xdr:row>
      <xdr:rowOff>57150</xdr:rowOff>
    </xdr:from>
    <xdr:ext cx="1295400" cy="29146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2.75"/>
    <col customWidth="1" min="3" max="3" width="10.38"/>
    <col customWidth="1" min="4" max="5" width="9.75"/>
    <col customWidth="1" min="6" max="6" width="8.5"/>
    <col customWidth="1" min="7" max="7" width="15.5"/>
    <col customWidth="1" min="8" max="8" width="2.38"/>
    <col customWidth="1" min="9" max="9" width="10.5"/>
    <col customWidth="1" min="12" max="12" width="2.38"/>
    <col customWidth="1" min="13" max="22" width="9.5"/>
  </cols>
  <sheetData>
    <row r="1" ht="36.0" customHeight="1">
      <c r="A1" s="1"/>
      <c r="B1" s="2"/>
      <c r="C1" s="2"/>
      <c r="D1" s="3"/>
      <c r="E1" s="3"/>
      <c r="F1" s="3"/>
      <c r="G1" s="4"/>
      <c r="H1" s="5"/>
      <c r="I1" s="6" t="s">
        <v>0</v>
      </c>
      <c r="J1" s="7">
        <v>20.0</v>
      </c>
      <c r="L1" s="5"/>
      <c r="M1" s="8" t="s">
        <v>1</v>
      </c>
      <c r="V1" s="9" t="s">
        <v>2</v>
      </c>
    </row>
    <row r="2" ht="36.0" customHeight="1">
      <c r="A2" s="10" t="s">
        <v>3</v>
      </c>
      <c r="B2" s="11" t="s">
        <v>4</v>
      </c>
      <c r="C2" s="11" t="s">
        <v>5</v>
      </c>
      <c r="D2" s="12" t="s">
        <v>6</v>
      </c>
      <c r="E2" s="12" t="s">
        <v>7</v>
      </c>
      <c r="F2" s="12" t="s">
        <v>8</v>
      </c>
      <c r="G2" s="13" t="s">
        <v>9</v>
      </c>
      <c r="H2" s="5"/>
      <c r="I2" s="11" t="s">
        <v>10</v>
      </c>
      <c r="J2" s="11" t="s">
        <v>11</v>
      </c>
      <c r="K2" s="11" t="s">
        <v>12</v>
      </c>
      <c r="L2" s="5"/>
      <c r="M2" s="14">
        <v>1.0</v>
      </c>
      <c r="N2" s="14">
        <f t="shared" ref="N2:V2" si="1">1+M2</f>
        <v>2</v>
      </c>
      <c r="O2" s="14">
        <f t="shared" si="1"/>
        <v>3</v>
      </c>
      <c r="P2" s="14">
        <f t="shared" si="1"/>
        <v>4</v>
      </c>
      <c r="Q2" s="14">
        <f t="shared" si="1"/>
        <v>5</v>
      </c>
      <c r="R2" s="14">
        <f t="shared" si="1"/>
        <v>6</v>
      </c>
      <c r="S2" s="14">
        <f t="shared" si="1"/>
        <v>7</v>
      </c>
      <c r="T2" s="14">
        <f t="shared" si="1"/>
        <v>8</v>
      </c>
      <c r="U2" s="14">
        <f t="shared" si="1"/>
        <v>9</v>
      </c>
      <c r="V2" s="14">
        <f t="shared" si="1"/>
        <v>10</v>
      </c>
    </row>
    <row r="3" ht="15.75" customHeight="1">
      <c r="A3" s="15" t="s">
        <v>13</v>
      </c>
      <c r="B3" s="16">
        <v>0.1</v>
      </c>
      <c r="C3" s="17">
        <v>1.0</v>
      </c>
      <c r="D3" s="18">
        <v>1.0</v>
      </c>
      <c r="E3" s="18">
        <f t="shared" ref="E3:F3" si="2">ROUNDUP(D3/10,0)</f>
        <v>1</v>
      </c>
      <c r="F3" s="18">
        <f t="shared" si="2"/>
        <v>1</v>
      </c>
      <c r="G3" s="19" t="s">
        <v>14</v>
      </c>
      <c r="H3" s="5"/>
      <c r="I3" s="20">
        <v>1.0</v>
      </c>
      <c r="J3" s="21">
        <f t="shared" ref="J3:K3" si="3">I3*$J$1</f>
        <v>20</v>
      </c>
      <c r="K3" s="22">
        <f t="shared" si="3"/>
        <v>400</v>
      </c>
      <c r="L3" s="5"/>
      <c r="M3" s="23">
        <f t="shared" ref="M3:V3" si="4">$K3/M$2</f>
        <v>400</v>
      </c>
      <c r="N3" s="23">
        <f t="shared" si="4"/>
        <v>200</v>
      </c>
      <c r="O3" s="23">
        <f t="shared" si="4"/>
        <v>133.3333333</v>
      </c>
      <c r="P3" s="23">
        <f t="shared" si="4"/>
        <v>100</v>
      </c>
      <c r="Q3" s="23">
        <f t="shared" si="4"/>
        <v>80</v>
      </c>
      <c r="R3" s="23">
        <f t="shared" si="4"/>
        <v>66.66666667</v>
      </c>
      <c r="S3" s="23">
        <f t="shared" si="4"/>
        <v>57.14285714</v>
      </c>
      <c r="T3" s="23">
        <f t="shared" si="4"/>
        <v>50</v>
      </c>
      <c r="U3" s="23">
        <f t="shared" si="4"/>
        <v>44.44444444</v>
      </c>
      <c r="V3" s="23">
        <f t="shared" si="4"/>
        <v>40</v>
      </c>
    </row>
    <row r="4" ht="15.75" customHeight="1">
      <c r="A4" s="24" t="s">
        <v>15</v>
      </c>
      <c r="B4" s="25">
        <f t="shared" ref="B4:D4" si="5">B3*2</f>
        <v>0.2</v>
      </c>
      <c r="C4" s="26">
        <f t="shared" si="5"/>
        <v>2</v>
      </c>
      <c r="D4" s="27">
        <f t="shared" si="5"/>
        <v>2</v>
      </c>
      <c r="E4" s="18">
        <f t="shared" ref="E4:F4" si="6">ROUNDUP(D4/10,0)</f>
        <v>1</v>
      </c>
      <c r="F4" s="18">
        <f t="shared" si="6"/>
        <v>1</v>
      </c>
      <c r="G4" s="28" t="s">
        <v>16</v>
      </c>
      <c r="H4" s="5"/>
      <c r="I4" s="29">
        <f t="shared" ref="I4:I19" si="10">I3*2</f>
        <v>2</v>
      </c>
      <c r="J4" s="30">
        <f t="shared" ref="J4:J19" si="11">I4*$J$1</f>
        <v>40</v>
      </c>
      <c r="K4" s="31">
        <f t="shared" ref="K4:K19" si="12">J4*$J$1+K3</f>
        <v>1200</v>
      </c>
      <c r="L4" s="5"/>
      <c r="M4" s="32">
        <f t="shared" ref="M4:V4" si="7">$K4/M$2</f>
        <v>1200</v>
      </c>
      <c r="N4" s="32">
        <f t="shared" si="7"/>
        <v>600</v>
      </c>
      <c r="O4" s="32">
        <f t="shared" si="7"/>
        <v>400</v>
      </c>
      <c r="P4" s="32">
        <f t="shared" si="7"/>
        <v>300</v>
      </c>
      <c r="Q4" s="32">
        <f t="shared" si="7"/>
        <v>240</v>
      </c>
      <c r="R4" s="32">
        <f t="shared" si="7"/>
        <v>200</v>
      </c>
      <c r="S4" s="32">
        <f t="shared" si="7"/>
        <v>171.4285714</v>
      </c>
      <c r="T4" s="32">
        <f t="shared" si="7"/>
        <v>150</v>
      </c>
      <c r="U4" s="32">
        <f t="shared" si="7"/>
        <v>133.3333333</v>
      </c>
      <c r="V4" s="32">
        <f t="shared" si="7"/>
        <v>120</v>
      </c>
    </row>
    <row r="5" ht="15.75" customHeight="1">
      <c r="A5" s="24" t="s">
        <v>17</v>
      </c>
      <c r="B5" s="25">
        <f t="shared" ref="B5:D5" si="8">B4*2</f>
        <v>0.4</v>
      </c>
      <c r="C5" s="26">
        <f t="shared" si="8"/>
        <v>4</v>
      </c>
      <c r="D5" s="27">
        <f t="shared" si="8"/>
        <v>4</v>
      </c>
      <c r="E5" s="18">
        <f t="shared" ref="E5:F5" si="9">ROUNDUP(D5/10,0)</f>
        <v>1</v>
      </c>
      <c r="F5" s="18">
        <f t="shared" si="9"/>
        <v>1</v>
      </c>
      <c r="G5" s="28" t="s">
        <v>18</v>
      </c>
      <c r="H5" s="5"/>
      <c r="I5" s="29">
        <f t="shared" si="10"/>
        <v>4</v>
      </c>
      <c r="J5" s="30">
        <f t="shared" si="11"/>
        <v>80</v>
      </c>
      <c r="K5" s="31">
        <f t="shared" si="12"/>
        <v>2800</v>
      </c>
      <c r="L5" s="5"/>
      <c r="M5" s="32">
        <f t="shared" ref="M5:V5" si="13">$K5/M$2</f>
        <v>2800</v>
      </c>
      <c r="N5" s="32">
        <f t="shared" si="13"/>
        <v>1400</v>
      </c>
      <c r="O5" s="32">
        <f t="shared" si="13"/>
        <v>933.3333333</v>
      </c>
      <c r="P5" s="32">
        <f t="shared" si="13"/>
        <v>700</v>
      </c>
      <c r="Q5" s="32">
        <f t="shared" si="13"/>
        <v>560</v>
      </c>
      <c r="R5" s="32">
        <f t="shared" si="13"/>
        <v>466.6666667</v>
      </c>
      <c r="S5" s="32">
        <f t="shared" si="13"/>
        <v>400</v>
      </c>
      <c r="T5" s="32">
        <f t="shared" si="13"/>
        <v>350</v>
      </c>
      <c r="U5" s="32">
        <f t="shared" si="13"/>
        <v>311.1111111</v>
      </c>
      <c r="V5" s="32">
        <f t="shared" si="13"/>
        <v>280</v>
      </c>
    </row>
    <row r="6" ht="15.75" customHeight="1">
      <c r="A6" s="24" t="s">
        <v>19</v>
      </c>
      <c r="B6" s="25">
        <f t="shared" ref="B6:D6" si="14">B5*2</f>
        <v>0.8</v>
      </c>
      <c r="C6" s="26">
        <f t="shared" si="14"/>
        <v>8</v>
      </c>
      <c r="D6" s="27">
        <f t="shared" si="14"/>
        <v>8</v>
      </c>
      <c r="E6" s="18">
        <f t="shared" ref="E6:F6" si="15">ROUNDUP(D6/10,0)</f>
        <v>1</v>
      </c>
      <c r="F6" s="18">
        <f t="shared" si="15"/>
        <v>1</v>
      </c>
      <c r="G6" s="28" t="s">
        <v>20</v>
      </c>
      <c r="H6" s="5"/>
      <c r="I6" s="29">
        <f t="shared" si="10"/>
        <v>8</v>
      </c>
      <c r="J6" s="30">
        <f t="shared" si="11"/>
        <v>160</v>
      </c>
      <c r="K6" s="31">
        <f t="shared" si="12"/>
        <v>6000</v>
      </c>
      <c r="L6" s="5"/>
      <c r="M6" s="32">
        <f t="shared" ref="M6:V6" si="16">$K6/M$2</f>
        <v>6000</v>
      </c>
      <c r="N6" s="32">
        <f t="shared" si="16"/>
        <v>3000</v>
      </c>
      <c r="O6" s="32">
        <f t="shared" si="16"/>
        <v>2000</v>
      </c>
      <c r="P6" s="32">
        <f t="shared" si="16"/>
        <v>1500</v>
      </c>
      <c r="Q6" s="32">
        <f t="shared" si="16"/>
        <v>1200</v>
      </c>
      <c r="R6" s="32">
        <f t="shared" si="16"/>
        <v>1000</v>
      </c>
      <c r="S6" s="32">
        <f t="shared" si="16"/>
        <v>857.1428571</v>
      </c>
      <c r="T6" s="32">
        <f t="shared" si="16"/>
        <v>750</v>
      </c>
      <c r="U6" s="32">
        <f t="shared" si="16"/>
        <v>666.6666667</v>
      </c>
      <c r="V6" s="32">
        <f t="shared" si="16"/>
        <v>600</v>
      </c>
    </row>
    <row r="7" ht="15.75" customHeight="1">
      <c r="A7" s="24" t="s">
        <v>21</v>
      </c>
      <c r="B7" s="25">
        <f t="shared" ref="B7:D7" si="17">B6*2</f>
        <v>1.6</v>
      </c>
      <c r="C7" s="26">
        <f t="shared" si="17"/>
        <v>16</v>
      </c>
      <c r="D7" s="27">
        <f t="shared" si="17"/>
        <v>16</v>
      </c>
      <c r="E7" s="18">
        <f t="shared" ref="E7:F7" si="18">ROUNDUP(D7/10,0)</f>
        <v>2</v>
      </c>
      <c r="F7" s="18">
        <f t="shared" si="18"/>
        <v>1</v>
      </c>
      <c r="G7" s="28" t="s">
        <v>22</v>
      </c>
      <c r="H7" s="5"/>
      <c r="I7" s="29">
        <f t="shared" si="10"/>
        <v>16</v>
      </c>
      <c r="J7" s="30">
        <f t="shared" si="11"/>
        <v>320</v>
      </c>
      <c r="K7" s="31">
        <f t="shared" si="12"/>
        <v>12400</v>
      </c>
      <c r="L7" s="5"/>
      <c r="M7" s="32">
        <f t="shared" ref="M7:V7" si="19">$K7/M$2</f>
        <v>12400</v>
      </c>
      <c r="N7" s="32">
        <f t="shared" si="19"/>
        <v>6200</v>
      </c>
      <c r="O7" s="32">
        <f t="shared" si="19"/>
        <v>4133.333333</v>
      </c>
      <c r="P7" s="32">
        <f t="shared" si="19"/>
        <v>3100</v>
      </c>
      <c r="Q7" s="32">
        <f t="shared" si="19"/>
        <v>2480</v>
      </c>
      <c r="R7" s="32">
        <f t="shared" si="19"/>
        <v>2066.666667</v>
      </c>
      <c r="S7" s="32">
        <f t="shared" si="19"/>
        <v>1771.428571</v>
      </c>
      <c r="T7" s="32">
        <f t="shared" si="19"/>
        <v>1550</v>
      </c>
      <c r="U7" s="32">
        <f t="shared" si="19"/>
        <v>1377.777778</v>
      </c>
      <c r="V7" s="32">
        <f t="shared" si="19"/>
        <v>1240</v>
      </c>
    </row>
    <row r="8" ht="15.75" customHeight="1">
      <c r="A8" s="24" t="s">
        <v>23</v>
      </c>
      <c r="B8" s="25">
        <f t="shared" ref="B8:D8" si="20">B7*2</f>
        <v>3.2</v>
      </c>
      <c r="C8" s="26">
        <f t="shared" si="20"/>
        <v>32</v>
      </c>
      <c r="D8" s="27">
        <f t="shared" si="20"/>
        <v>32</v>
      </c>
      <c r="E8" s="18">
        <f t="shared" ref="E8:F8" si="21">ROUNDUP(D8/10,0)</f>
        <v>4</v>
      </c>
      <c r="F8" s="18">
        <f t="shared" si="21"/>
        <v>1</v>
      </c>
      <c r="G8" s="28" t="s">
        <v>24</v>
      </c>
      <c r="H8" s="5"/>
      <c r="I8" s="29">
        <f t="shared" si="10"/>
        <v>32</v>
      </c>
      <c r="J8" s="30">
        <f t="shared" si="11"/>
        <v>640</v>
      </c>
      <c r="K8" s="31">
        <f t="shared" si="12"/>
        <v>25200</v>
      </c>
      <c r="L8" s="5"/>
      <c r="M8" s="33">
        <f t="shared" ref="M8:V8" si="22">($K8/M$2)/365</f>
        <v>69.04109589</v>
      </c>
      <c r="N8" s="33">
        <f t="shared" si="22"/>
        <v>34.52054795</v>
      </c>
      <c r="O8" s="33">
        <f t="shared" si="22"/>
        <v>23.01369863</v>
      </c>
      <c r="P8" s="33">
        <f t="shared" si="22"/>
        <v>17.26027397</v>
      </c>
      <c r="Q8" s="33">
        <f t="shared" si="22"/>
        <v>13.80821918</v>
      </c>
      <c r="R8" s="33">
        <f t="shared" si="22"/>
        <v>11.50684932</v>
      </c>
      <c r="S8" s="33">
        <f t="shared" si="22"/>
        <v>9.863013699</v>
      </c>
      <c r="T8" s="33">
        <f t="shared" si="22"/>
        <v>8.630136986</v>
      </c>
      <c r="U8" s="33">
        <f t="shared" si="22"/>
        <v>7.671232877</v>
      </c>
      <c r="V8" s="33">
        <f t="shared" si="22"/>
        <v>6.904109589</v>
      </c>
    </row>
    <row r="9" ht="15.75" customHeight="1">
      <c r="A9" s="24" t="s">
        <v>25</v>
      </c>
      <c r="B9" s="25">
        <f t="shared" ref="B9:D9" si="23">B8*2</f>
        <v>6.4</v>
      </c>
      <c r="C9" s="26">
        <f t="shared" si="23"/>
        <v>64</v>
      </c>
      <c r="D9" s="27">
        <f t="shared" si="23"/>
        <v>64</v>
      </c>
      <c r="E9" s="18">
        <f t="shared" ref="E9:F9" si="24">ROUNDUP(D9/10,0)</f>
        <v>7</v>
      </c>
      <c r="F9" s="18">
        <f t="shared" si="24"/>
        <v>1</v>
      </c>
      <c r="G9" s="28" t="s">
        <v>26</v>
      </c>
      <c r="H9" s="5"/>
      <c r="I9" s="29">
        <f t="shared" si="10"/>
        <v>64</v>
      </c>
      <c r="J9" s="30">
        <f t="shared" si="11"/>
        <v>1280</v>
      </c>
      <c r="K9" s="31">
        <f t="shared" si="12"/>
        <v>50800</v>
      </c>
      <c r="L9" s="5"/>
      <c r="M9" s="33">
        <f t="shared" ref="M9:V9" si="25">($K9/M$2)/365</f>
        <v>139.1780822</v>
      </c>
      <c r="N9" s="33">
        <f t="shared" si="25"/>
        <v>69.5890411</v>
      </c>
      <c r="O9" s="33">
        <f t="shared" si="25"/>
        <v>46.39269406</v>
      </c>
      <c r="P9" s="33">
        <f t="shared" si="25"/>
        <v>34.79452055</v>
      </c>
      <c r="Q9" s="33">
        <f t="shared" si="25"/>
        <v>27.83561644</v>
      </c>
      <c r="R9" s="33">
        <f t="shared" si="25"/>
        <v>23.19634703</v>
      </c>
      <c r="S9" s="33">
        <f t="shared" si="25"/>
        <v>19.88258317</v>
      </c>
      <c r="T9" s="33">
        <f t="shared" si="25"/>
        <v>17.39726027</v>
      </c>
      <c r="U9" s="33">
        <f t="shared" si="25"/>
        <v>15.46423135</v>
      </c>
      <c r="V9" s="33">
        <f t="shared" si="25"/>
        <v>13.91780822</v>
      </c>
    </row>
    <row r="10" ht="15.75" customHeight="1">
      <c r="A10" s="24" t="s">
        <v>27</v>
      </c>
      <c r="B10" s="25">
        <f t="shared" ref="B10:D10" si="26">B9*2</f>
        <v>12.8</v>
      </c>
      <c r="C10" s="26">
        <f t="shared" si="26"/>
        <v>128</v>
      </c>
      <c r="D10" s="27">
        <f t="shared" si="26"/>
        <v>128</v>
      </c>
      <c r="E10" s="18">
        <f t="shared" ref="E10:F10" si="27">ROUNDUP(D10/10,0)</f>
        <v>13</v>
      </c>
      <c r="F10" s="18">
        <f t="shared" si="27"/>
        <v>2</v>
      </c>
      <c r="G10" s="28" t="s">
        <v>28</v>
      </c>
      <c r="H10" s="5"/>
      <c r="I10" s="29">
        <f t="shared" si="10"/>
        <v>128</v>
      </c>
      <c r="J10" s="30">
        <f t="shared" si="11"/>
        <v>2560</v>
      </c>
      <c r="K10" s="31">
        <f t="shared" si="12"/>
        <v>102000</v>
      </c>
      <c r="L10" s="5"/>
      <c r="M10" s="33">
        <f t="shared" ref="M10:V10" si="28">($K10/M$2)/365</f>
        <v>279.4520548</v>
      </c>
      <c r="N10" s="33">
        <f t="shared" si="28"/>
        <v>139.7260274</v>
      </c>
      <c r="O10" s="33">
        <f t="shared" si="28"/>
        <v>93.15068493</v>
      </c>
      <c r="P10" s="33">
        <f t="shared" si="28"/>
        <v>69.8630137</v>
      </c>
      <c r="Q10" s="33">
        <f t="shared" si="28"/>
        <v>55.89041096</v>
      </c>
      <c r="R10" s="33">
        <f t="shared" si="28"/>
        <v>46.57534247</v>
      </c>
      <c r="S10" s="33">
        <f t="shared" si="28"/>
        <v>39.92172211</v>
      </c>
      <c r="T10" s="33">
        <f t="shared" si="28"/>
        <v>34.93150685</v>
      </c>
      <c r="U10" s="33">
        <f t="shared" si="28"/>
        <v>31.05022831</v>
      </c>
      <c r="V10" s="33">
        <f t="shared" si="28"/>
        <v>27.94520548</v>
      </c>
    </row>
    <row r="11" ht="15.75" customHeight="1">
      <c r="A11" s="24" t="s">
        <v>29</v>
      </c>
      <c r="B11" s="25">
        <f t="shared" ref="B11:D11" si="29">B10*2</f>
        <v>25.6</v>
      </c>
      <c r="C11" s="26">
        <f t="shared" si="29"/>
        <v>256</v>
      </c>
      <c r="D11" s="27">
        <f t="shared" si="29"/>
        <v>256</v>
      </c>
      <c r="E11" s="18">
        <f t="shared" ref="E11:F11" si="30">ROUNDUP(D11/10,0)</f>
        <v>26</v>
      </c>
      <c r="F11" s="18">
        <f t="shared" si="30"/>
        <v>3</v>
      </c>
      <c r="G11" s="28" t="s">
        <v>30</v>
      </c>
      <c r="H11" s="5"/>
      <c r="I11" s="29">
        <f t="shared" si="10"/>
        <v>256</v>
      </c>
      <c r="J11" s="30">
        <f t="shared" si="11"/>
        <v>5120</v>
      </c>
      <c r="K11" s="31">
        <f t="shared" si="12"/>
        <v>204400</v>
      </c>
      <c r="L11" s="5"/>
      <c r="M11" s="33">
        <f t="shared" ref="M11:V11" si="31">($K11/M$2)/365</f>
        <v>560</v>
      </c>
      <c r="N11" s="33">
        <f t="shared" si="31"/>
        <v>280</v>
      </c>
      <c r="O11" s="33">
        <f t="shared" si="31"/>
        <v>186.6666667</v>
      </c>
      <c r="P11" s="33">
        <f t="shared" si="31"/>
        <v>140</v>
      </c>
      <c r="Q11" s="33">
        <f t="shared" si="31"/>
        <v>112</v>
      </c>
      <c r="R11" s="33">
        <f t="shared" si="31"/>
        <v>93.33333333</v>
      </c>
      <c r="S11" s="33">
        <f t="shared" si="31"/>
        <v>80</v>
      </c>
      <c r="T11" s="33">
        <f t="shared" si="31"/>
        <v>70</v>
      </c>
      <c r="U11" s="33">
        <f t="shared" si="31"/>
        <v>62.22222222</v>
      </c>
      <c r="V11" s="33">
        <f t="shared" si="31"/>
        <v>56</v>
      </c>
    </row>
    <row r="12" ht="15.75" customHeight="1">
      <c r="A12" s="24" t="s">
        <v>31</v>
      </c>
      <c r="B12" s="25">
        <f t="shared" ref="B12:D12" si="32">B11*2</f>
        <v>51.2</v>
      </c>
      <c r="C12" s="26">
        <f t="shared" si="32"/>
        <v>512</v>
      </c>
      <c r="D12" s="27">
        <f t="shared" si="32"/>
        <v>512</v>
      </c>
      <c r="E12" s="18">
        <f t="shared" ref="E12:F12" si="33">ROUNDUP(D12/10,0)</f>
        <v>52</v>
      </c>
      <c r="F12" s="18">
        <f t="shared" si="33"/>
        <v>6</v>
      </c>
      <c r="G12" s="28" t="s">
        <v>32</v>
      </c>
      <c r="H12" s="5"/>
      <c r="I12" s="29">
        <f t="shared" si="10"/>
        <v>512</v>
      </c>
      <c r="J12" s="30">
        <f t="shared" si="11"/>
        <v>10240</v>
      </c>
      <c r="K12" s="31">
        <f t="shared" si="12"/>
        <v>409200</v>
      </c>
      <c r="L12" s="5"/>
      <c r="M12" s="33">
        <f t="shared" ref="M12:V12" si="34">($K12/M$2)/365</f>
        <v>1121.09589</v>
      </c>
      <c r="N12" s="33">
        <f t="shared" si="34"/>
        <v>560.5479452</v>
      </c>
      <c r="O12" s="33">
        <f t="shared" si="34"/>
        <v>373.6986301</v>
      </c>
      <c r="P12" s="33">
        <f t="shared" si="34"/>
        <v>280.2739726</v>
      </c>
      <c r="Q12" s="33">
        <f t="shared" si="34"/>
        <v>224.2191781</v>
      </c>
      <c r="R12" s="33">
        <f t="shared" si="34"/>
        <v>186.8493151</v>
      </c>
      <c r="S12" s="33">
        <f t="shared" si="34"/>
        <v>160.1565558</v>
      </c>
      <c r="T12" s="33">
        <f t="shared" si="34"/>
        <v>140.1369863</v>
      </c>
      <c r="U12" s="33">
        <f t="shared" si="34"/>
        <v>124.56621</v>
      </c>
      <c r="V12" s="33">
        <f t="shared" si="34"/>
        <v>112.109589</v>
      </c>
    </row>
    <row r="13" ht="15.75" customHeight="1">
      <c r="A13" s="24" t="s">
        <v>33</v>
      </c>
      <c r="B13" s="25">
        <f t="shared" ref="B13:D13" si="35">B12*2</f>
        <v>102.4</v>
      </c>
      <c r="C13" s="26">
        <f t="shared" si="35"/>
        <v>1024</v>
      </c>
      <c r="D13" s="27">
        <f t="shared" si="35"/>
        <v>1024</v>
      </c>
      <c r="E13" s="18">
        <f t="shared" ref="E13:F13" si="36">ROUNDUP(D13/10,0)</f>
        <v>103</v>
      </c>
      <c r="F13" s="18">
        <f t="shared" si="36"/>
        <v>11</v>
      </c>
      <c r="G13" s="28" t="s">
        <v>34</v>
      </c>
      <c r="H13" s="5"/>
      <c r="I13" s="29">
        <f t="shared" si="10"/>
        <v>1024</v>
      </c>
      <c r="J13" s="30">
        <f t="shared" si="11"/>
        <v>20480</v>
      </c>
      <c r="K13" s="31">
        <f t="shared" si="12"/>
        <v>818800</v>
      </c>
      <c r="L13" s="5"/>
      <c r="M13" s="33">
        <f t="shared" ref="M13:V13" si="37">($K13/M$2)/365</f>
        <v>2243.287671</v>
      </c>
      <c r="N13" s="33">
        <f t="shared" si="37"/>
        <v>1121.643836</v>
      </c>
      <c r="O13" s="33">
        <f t="shared" si="37"/>
        <v>747.7625571</v>
      </c>
      <c r="P13" s="33">
        <f t="shared" si="37"/>
        <v>560.8219178</v>
      </c>
      <c r="Q13" s="33">
        <f t="shared" si="37"/>
        <v>448.6575342</v>
      </c>
      <c r="R13" s="33">
        <f t="shared" si="37"/>
        <v>373.8812785</v>
      </c>
      <c r="S13" s="33">
        <f t="shared" si="37"/>
        <v>320.4696673</v>
      </c>
      <c r="T13" s="33">
        <f t="shared" si="37"/>
        <v>280.4109589</v>
      </c>
      <c r="U13" s="33">
        <f t="shared" si="37"/>
        <v>249.2541857</v>
      </c>
      <c r="V13" s="33">
        <f t="shared" si="37"/>
        <v>224.3287671</v>
      </c>
    </row>
    <row r="14" ht="15.75" customHeight="1">
      <c r="A14" s="24" t="s">
        <v>35</v>
      </c>
      <c r="B14" s="25">
        <f t="shared" ref="B14:D14" si="38">B13*2</f>
        <v>204.8</v>
      </c>
      <c r="C14" s="26">
        <f t="shared" si="38"/>
        <v>2048</v>
      </c>
      <c r="D14" s="27">
        <f t="shared" si="38"/>
        <v>2048</v>
      </c>
      <c r="E14" s="18">
        <f t="shared" ref="E14:F14" si="39">ROUNDUP(D14/10,0)</f>
        <v>205</v>
      </c>
      <c r="F14" s="18">
        <f t="shared" si="39"/>
        <v>21</v>
      </c>
      <c r="G14" s="28" t="s">
        <v>36</v>
      </c>
      <c r="H14" s="5"/>
      <c r="I14" s="29">
        <f t="shared" si="10"/>
        <v>2048</v>
      </c>
      <c r="J14" s="30">
        <f t="shared" si="11"/>
        <v>40960</v>
      </c>
      <c r="K14" s="31">
        <f t="shared" si="12"/>
        <v>1638000</v>
      </c>
      <c r="L14" s="5"/>
      <c r="M14" s="33">
        <f t="shared" ref="M14:V14" si="40">($K14/M$2)/365</f>
        <v>4487.671233</v>
      </c>
      <c r="N14" s="33">
        <f t="shared" si="40"/>
        <v>2243.835616</v>
      </c>
      <c r="O14" s="33">
        <f t="shared" si="40"/>
        <v>1495.890411</v>
      </c>
      <c r="P14" s="33">
        <f t="shared" si="40"/>
        <v>1121.917808</v>
      </c>
      <c r="Q14" s="33">
        <f t="shared" si="40"/>
        <v>897.5342466</v>
      </c>
      <c r="R14" s="33">
        <f t="shared" si="40"/>
        <v>747.9452055</v>
      </c>
      <c r="S14" s="33">
        <f t="shared" si="40"/>
        <v>641.0958904</v>
      </c>
      <c r="T14" s="33">
        <f t="shared" si="40"/>
        <v>560.9589041</v>
      </c>
      <c r="U14" s="33">
        <f t="shared" si="40"/>
        <v>498.630137</v>
      </c>
      <c r="V14" s="33">
        <f t="shared" si="40"/>
        <v>448.7671233</v>
      </c>
    </row>
    <row r="15" ht="15.75" customHeight="1">
      <c r="A15" s="24" t="s">
        <v>37</v>
      </c>
      <c r="B15" s="25">
        <f t="shared" ref="B15:D15" si="41">B14*2</f>
        <v>409.6</v>
      </c>
      <c r="C15" s="26">
        <f t="shared" si="41"/>
        <v>4096</v>
      </c>
      <c r="D15" s="27">
        <f t="shared" si="41"/>
        <v>4096</v>
      </c>
      <c r="E15" s="18">
        <f t="shared" ref="E15:F15" si="42">ROUNDUP(D15/10,0)</f>
        <v>410</v>
      </c>
      <c r="F15" s="18">
        <f t="shared" si="42"/>
        <v>41</v>
      </c>
      <c r="G15" s="28" t="s">
        <v>38</v>
      </c>
      <c r="H15" s="5"/>
      <c r="I15" s="29">
        <f t="shared" si="10"/>
        <v>4096</v>
      </c>
      <c r="J15" s="30">
        <f t="shared" si="11"/>
        <v>81920</v>
      </c>
      <c r="K15" s="31">
        <f t="shared" si="12"/>
        <v>3276400</v>
      </c>
      <c r="L15" s="5"/>
      <c r="M15" s="33">
        <f t="shared" ref="M15:V15" si="43">($K15/M$2)/365</f>
        <v>8976.438356</v>
      </c>
      <c r="N15" s="33">
        <f t="shared" si="43"/>
        <v>4488.219178</v>
      </c>
      <c r="O15" s="33">
        <f t="shared" si="43"/>
        <v>2992.146119</v>
      </c>
      <c r="P15" s="33">
        <f t="shared" si="43"/>
        <v>2244.109589</v>
      </c>
      <c r="Q15" s="33">
        <f t="shared" si="43"/>
        <v>1795.287671</v>
      </c>
      <c r="R15" s="33">
        <f t="shared" si="43"/>
        <v>1496.073059</v>
      </c>
      <c r="S15" s="33">
        <f t="shared" si="43"/>
        <v>1282.348337</v>
      </c>
      <c r="T15" s="33">
        <f t="shared" si="43"/>
        <v>1122.054795</v>
      </c>
      <c r="U15" s="33">
        <f t="shared" si="43"/>
        <v>997.3820396</v>
      </c>
      <c r="V15" s="33">
        <f t="shared" si="43"/>
        <v>897.6438356</v>
      </c>
    </row>
    <row r="16" ht="15.75" customHeight="1">
      <c r="A16" s="24" t="s">
        <v>39</v>
      </c>
      <c r="B16" s="25">
        <f t="shared" ref="B16:D16" si="44">B15*2</f>
        <v>819.2</v>
      </c>
      <c r="C16" s="26">
        <f t="shared" si="44"/>
        <v>8192</v>
      </c>
      <c r="D16" s="27">
        <f t="shared" si="44"/>
        <v>8192</v>
      </c>
      <c r="E16" s="18">
        <f t="shared" ref="E16:F16" si="45">ROUNDUP(D16/10,0)</f>
        <v>820</v>
      </c>
      <c r="F16" s="18">
        <f t="shared" si="45"/>
        <v>82</v>
      </c>
      <c r="G16" s="28" t="s">
        <v>40</v>
      </c>
      <c r="H16" s="5"/>
      <c r="I16" s="29">
        <f t="shared" si="10"/>
        <v>8192</v>
      </c>
      <c r="J16" s="30">
        <f t="shared" si="11"/>
        <v>163840</v>
      </c>
      <c r="K16" s="31">
        <f t="shared" si="12"/>
        <v>6553200</v>
      </c>
      <c r="L16" s="5"/>
      <c r="M16" s="33">
        <f t="shared" ref="M16:V16" si="46">($K16/M$2)/365</f>
        <v>17953.9726</v>
      </c>
      <c r="N16" s="33">
        <f t="shared" si="46"/>
        <v>8976.986301</v>
      </c>
      <c r="O16" s="33">
        <f t="shared" si="46"/>
        <v>5984.657534</v>
      </c>
      <c r="P16" s="33">
        <f t="shared" si="46"/>
        <v>4488.493151</v>
      </c>
      <c r="Q16" s="33">
        <f t="shared" si="46"/>
        <v>3590.794521</v>
      </c>
      <c r="R16" s="33">
        <f t="shared" si="46"/>
        <v>2992.328767</v>
      </c>
      <c r="S16" s="33">
        <f t="shared" si="46"/>
        <v>2564.853229</v>
      </c>
      <c r="T16" s="33">
        <f t="shared" si="46"/>
        <v>2244.246575</v>
      </c>
      <c r="U16" s="33">
        <f t="shared" si="46"/>
        <v>1994.885845</v>
      </c>
      <c r="V16" s="33">
        <f t="shared" si="46"/>
        <v>1795.39726</v>
      </c>
    </row>
    <row r="17" ht="15.75" customHeight="1">
      <c r="A17" s="24" t="s">
        <v>41</v>
      </c>
      <c r="B17" s="25">
        <f t="shared" ref="B17:D17" si="47">B16*2</f>
        <v>1638.4</v>
      </c>
      <c r="C17" s="26">
        <f t="shared" si="47"/>
        <v>16384</v>
      </c>
      <c r="D17" s="27">
        <f t="shared" si="47"/>
        <v>16384</v>
      </c>
      <c r="E17" s="18">
        <f t="shared" ref="E17:F17" si="48">ROUNDUP(D17/10,0)</f>
        <v>1639</v>
      </c>
      <c r="F17" s="18">
        <f t="shared" si="48"/>
        <v>164</v>
      </c>
      <c r="G17" s="28" t="s">
        <v>42</v>
      </c>
      <c r="H17" s="5"/>
      <c r="I17" s="29">
        <f t="shared" si="10"/>
        <v>16384</v>
      </c>
      <c r="J17" s="30">
        <f t="shared" si="11"/>
        <v>327680</v>
      </c>
      <c r="K17" s="31">
        <f t="shared" si="12"/>
        <v>13106800</v>
      </c>
      <c r="L17" s="5"/>
      <c r="M17" s="33">
        <f t="shared" ref="M17:V17" si="49">($K17/M$2)/365</f>
        <v>35909.0411</v>
      </c>
      <c r="N17" s="33">
        <f t="shared" si="49"/>
        <v>17954.52055</v>
      </c>
      <c r="O17" s="33">
        <f t="shared" si="49"/>
        <v>11969.68037</v>
      </c>
      <c r="P17" s="33">
        <f t="shared" si="49"/>
        <v>8977.260274</v>
      </c>
      <c r="Q17" s="33">
        <f t="shared" si="49"/>
        <v>7181.808219</v>
      </c>
      <c r="R17" s="33">
        <f t="shared" si="49"/>
        <v>5984.840183</v>
      </c>
      <c r="S17" s="33">
        <f t="shared" si="49"/>
        <v>5129.863014</v>
      </c>
      <c r="T17" s="33">
        <f t="shared" si="49"/>
        <v>4488.630137</v>
      </c>
      <c r="U17" s="33">
        <f t="shared" si="49"/>
        <v>3989.893455</v>
      </c>
      <c r="V17" s="33">
        <f t="shared" si="49"/>
        <v>3590.90411</v>
      </c>
    </row>
    <row r="18" ht="15.75" customHeight="1">
      <c r="A18" s="24" t="s">
        <v>43</v>
      </c>
      <c r="B18" s="25">
        <f t="shared" ref="B18:D18" si="50">B17*2</f>
        <v>3276.8</v>
      </c>
      <c r="C18" s="26">
        <f t="shared" si="50"/>
        <v>32768</v>
      </c>
      <c r="D18" s="27">
        <f t="shared" si="50"/>
        <v>32768</v>
      </c>
      <c r="E18" s="18">
        <f t="shared" ref="E18:F18" si="51">ROUNDUP(D18/10,0)</f>
        <v>3277</v>
      </c>
      <c r="F18" s="18">
        <f t="shared" si="51"/>
        <v>328</v>
      </c>
      <c r="G18" s="28" t="s">
        <v>44</v>
      </c>
      <c r="H18" s="5"/>
      <c r="I18" s="29">
        <f t="shared" si="10"/>
        <v>32768</v>
      </c>
      <c r="J18" s="30">
        <f t="shared" si="11"/>
        <v>655360</v>
      </c>
      <c r="K18" s="31">
        <f t="shared" si="12"/>
        <v>26214000</v>
      </c>
      <c r="L18" s="5"/>
      <c r="M18" s="33">
        <f t="shared" ref="M18:V18" si="52">($K18/M$2)/365</f>
        <v>71819.17808</v>
      </c>
      <c r="N18" s="33">
        <f t="shared" si="52"/>
        <v>35909.58904</v>
      </c>
      <c r="O18" s="33">
        <f t="shared" si="52"/>
        <v>23939.72603</v>
      </c>
      <c r="P18" s="33">
        <f t="shared" si="52"/>
        <v>17954.79452</v>
      </c>
      <c r="Q18" s="33">
        <f t="shared" si="52"/>
        <v>14363.83562</v>
      </c>
      <c r="R18" s="33">
        <f t="shared" si="52"/>
        <v>11969.86301</v>
      </c>
      <c r="S18" s="33">
        <f t="shared" si="52"/>
        <v>10259.88258</v>
      </c>
      <c r="T18" s="33">
        <f t="shared" si="52"/>
        <v>8977.39726</v>
      </c>
      <c r="U18" s="33">
        <f t="shared" si="52"/>
        <v>7979.908676</v>
      </c>
      <c r="V18" s="33">
        <f t="shared" si="52"/>
        <v>7181.917808</v>
      </c>
    </row>
    <row r="19" ht="15.75" customHeight="1">
      <c r="A19" s="24" t="s">
        <v>45</v>
      </c>
      <c r="B19" s="25">
        <f t="shared" ref="B19:D19" si="53">B18*2</f>
        <v>6553.6</v>
      </c>
      <c r="C19" s="26">
        <f t="shared" si="53"/>
        <v>65536</v>
      </c>
      <c r="D19" s="27">
        <f t="shared" si="53"/>
        <v>65536</v>
      </c>
      <c r="E19" s="18">
        <f t="shared" ref="E19:F19" si="54">ROUNDUP(D19/10,0)</f>
        <v>6554</v>
      </c>
      <c r="F19" s="18">
        <f t="shared" si="54"/>
        <v>656</v>
      </c>
      <c r="G19" s="28" t="s">
        <v>46</v>
      </c>
      <c r="H19" s="5"/>
      <c r="I19" s="29">
        <f t="shared" si="10"/>
        <v>65536</v>
      </c>
      <c r="J19" s="30">
        <f t="shared" si="11"/>
        <v>1310720</v>
      </c>
      <c r="K19" s="31">
        <f t="shared" si="12"/>
        <v>52428400</v>
      </c>
      <c r="L19" s="5"/>
      <c r="M19" s="33">
        <f t="shared" ref="M19:V19" si="55">($K19/M$2)/365</f>
        <v>143639.4521</v>
      </c>
      <c r="N19" s="33">
        <f t="shared" si="55"/>
        <v>71819.72603</v>
      </c>
      <c r="O19" s="33">
        <f t="shared" si="55"/>
        <v>47879.81735</v>
      </c>
      <c r="P19" s="33">
        <f t="shared" si="55"/>
        <v>35909.86301</v>
      </c>
      <c r="Q19" s="33">
        <f t="shared" si="55"/>
        <v>28727.89041</v>
      </c>
      <c r="R19" s="33">
        <f t="shared" si="55"/>
        <v>23939.90868</v>
      </c>
      <c r="S19" s="33">
        <f t="shared" si="55"/>
        <v>20519.92172</v>
      </c>
      <c r="T19" s="33">
        <f t="shared" si="55"/>
        <v>17954.93151</v>
      </c>
      <c r="U19" s="33">
        <f t="shared" si="55"/>
        <v>15959.93912</v>
      </c>
      <c r="V19" s="33">
        <f t="shared" si="55"/>
        <v>14363.94521</v>
      </c>
    </row>
    <row r="20" ht="15.75" customHeight="1">
      <c r="H20" s="5"/>
      <c r="L20" s="5"/>
    </row>
    <row r="21" ht="15.75" customHeight="1">
      <c r="H21" s="5"/>
      <c r="L21" s="5"/>
    </row>
    <row r="22" ht="15.75" customHeight="1">
      <c r="H22" s="5"/>
      <c r="L22" s="5"/>
    </row>
    <row r="23" ht="15.75" customHeight="1">
      <c r="H23" s="5"/>
      <c r="L23" s="5"/>
    </row>
    <row r="24" ht="15.75" customHeight="1">
      <c r="H24" s="5"/>
      <c r="L24" s="5"/>
    </row>
    <row r="25" ht="15.75" customHeight="1">
      <c r="H25" s="5"/>
      <c r="L25" s="5"/>
    </row>
    <row r="26" ht="15.75" customHeight="1">
      <c r="H26" s="5"/>
      <c r="L26" s="5"/>
    </row>
    <row r="27" ht="15.75" customHeight="1">
      <c r="H27" s="5"/>
      <c r="L27" s="5"/>
    </row>
    <row r="28" ht="15.75" customHeight="1">
      <c r="H28" s="5"/>
      <c r="L28" s="5"/>
    </row>
    <row r="29" ht="15.75" customHeight="1">
      <c r="H29" s="5"/>
      <c r="L29" s="5"/>
    </row>
    <row r="30" ht="15.75" customHeight="1">
      <c r="H30" s="5"/>
      <c r="L30" s="5"/>
    </row>
    <row r="31" ht="15.75" customHeight="1">
      <c r="H31" s="5"/>
      <c r="L31" s="5"/>
    </row>
    <row r="32" ht="15.75" customHeight="1">
      <c r="H32" s="5"/>
      <c r="L32" s="5"/>
    </row>
    <row r="33" ht="15.75" customHeight="1">
      <c r="H33" s="5"/>
      <c r="L33" s="5"/>
    </row>
    <row r="34" ht="15.75" customHeight="1">
      <c r="H34" s="5"/>
      <c r="L34" s="5"/>
    </row>
    <row r="35" ht="15.75" customHeight="1">
      <c r="H35" s="5"/>
      <c r="L35" s="5"/>
    </row>
    <row r="36" ht="15.75" customHeight="1">
      <c r="H36" s="5"/>
      <c r="L36" s="5"/>
    </row>
    <row r="37" ht="15.75" customHeight="1">
      <c r="H37" s="5"/>
      <c r="L37" s="5"/>
    </row>
    <row r="38" ht="15.75" customHeight="1">
      <c r="H38" s="5"/>
      <c r="L38" s="5"/>
    </row>
    <row r="39" ht="15.75" customHeight="1">
      <c r="H39" s="5"/>
      <c r="L39" s="5"/>
    </row>
    <row r="40" ht="15.75" customHeight="1">
      <c r="H40" s="5"/>
      <c r="L40" s="5"/>
    </row>
    <row r="41" ht="15.75" customHeight="1">
      <c r="H41" s="5"/>
      <c r="L41" s="5"/>
    </row>
    <row r="42" ht="15.75" customHeight="1">
      <c r="H42" s="5"/>
      <c r="L42" s="5"/>
    </row>
    <row r="43" ht="15.75" customHeight="1">
      <c r="H43" s="5"/>
      <c r="L43" s="5"/>
    </row>
    <row r="44" ht="15.75" customHeight="1">
      <c r="H44" s="5"/>
      <c r="L44" s="5"/>
    </row>
    <row r="45" ht="15.75" customHeight="1">
      <c r="H45" s="5"/>
      <c r="L45" s="5"/>
    </row>
    <row r="46" ht="15.75" customHeight="1">
      <c r="H46" s="5"/>
      <c r="L46" s="5"/>
    </row>
    <row r="47" ht="15.75" customHeight="1">
      <c r="H47" s="5"/>
      <c r="L47" s="5"/>
    </row>
    <row r="48" ht="15.75" customHeight="1">
      <c r="H48" s="5"/>
      <c r="L48" s="5"/>
    </row>
    <row r="49" ht="15.75" customHeight="1">
      <c r="H49" s="5"/>
      <c r="L49" s="5"/>
    </row>
    <row r="50" ht="15.75" customHeight="1">
      <c r="H50" s="5"/>
      <c r="L50" s="5"/>
    </row>
    <row r="51" ht="15.75" customHeight="1">
      <c r="H51" s="5"/>
      <c r="L51" s="5"/>
    </row>
    <row r="52" ht="15.75" customHeight="1">
      <c r="H52" s="5"/>
      <c r="L52" s="5"/>
    </row>
    <row r="53" ht="15.75" customHeight="1">
      <c r="H53" s="5"/>
      <c r="L53" s="5"/>
    </row>
    <row r="54" ht="15.75" customHeight="1">
      <c r="H54" s="5"/>
      <c r="L54" s="5"/>
    </row>
    <row r="55" ht="15.75" customHeight="1">
      <c r="H55" s="5"/>
      <c r="L55" s="5"/>
    </row>
    <row r="56" ht="15.75" customHeight="1">
      <c r="H56" s="5"/>
      <c r="L56" s="5"/>
    </row>
    <row r="57" ht="15.75" customHeight="1">
      <c r="H57" s="5"/>
      <c r="L57" s="5"/>
    </row>
    <row r="58" ht="15.75" customHeight="1">
      <c r="H58" s="5"/>
      <c r="L58" s="5"/>
    </row>
    <row r="59" ht="15.75" customHeight="1">
      <c r="H59" s="5"/>
      <c r="L59" s="5"/>
    </row>
    <row r="60" ht="15.75" customHeight="1">
      <c r="H60" s="5"/>
      <c r="L60" s="5"/>
    </row>
    <row r="61" ht="15.75" customHeight="1">
      <c r="H61" s="5"/>
      <c r="L61" s="5"/>
    </row>
    <row r="62" ht="15.75" customHeight="1">
      <c r="H62" s="5"/>
      <c r="L62" s="5"/>
    </row>
    <row r="63" ht="15.75" customHeight="1">
      <c r="H63" s="5"/>
      <c r="L63" s="5"/>
    </row>
    <row r="64" ht="15.75" customHeight="1">
      <c r="H64" s="5"/>
      <c r="L64" s="5"/>
    </row>
    <row r="65" ht="15.75" customHeight="1">
      <c r="H65" s="5"/>
      <c r="L65" s="5"/>
    </row>
    <row r="66" ht="15.75" customHeight="1">
      <c r="H66" s="5"/>
      <c r="L66" s="5"/>
    </row>
    <row r="67" ht="15.75" customHeight="1">
      <c r="H67" s="5"/>
      <c r="L67" s="5"/>
    </row>
    <row r="68" ht="15.75" customHeight="1">
      <c r="H68" s="5"/>
      <c r="L68" s="5"/>
    </row>
    <row r="69" ht="15.75" customHeight="1">
      <c r="H69" s="5"/>
      <c r="L69" s="5"/>
    </row>
    <row r="70" ht="15.75" customHeight="1">
      <c r="H70" s="5"/>
      <c r="L70" s="5"/>
    </row>
    <row r="71" ht="15.75" customHeight="1">
      <c r="H71" s="5"/>
      <c r="L71" s="5"/>
    </row>
    <row r="72" ht="15.75" customHeight="1">
      <c r="H72" s="5"/>
      <c r="L72" s="5"/>
    </row>
    <row r="73" ht="15.75" customHeight="1">
      <c r="H73" s="5"/>
      <c r="L73" s="5"/>
    </row>
    <row r="74" ht="15.75" customHeight="1">
      <c r="H74" s="5"/>
      <c r="L74" s="5"/>
    </row>
    <row r="75" ht="15.75" customHeight="1">
      <c r="H75" s="5"/>
      <c r="L75" s="5"/>
    </row>
    <row r="76" ht="15.75" customHeight="1">
      <c r="H76" s="5"/>
      <c r="L76" s="5"/>
    </row>
    <row r="77" ht="15.75" customHeight="1">
      <c r="H77" s="5"/>
      <c r="L77" s="5"/>
    </row>
    <row r="78" ht="15.75" customHeight="1">
      <c r="H78" s="5"/>
      <c r="L78" s="5"/>
    </row>
    <row r="79" ht="15.75" customHeight="1">
      <c r="H79" s="5"/>
      <c r="L79" s="5"/>
    </row>
    <row r="80" ht="15.75" customHeight="1">
      <c r="H80" s="5"/>
      <c r="L80" s="5"/>
    </row>
    <row r="81" ht="15.75" customHeight="1">
      <c r="H81" s="5"/>
      <c r="L81" s="5"/>
    </row>
    <row r="82" ht="15.75" customHeight="1">
      <c r="H82" s="5"/>
      <c r="L82" s="5"/>
    </row>
    <row r="83" ht="15.75" customHeight="1">
      <c r="H83" s="5"/>
      <c r="L83" s="5"/>
    </row>
    <row r="84" ht="15.75" customHeight="1">
      <c r="H84" s="5"/>
      <c r="L84" s="5"/>
    </row>
    <row r="85" ht="15.75" customHeight="1">
      <c r="H85" s="5"/>
      <c r="L85" s="5"/>
    </row>
    <row r="86" ht="15.75" customHeight="1">
      <c r="H86" s="5"/>
      <c r="L86" s="5"/>
    </row>
    <row r="87" ht="15.75" customHeight="1">
      <c r="H87" s="5"/>
      <c r="L87" s="5"/>
    </row>
    <row r="88" ht="15.75" customHeight="1">
      <c r="H88" s="5"/>
      <c r="L88" s="5"/>
    </row>
    <row r="89" ht="15.75" customHeight="1">
      <c r="H89" s="5"/>
      <c r="L89" s="5"/>
    </row>
    <row r="90" ht="15.75" customHeight="1">
      <c r="H90" s="5"/>
      <c r="L90" s="5"/>
    </row>
    <row r="91" ht="15.75" customHeight="1">
      <c r="H91" s="5"/>
      <c r="L91" s="5"/>
    </row>
    <row r="92" ht="15.75" customHeight="1">
      <c r="H92" s="5"/>
      <c r="L92" s="5"/>
    </row>
    <row r="93" ht="15.75" customHeight="1">
      <c r="H93" s="5"/>
      <c r="L93" s="5"/>
    </row>
    <row r="94" ht="15.75" customHeight="1">
      <c r="H94" s="5"/>
      <c r="L94" s="5"/>
    </row>
    <row r="95" ht="15.75" customHeight="1">
      <c r="H95" s="5"/>
      <c r="L95" s="5"/>
    </row>
    <row r="96" ht="15.75" customHeight="1">
      <c r="H96" s="5"/>
      <c r="L96" s="5"/>
    </row>
    <row r="97" ht="15.75" customHeight="1">
      <c r="H97" s="5"/>
      <c r="L97" s="5"/>
    </row>
    <row r="98" ht="15.75" customHeight="1">
      <c r="H98" s="5"/>
      <c r="L98" s="5"/>
    </row>
    <row r="99" ht="15.75" customHeight="1">
      <c r="H99" s="5"/>
      <c r="L99" s="5"/>
    </row>
    <row r="100" ht="15.75" customHeight="1">
      <c r="H100" s="5"/>
      <c r="L100" s="5"/>
    </row>
    <row r="101" ht="15.75" customHeight="1">
      <c r="H101" s="5"/>
      <c r="L101" s="5"/>
    </row>
    <row r="102" ht="15.75" customHeight="1">
      <c r="H102" s="5"/>
      <c r="L102" s="5"/>
    </row>
    <row r="103" ht="15.75" customHeight="1">
      <c r="H103" s="5"/>
      <c r="L103" s="5"/>
    </row>
    <row r="104" ht="15.75" customHeight="1">
      <c r="H104" s="5"/>
      <c r="L104" s="5"/>
    </row>
    <row r="105" ht="15.75" customHeight="1">
      <c r="H105" s="5"/>
      <c r="L105" s="5"/>
    </row>
    <row r="106" ht="15.75" customHeight="1">
      <c r="H106" s="5"/>
      <c r="L106" s="5"/>
    </row>
    <row r="107" ht="15.75" customHeight="1">
      <c r="H107" s="5"/>
      <c r="L107" s="5"/>
    </row>
    <row r="108" ht="15.75" customHeight="1">
      <c r="H108" s="5"/>
      <c r="L108" s="5"/>
    </row>
    <row r="109" ht="15.75" customHeight="1">
      <c r="H109" s="5"/>
      <c r="L109" s="5"/>
    </row>
    <row r="110" ht="15.75" customHeight="1">
      <c r="H110" s="5"/>
      <c r="L110" s="5"/>
    </row>
    <row r="111" ht="15.75" customHeight="1">
      <c r="H111" s="5"/>
      <c r="L111" s="5"/>
    </row>
    <row r="112" ht="15.75" customHeight="1">
      <c r="H112" s="5"/>
      <c r="L112" s="5"/>
    </row>
    <row r="113" ht="15.75" customHeight="1">
      <c r="H113" s="5"/>
      <c r="L113" s="5"/>
    </row>
    <row r="114" ht="15.75" customHeight="1">
      <c r="H114" s="5"/>
      <c r="L114" s="5"/>
    </row>
    <row r="115" ht="15.75" customHeight="1">
      <c r="H115" s="5"/>
      <c r="L115" s="5"/>
    </row>
    <row r="116" ht="15.75" customHeight="1">
      <c r="H116" s="5"/>
      <c r="L116" s="5"/>
    </row>
    <row r="117" ht="15.75" customHeight="1">
      <c r="H117" s="5"/>
      <c r="L117" s="5"/>
    </row>
    <row r="118" ht="15.75" customHeight="1">
      <c r="H118" s="5"/>
      <c r="L118" s="5"/>
    </row>
    <row r="119" ht="15.75" customHeight="1">
      <c r="H119" s="5"/>
      <c r="L119" s="5"/>
    </row>
    <row r="120" ht="15.75" customHeight="1">
      <c r="H120" s="5"/>
      <c r="L120" s="5"/>
    </row>
    <row r="121" ht="15.75" customHeight="1">
      <c r="H121" s="5"/>
      <c r="L121" s="5"/>
    </row>
    <row r="122" ht="15.75" customHeight="1">
      <c r="H122" s="5"/>
      <c r="L122" s="5"/>
    </row>
    <row r="123" ht="15.75" customHeight="1">
      <c r="H123" s="5"/>
      <c r="L123" s="5"/>
    </row>
    <row r="124" ht="15.75" customHeight="1">
      <c r="H124" s="5"/>
      <c r="L124" s="5"/>
    </row>
    <row r="125" ht="15.75" customHeight="1">
      <c r="H125" s="5"/>
      <c r="L125" s="5"/>
    </row>
    <row r="126" ht="15.75" customHeight="1">
      <c r="H126" s="5"/>
      <c r="L126" s="5"/>
    </row>
    <row r="127" ht="15.75" customHeight="1">
      <c r="H127" s="5"/>
      <c r="L127" s="5"/>
    </row>
    <row r="128" ht="15.75" customHeight="1">
      <c r="H128" s="5"/>
      <c r="L128" s="5"/>
    </row>
    <row r="129" ht="15.75" customHeight="1">
      <c r="H129" s="5"/>
      <c r="L129" s="5"/>
    </row>
    <row r="130" ht="15.75" customHeight="1">
      <c r="H130" s="5"/>
      <c r="L130" s="5"/>
    </row>
    <row r="131" ht="15.75" customHeight="1">
      <c r="H131" s="5"/>
      <c r="L131" s="5"/>
    </row>
    <row r="132" ht="15.75" customHeight="1">
      <c r="H132" s="5"/>
      <c r="L132" s="5"/>
    </row>
    <row r="133" ht="15.75" customHeight="1">
      <c r="H133" s="5"/>
      <c r="L133" s="5"/>
    </row>
    <row r="134" ht="15.75" customHeight="1">
      <c r="H134" s="5"/>
      <c r="L134" s="5"/>
    </row>
    <row r="135" ht="15.75" customHeight="1">
      <c r="H135" s="5"/>
      <c r="L135" s="5"/>
    </row>
    <row r="136" ht="15.75" customHeight="1">
      <c r="H136" s="5"/>
      <c r="L136" s="5"/>
    </row>
    <row r="137" ht="15.75" customHeight="1">
      <c r="H137" s="5"/>
      <c r="L137" s="5"/>
    </row>
    <row r="138" ht="15.75" customHeight="1">
      <c r="H138" s="5"/>
      <c r="L138" s="5"/>
    </row>
    <row r="139" ht="15.75" customHeight="1">
      <c r="H139" s="5"/>
      <c r="L139" s="5"/>
    </row>
    <row r="140" ht="15.75" customHeight="1">
      <c r="H140" s="5"/>
      <c r="L140" s="5"/>
    </row>
    <row r="141" ht="15.75" customHeight="1">
      <c r="H141" s="5"/>
      <c r="L141" s="5"/>
    </row>
    <row r="142" ht="15.75" customHeight="1">
      <c r="H142" s="5"/>
      <c r="L142" s="5"/>
    </row>
    <row r="143" ht="15.75" customHeight="1">
      <c r="H143" s="5"/>
      <c r="L143" s="5"/>
    </row>
    <row r="144" ht="15.75" customHeight="1">
      <c r="H144" s="5"/>
      <c r="L144" s="5"/>
    </row>
    <row r="145" ht="15.75" customHeight="1">
      <c r="H145" s="5"/>
      <c r="L145" s="5"/>
    </row>
    <row r="146" ht="15.75" customHeight="1">
      <c r="H146" s="5"/>
      <c r="L146" s="5"/>
    </row>
    <row r="147" ht="15.75" customHeight="1">
      <c r="H147" s="5"/>
      <c r="L147" s="5"/>
    </row>
    <row r="148" ht="15.75" customHeight="1">
      <c r="H148" s="5"/>
      <c r="L148" s="5"/>
    </row>
    <row r="149" ht="15.75" customHeight="1">
      <c r="H149" s="5"/>
      <c r="L149" s="5"/>
    </row>
    <row r="150" ht="15.75" customHeight="1">
      <c r="H150" s="5"/>
      <c r="L150" s="5"/>
    </row>
    <row r="151" ht="15.75" customHeight="1">
      <c r="H151" s="5"/>
      <c r="L151" s="5"/>
    </row>
    <row r="152" ht="15.75" customHeight="1">
      <c r="H152" s="5"/>
      <c r="L152" s="5"/>
    </row>
    <row r="153" ht="15.75" customHeight="1">
      <c r="H153" s="5"/>
      <c r="L153" s="5"/>
    </row>
    <row r="154" ht="15.75" customHeight="1">
      <c r="H154" s="5"/>
      <c r="L154" s="5"/>
    </row>
    <row r="155" ht="15.75" customHeight="1">
      <c r="H155" s="5"/>
      <c r="L155" s="5"/>
    </row>
    <row r="156" ht="15.75" customHeight="1">
      <c r="H156" s="5"/>
      <c r="L156" s="5"/>
    </row>
    <row r="157" ht="15.75" customHeight="1">
      <c r="H157" s="5"/>
      <c r="L157" s="5"/>
    </row>
    <row r="158" ht="15.75" customHeight="1">
      <c r="H158" s="5"/>
      <c r="L158" s="5"/>
    </row>
    <row r="159" ht="15.75" customHeight="1">
      <c r="H159" s="5"/>
      <c r="L159" s="5"/>
    </row>
    <row r="160" ht="15.75" customHeight="1">
      <c r="H160" s="5"/>
      <c r="L160" s="5"/>
    </row>
    <row r="161" ht="15.75" customHeight="1">
      <c r="H161" s="5"/>
      <c r="L161" s="5"/>
    </row>
    <row r="162" ht="15.75" customHeight="1">
      <c r="H162" s="5"/>
      <c r="L162" s="5"/>
    </row>
    <row r="163" ht="15.75" customHeight="1">
      <c r="H163" s="5"/>
      <c r="L163" s="5"/>
    </row>
    <row r="164" ht="15.75" customHeight="1">
      <c r="H164" s="5"/>
      <c r="L164" s="5"/>
    </row>
    <row r="165" ht="15.75" customHeight="1">
      <c r="H165" s="5"/>
      <c r="L165" s="5"/>
    </row>
    <row r="166" ht="15.75" customHeight="1">
      <c r="H166" s="5"/>
      <c r="L166" s="5"/>
    </row>
    <row r="167" ht="15.75" customHeight="1">
      <c r="H167" s="5"/>
      <c r="L167" s="5"/>
    </row>
    <row r="168" ht="15.75" customHeight="1">
      <c r="H168" s="5"/>
      <c r="L168" s="5"/>
    </row>
    <row r="169" ht="15.75" customHeight="1">
      <c r="H169" s="5"/>
      <c r="L169" s="5"/>
    </row>
    <row r="170" ht="15.75" customHeight="1">
      <c r="H170" s="5"/>
      <c r="L170" s="5"/>
    </row>
    <row r="171" ht="15.75" customHeight="1">
      <c r="H171" s="5"/>
      <c r="L171" s="5"/>
    </row>
    <row r="172" ht="15.75" customHeight="1">
      <c r="H172" s="5"/>
      <c r="L172" s="5"/>
    </row>
    <row r="173" ht="15.75" customHeight="1">
      <c r="H173" s="5"/>
      <c r="L173" s="5"/>
    </row>
    <row r="174" ht="15.75" customHeight="1">
      <c r="H174" s="5"/>
      <c r="L174" s="5"/>
    </row>
    <row r="175" ht="15.75" customHeight="1">
      <c r="H175" s="5"/>
      <c r="L175" s="5"/>
    </row>
    <row r="176" ht="15.75" customHeight="1">
      <c r="H176" s="5"/>
      <c r="L176" s="5"/>
    </row>
    <row r="177" ht="15.75" customHeight="1">
      <c r="H177" s="5"/>
      <c r="L177" s="5"/>
    </row>
    <row r="178" ht="15.75" customHeight="1">
      <c r="H178" s="5"/>
      <c r="L178" s="5"/>
    </row>
    <row r="179" ht="15.75" customHeight="1">
      <c r="H179" s="5"/>
      <c r="L179" s="5"/>
    </row>
    <row r="180" ht="15.75" customHeight="1">
      <c r="H180" s="5"/>
      <c r="L180" s="5"/>
    </row>
    <row r="181" ht="15.75" customHeight="1">
      <c r="H181" s="5"/>
      <c r="L181" s="5"/>
    </row>
    <row r="182" ht="15.75" customHeight="1">
      <c r="H182" s="5"/>
      <c r="L182" s="5"/>
    </row>
    <row r="183" ht="15.75" customHeight="1">
      <c r="H183" s="5"/>
      <c r="L183" s="5"/>
    </row>
    <row r="184" ht="15.75" customHeight="1">
      <c r="H184" s="5"/>
      <c r="L184" s="5"/>
    </row>
    <row r="185" ht="15.75" customHeight="1">
      <c r="H185" s="5"/>
      <c r="L185" s="5"/>
    </row>
    <row r="186" ht="15.75" customHeight="1">
      <c r="H186" s="5"/>
      <c r="L186" s="5"/>
    </row>
    <row r="187" ht="15.75" customHeight="1">
      <c r="H187" s="5"/>
      <c r="L187" s="5"/>
    </row>
    <row r="188" ht="15.75" customHeight="1">
      <c r="H188" s="5"/>
      <c r="L188" s="5"/>
    </row>
    <row r="189" ht="15.75" customHeight="1">
      <c r="H189" s="5"/>
      <c r="L189" s="5"/>
    </row>
    <row r="190" ht="15.75" customHeight="1">
      <c r="H190" s="5"/>
      <c r="L190" s="5"/>
    </row>
    <row r="191" ht="15.75" customHeight="1">
      <c r="H191" s="5"/>
      <c r="L191" s="5"/>
    </row>
    <row r="192" ht="15.75" customHeight="1">
      <c r="H192" s="5"/>
      <c r="L192" s="5"/>
    </row>
    <row r="193" ht="15.75" customHeight="1">
      <c r="H193" s="5"/>
      <c r="L193" s="5"/>
    </row>
    <row r="194" ht="15.75" customHeight="1">
      <c r="H194" s="5"/>
      <c r="L194" s="5"/>
    </row>
    <row r="195" ht="15.75" customHeight="1">
      <c r="H195" s="5"/>
      <c r="L195" s="5"/>
    </row>
    <row r="196" ht="15.75" customHeight="1">
      <c r="H196" s="5"/>
      <c r="L196" s="5"/>
    </row>
    <row r="197" ht="15.75" customHeight="1">
      <c r="H197" s="5"/>
      <c r="L197" s="5"/>
    </row>
    <row r="198" ht="15.75" customHeight="1">
      <c r="H198" s="5"/>
      <c r="L198" s="5"/>
    </row>
    <row r="199" ht="15.75" customHeight="1">
      <c r="H199" s="5"/>
      <c r="L199" s="5"/>
    </row>
    <row r="200" ht="15.75" customHeight="1">
      <c r="H200" s="5"/>
      <c r="L200" s="5"/>
    </row>
    <row r="201" ht="15.75" customHeight="1">
      <c r="H201" s="5"/>
      <c r="L201" s="5"/>
    </row>
    <row r="202" ht="15.75" customHeight="1">
      <c r="H202" s="5"/>
      <c r="L202" s="5"/>
    </row>
    <row r="203" ht="15.75" customHeight="1">
      <c r="H203" s="5"/>
      <c r="L203" s="5"/>
    </row>
    <row r="204" ht="15.75" customHeight="1">
      <c r="H204" s="5"/>
      <c r="L204" s="5"/>
    </row>
    <row r="205" ht="15.75" customHeight="1">
      <c r="H205" s="5"/>
      <c r="L205" s="5"/>
    </row>
    <row r="206" ht="15.75" customHeight="1">
      <c r="H206" s="5"/>
      <c r="L206" s="5"/>
    </row>
    <row r="207" ht="15.75" customHeight="1">
      <c r="H207" s="5"/>
      <c r="L207" s="5"/>
    </row>
    <row r="208" ht="15.75" customHeight="1">
      <c r="H208" s="5"/>
      <c r="L208" s="5"/>
    </row>
    <row r="209" ht="15.75" customHeight="1">
      <c r="H209" s="5"/>
      <c r="L209" s="5"/>
    </row>
    <row r="210" ht="15.75" customHeight="1">
      <c r="H210" s="5"/>
      <c r="L210" s="5"/>
    </row>
    <row r="211" ht="15.75" customHeight="1">
      <c r="H211" s="5"/>
      <c r="L211" s="5"/>
    </row>
    <row r="212" ht="15.75" customHeight="1">
      <c r="H212" s="5"/>
      <c r="L212" s="5"/>
    </row>
    <row r="213" ht="15.75" customHeight="1">
      <c r="H213" s="5"/>
      <c r="L213" s="5"/>
    </row>
    <row r="214" ht="15.75" customHeight="1">
      <c r="H214" s="5"/>
      <c r="L214" s="5"/>
    </row>
    <row r="215" ht="15.75" customHeight="1">
      <c r="H215" s="5"/>
      <c r="L215" s="5"/>
    </row>
    <row r="216" ht="15.75" customHeight="1">
      <c r="H216" s="5"/>
      <c r="L216" s="5"/>
    </row>
    <row r="217" ht="15.75" customHeight="1">
      <c r="H217" s="5"/>
      <c r="L217" s="5"/>
    </row>
    <row r="218" ht="15.75" customHeight="1">
      <c r="H218" s="5"/>
      <c r="L218" s="5"/>
    </row>
    <row r="219" ht="15.75" customHeight="1">
      <c r="H219" s="5"/>
      <c r="L219" s="5"/>
    </row>
    <row r="220" ht="15.75" customHeight="1">
      <c r="H220" s="5"/>
      <c r="L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M1:U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.38"/>
    <col customWidth="1" min="3" max="3" width="10.5"/>
    <col customWidth="1" min="4" max="4" width="12.63"/>
    <col customWidth="1" min="5" max="5" width="2.38"/>
    <col customWidth="1" min="6" max="6" width="10.5"/>
    <col customWidth="1" min="9" max="9" width="2.38"/>
    <col customWidth="1" min="10" max="11" width="14.63"/>
    <col customWidth="1" min="12" max="12" width="2.38"/>
    <col customWidth="1" min="15" max="15" width="2.38"/>
    <col customWidth="1" min="18" max="18" width="2.38"/>
    <col customWidth="1" min="21" max="21" width="2.38"/>
    <col customWidth="1" min="24" max="24" width="2.38"/>
    <col customWidth="1" min="27" max="27" width="2.38"/>
    <col customWidth="1" min="30" max="30" width="2.38"/>
    <col customWidth="1" min="33" max="33" width="2.38"/>
    <col customWidth="1" min="36" max="36" width="2.38"/>
  </cols>
  <sheetData>
    <row r="1" ht="15.75" customHeight="1">
      <c r="A1" s="34"/>
      <c r="B1" s="5"/>
      <c r="C1" s="34" t="s">
        <v>47</v>
      </c>
      <c r="E1" s="5"/>
      <c r="F1" s="35"/>
      <c r="G1" s="34" t="s">
        <v>48</v>
      </c>
    </row>
    <row r="2" ht="15.75" customHeight="1">
      <c r="A2" s="36" t="s">
        <v>49</v>
      </c>
      <c r="B2" s="5"/>
      <c r="C2" s="37" t="s">
        <v>50</v>
      </c>
      <c r="D2" s="38">
        <f>D3/12</f>
        <v>2.272727273</v>
      </c>
      <c r="E2" s="5"/>
      <c r="F2" s="37" t="s">
        <v>50</v>
      </c>
      <c r="G2" s="38">
        <f t="shared" ref="G2:H2" si="1">G3/12</f>
        <v>13.25757576</v>
      </c>
      <c r="H2" s="38">
        <f t="shared" si="1"/>
        <v>17.04545455</v>
      </c>
      <c r="I2" s="5"/>
      <c r="J2" s="38">
        <f t="shared" ref="J2:K2" si="2">J3/12</f>
        <v>1.893939394</v>
      </c>
      <c r="K2" s="38">
        <f t="shared" si="2"/>
        <v>3.787878788</v>
      </c>
      <c r="L2" s="5"/>
      <c r="M2" s="38">
        <f t="shared" ref="M2:N2" si="3">M3/12</f>
        <v>7.575757576</v>
      </c>
      <c r="N2" s="38">
        <f t="shared" si="3"/>
        <v>9.46969697</v>
      </c>
      <c r="O2" s="5"/>
      <c r="P2" s="38">
        <f t="shared" ref="P2:Q2" si="4">P3/12</f>
        <v>18.93939394</v>
      </c>
      <c r="Q2" s="38">
        <f t="shared" si="4"/>
        <v>37.87878788</v>
      </c>
      <c r="R2" s="5"/>
      <c r="S2" s="38">
        <f t="shared" ref="S2:T2" si="5">S3/12</f>
        <v>3.787878788</v>
      </c>
      <c r="T2" s="38">
        <f t="shared" si="5"/>
        <v>6.628787879</v>
      </c>
      <c r="U2" s="5"/>
      <c r="V2" s="38">
        <f t="shared" ref="V2:W2" si="6">V3/12</f>
        <v>0.946969697</v>
      </c>
      <c r="W2" s="38">
        <f t="shared" si="6"/>
        <v>2.840909091</v>
      </c>
      <c r="X2" s="5"/>
      <c r="Y2" s="38">
        <f t="shared" ref="Y2:Z2" si="7">Y3/12</f>
        <v>0.5681818182</v>
      </c>
      <c r="Z2" s="38">
        <f t="shared" si="7"/>
        <v>1.136363636</v>
      </c>
      <c r="AA2" s="5"/>
      <c r="AB2" s="38">
        <f t="shared" ref="AB2:AC2" si="8">AB3/12</f>
        <v>1.325757576</v>
      </c>
      <c r="AC2" s="38">
        <f t="shared" si="8"/>
        <v>2.651515152</v>
      </c>
      <c r="AD2" s="5"/>
      <c r="AE2" s="38">
        <f t="shared" ref="AE2:AF2" si="9">AE3/12</f>
        <v>0.946969697</v>
      </c>
      <c r="AF2" s="38">
        <f t="shared" si="9"/>
        <v>0.946969697</v>
      </c>
      <c r="AG2" s="5"/>
      <c r="AH2" s="38">
        <f t="shared" ref="AH2:AI2" si="10">AH3/12</f>
        <v>0.01893939394</v>
      </c>
      <c r="AI2" s="38">
        <f t="shared" si="10"/>
        <v>0.01893939394</v>
      </c>
      <c r="AJ2" s="5"/>
      <c r="AK2" s="38">
        <f t="shared" ref="AK2:AL2" si="11">AK3/12</f>
        <v>0.01893939394</v>
      </c>
      <c r="AL2" s="38">
        <f t="shared" si="11"/>
        <v>0.01893939394</v>
      </c>
    </row>
    <row r="3" ht="15.75" customHeight="1">
      <c r="B3" s="5"/>
      <c r="C3" s="37" t="s">
        <v>51</v>
      </c>
      <c r="D3" s="38">
        <f>D4/4.4</f>
        <v>27.27272727</v>
      </c>
      <c r="E3" s="5"/>
      <c r="F3" s="37" t="s">
        <v>51</v>
      </c>
      <c r="G3" s="38">
        <f t="shared" ref="G3:H3" si="12">G4/4.4</f>
        <v>159.0909091</v>
      </c>
      <c r="H3" s="38">
        <f t="shared" si="12"/>
        <v>204.5454545</v>
      </c>
      <c r="I3" s="5"/>
      <c r="J3" s="38">
        <f t="shared" ref="J3:K3" si="13">J4/4.4</f>
        <v>22.72727273</v>
      </c>
      <c r="K3" s="38">
        <f t="shared" si="13"/>
        <v>45.45454545</v>
      </c>
      <c r="L3" s="5"/>
      <c r="M3" s="38">
        <f t="shared" ref="M3:N3" si="14">M4/4.4</f>
        <v>90.90909091</v>
      </c>
      <c r="N3" s="38">
        <f t="shared" si="14"/>
        <v>113.6363636</v>
      </c>
      <c r="O3" s="5"/>
      <c r="P3" s="38">
        <f t="shared" ref="P3:Q3" si="15">P4/4.4</f>
        <v>227.2727273</v>
      </c>
      <c r="Q3" s="38">
        <f t="shared" si="15"/>
        <v>454.5454545</v>
      </c>
      <c r="R3" s="5"/>
      <c r="S3" s="38">
        <f t="shared" ref="S3:T3" si="16">S4/4.4</f>
        <v>45.45454545</v>
      </c>
      <c r="T3" s="38">
        <f t="shared" si="16"/>
        <v>79.54545455</v>
      </c>
      <c r="U3" s="5"/>
      <c r="V3" s="38">
        <f t="shared" ref="V3:W3" si="17">V4/4.4</f>
        <v>11.36363636</v>
      </c>
      <c r="W3" s="38">
        <f t="shared" si="17"/>
        <v>34.09090909</v>
      </c>
      <c r="X3" s="5"/>
      <c r="Y3" s="38">
        <f t="shared" ref="Y3:Z3" si="18">Y4/4.4</f>
        <v>6.818181818</v>
      </c>
      <c r="Z3" s="38">
        <f t="shared" si="18"/>
        <v>13.63636364</v>
      </c>
      <c r="AA3" s="5"/>
      <c r="AB3" s="38">
        <f t="shared" ref="AB3:AC3" si="19">AB4/4.4</f>
        <v>15.90909091</v>
      </c>
      <c r="AC3" s="38">
        <f t="shared" si="19"/>
        <v>31.81818182</v>
      </c>
      <c r="AD3" s="5"/>
      <c r="AE3" s="38">
        <f t="shared" ref="AE3:AF3" si="20">AE4/4.4</f>
        <v>11.36363636</v>
      </c>
      <c r="AF3" s="38">
        <f t="shared" si="20"/>
        <v>11.36363636</v>
      </c>
      <c r="AG3" s="5"/>
      <c r="AH3" s="38">
        <f t="shared" ref="AH3:AI3" si="21">AH4/4.4</f>
        <v>0.2272727273</v>
      </c>
      <c r="AI3" s="38">
        <f t="shared" si="21"/>
        <v>0.2272727273</v>
      </c>
      <c r="AJ3" s="5"/>
      <c r="AK3" s="38">
        <f t="shared" ref="AK3:AL3" si="22">AK4/4.4</f>
        <v>0.2272727273</v>
      </c>
      <c r="AL3" s="38">
        <f t="shared" si="22"/>
        <v>0.2272727273</v>
      </c>
    </row>
    <row r="4" ht="15.75" customHeight="1">
      <c r="B4" s="5"/>
      <c r="C4" s="37" t="s">
        <v>52</v>
      </c>
      <c r="D4" s="39">
        <v>120.0</v>
      </c>
      <c r="E4" s="5"/>
      <c r="F4" s="37" t="s">
        <v>52</v>
      </c>
      <c r="G4" s="39">
        <v>700.0</v>
      </c>
      <c r="H4" s="39">
        <v>900.0</v>
      </c>
      <c r="I4" s="5"/>
      <c r="J4" s="39">
        <v>100.0</v>
      </c>
      <c r="K4" s="39">
        <v>200.0</v>
      </c>
      <c r="L4" s="5"/>
      <c r="M4" s="39">
        <v>400.0</v>
      </c>
      <c r="N4" s="39">
        <v>500.0</v>
      </c>
      <c r="O4" s="5"/>
      <c r="P4" s="39">
        <v>1000.0</v>
      </c>
      <c r="Q4" s="39">
        <v>2000.0</v>
      </c>
      <c r="R4" s="5"/>
      <c r="S4" s="39">
        <v>200.0</v>
      </c>
      <c r="T4" s="39">
        <v>350.0</v>
      </c>
      <c r="U4" s="5"/>
      <c r="V4" s="39">
        <v>50.0</v>
      </c>
      <c r="W4" s="39">
        <v>150.0</v>
      </c>
      <c r="X4" s="5"/>
      <c r="Y4" s="39">
        <v>30.0</v>
      </c>
      <c r="Z4" s="39">
        <v>60.0</v>
      </c>
      <c r="AA4" s="5"/>
      <c r="AB4" s="39">
        <v>70.0</v>
      </c>
      <c r="AC4" s="39">
        <v>140.0</v>
      </c>
      <c r="AD4" s="5"/>
      <c r="AE4" s="39">
        <v>50.0</v>
      </c>
      <c r="AF4" s="39">
        <v>50.0</v>
      </c>
      <c r="AG4" s="5"/>
      <c r="AH4" s="39">
        <v>1.0</v>
      </c>
      <c r="AI4" s="39">
        <v>1.0</v>
      </c>
      <c r="AJ4" s="5"/>
      <c r="AK4" s="39">
        <v>1.0</v>
      </c>
      <c r="AL4" s="39">
        <v>1.0</v>
      </c>
    </row>
    <row r="5" ht="25.5" customHeight="1">
      <c r="B5" s="5"/>
      <c r="C5" s="40" t="s">
        <v>53</v>
      </c>
      <c r="D5" s="41">
        <v>139.0</v>
      </c>
      <c r="E5" s="5"/>
      <c r="F5" s="40" t="s">
        <v>53</v>
      </c>
      <c r="G5" s="39">
        <v>30.0</v>
      </c>
      <c r="H5" s="39">
        <v>60.0</v>
      </c>
      <c r="I5" s="5"/>
      <c r="J5" s="39">
        <v>1.0</v>
      </c>
      <c r="K5" s="39">
        <v>5.0</v>
      </c>
      <c r="L5" s="5"/>
      <c r="M5" s="39">
        <v>4.0</v>
      </c>
      <c r="N5" s="39">
        <v>8.0</v>
      </c>
      <c r="O5" s="5"/>
      <c r="P5" s="39">
        <v>30.0</v>
      </c>
      <c r="Q5" s="39">
        <v>60.0</v>
      </c>
      <c r="R5" s="5"/>
      <c r="S5" s="39">
        <v>5.0</v>
      </c>
      <c r="T5" s="39">
        <v>15.0</v>
      </c>
      <c r="U5" s="5"/>
      <c r="V5" s="39">
        <v>10.0</v>
      </c>
      <c r="W5" s="39">
        <v>25.0</v>
      </c>
      <c r="X5" s="5"/>
      <c r="Y5" s="39">
        <v>250.0</v>
      </c>
      <c r="Z5" s="39">
        <v>150.0</v>
      </c>
      <c r="AA5" s="5"/>
      <c r="AB5" s="39">
        <v>3.0</v>
      </c>
      <c r="AC5" s="39">
        <v>40.0</v>
      </c>
      <c r="AD5" s="5"/>
      <c r="AE5" s="39">
        <v>1.0</v>
      </c>
      <c r="AF5" s="39">
        <v>10.0</v>
      </c>
      <c r="AG5" s="5"/>
      <c r="AH5" s="39">
        <v>1.0</v>
      </c>
      <c r="AI5" s="39">
        <v>1.0</v>
      </c>
      <c r="AJ5" s="5"/>
      <c r="AK5" s="39">
        <v>1.0</v>
      </c>
      <c r="AL5" s="39">
        <v>1.0</v>
      </c>
    </row>
    <row r="6" ht="15.75" customHeight="1">
      <c r="A6" s="35"/>
      <c r="B6" s="5"/>
      <c r="C6" s="5"/>
      <c r="E6" s="5"/>
      <c r="F6" s="35"/>
      <c r="G6" s="35" t="s">
        <v>54</v>
      </c>
    </row>
    <row r="7" ht="15.75" customHeight="1">
      <c r="A7" s="42" t="s">
        <v>12</v>
      </c>
      <c r="B7" s="5"/>
      <c r="C7" s="10" t="s">
        <v>3</v>
      </c>
      <c r="D7" s="10" t="s">
        <v>55</v>
      </c>
      <c r="E7" s="5"/>
      <c r="F7" s="10" t="s">
        <v>3</v>
      </c>
      <c r="G7" s="10" t="s">
        <v>56</v>
      </c>
      <c r="H7" s="10" t="s">
        <v>57</v>
      </c>
      <c r="I7" s="43"/>
      <c r="J7" s="10" t="s">
        <v>58</v>
      </c>
      <c r="K7" s="10" t="s">
        <v>59</v>
      </c>
      <c r="L7" s="44"/>
      <c r="M7" s="10" t="s">
        <v>60</v>
      </c>
      <c r="N7" s="10" t="s">
        <v>61</v>
      </c>
      <c r="O7" s="44"/>
      <c r="P7" s="10" t="s">
        <v>62</v>
      </c>
      <c r="Q7" s="10" t="s">
        <v>63</v>
      </c>
      <c r="R7" s="44"/>
      <c r="S7" s="10" t="s">
        <v>64</v>
      </c>
      <c r="T7" s="10" t="s">
        <v>65</v>
      </c>
      <c r="U7" s="44"/>
      <c r="V7" s="10" t="s">
        <v>66</v>
      </c>
      <c r="W7" s="10" t="s">
        <v>67</v>
      </c>
      <c r="X7" s="44"/>
      <c r="Y7" s="10" t="s">
        <v>68</v>
      </c>
      <c r="Z7" s="10" t="s">
        <v>69</v>
      </c>
      <c r="AA7" s="44"/>
      <c r="AB7" s="10" t="s">
        <v>70</v>
      </c>
      <c r="AC7" s="10" t="s">
        <v>71</v>
      </c>
      <c r="AD7" s="44"/>
      <c r="AE7" s="10" t="s">
        <v>72</v>
      </c>
      <c r="AF7" s="10" t="s">
        <v>73</v>
      </c>
      <c r="AG7" s="44"/>
      <c r="AH7" s="10"/>
      <c r="AI7" s="10"/>
      <c r="AJ7" s="44"/>
      <c r="AK7" s="45"/>
      <c r="AL7" s="45"/>
    </row>
    <row r="8" ht="15.75" customHeight="1">
      <c r="A8" s="21">
        <f>'Soul Energy Tiers'!K3</f>
        <v>400</v>
      </c>
      <c r="B8" s="5"/>
      <c r="C8" s="15" t="s">
        <v>13</v>
      </c>
      <c r="D8" s="46">
        <f t="shared" ref="D8:D24" si="34">($A8/D$5)/365</f>
        <v>0.007884103676</v>
      </c>
      <c r="E8" s="5"/>
      <c r="F8" s="15" t="s">
        <v>13</v>
      </c>
      <c r="G8" s="46">
        <f t="shared" ref="G8:H8" si="23">($A8/G$5)/365</f>
        <v>0.03652968037</v>
      </c>
      <c r="H8" s="46">
        <f t="shared" si="23"/>
        <v>0.01826484018</v>
      </c>
      <c r="I8" s="47"/>
      <c r="J8" s="46">
        <f t="shared" ref="J8:K8" si="24">($A8/J$5)/365</f>
        <v>1.095890411</v>
      </c>
      <c r="K8" s="46">
        <f t="shared" si="24"/>
        <v>0.2191780822</v>
      </c>
      <c r="L8" s="48"/>
      <c r="M8" s="46">
        <f t="shared" ref="M8:N8" si="25">($A8/M$5)/365</f>
        <v>0.2739726027</v>
      </c>
      <c r="N8" s="46">
        <f t="shared" si="25"/>
        <v>0.1369863014</v>
      </c>
      <c r="O8" s="48"/>
      <c r="P8" s="46">
        <f t="shared" ref="P8:Q8" si="26">($A8/P$5)/365</f>
        <v>0.03652968037</v>
      </c>
      <c r="Q8" s="46">
        <f t="shared" si="26"/>
        <v>0.01826484018</v>
      </c>
      <c r="R8" s="48"/>
      <c r="S8" s="49">
        <f t="shared" ref="S8:T8" si="27">($A8/S$5)/365</f>
        <v>0.2191780822</v>
      </c>
      <c r="T8" s="50">
        <f t="shared" si="27"/>
        <v>0.07305936073</v>
      </c>
      <c r="U8" s="48"/>
      <c r="V8" s="50">
        <f t="shared" ref="V8:W8" si="28">($A8/V$5)/365</f>
        <v>0.1095890411</v>
      </c>
      <c r="W8" s="50">
        <f t="shared" si="28"/>
        <v>0.04383561644</v>
      </c>
      <c r="X8" s="48"/>
      <c r="Y8" s="50">
        <f t="shared" ref="Y8:Z8" si="29">($A8/Y$5)/365</f>
        <v>0.004383561644</v>
      </c>
      <c r="Z8" s="50">
        <f t="shared" si="29"/>
        <v>0.007305936073</v>
      </c>
      <c r="AA8" s="48"/>
      <c r="AB8" s="50">
        <f t="shared" ref="AB8:AC8" si="30">($A8/AB$5)/365</f>
        <v>0.3652968037</v>
      </c>
      <c r="AC8" s="50">
        <f t="shared" si="30"/>
        <v>0.02739726027</v>
      </c>
      <c r="AD8" s="48"/>
      <c r="AE8" s="50">
        <f t="shared" ref="AE8:AF8" si="31">($A8/AE$5)/365</f>
        <v>1.095890411</v>
      </c>
      <c r="AF8" s="50">
        <f t="shared" si="31"/>
        <v>0.1095890411</v>
      </c>
      <c r="AG8" s="48"/>
      <c r="AH8" s="50">
        <f t="shared" ref="AH8:AI8" si="32">($A8/AH$5)/365</f>
        <v>1.095890411</v>
      </c>
      <c r="AI8" s="50">
        <f t="shared" si="32"/>
        <v>1.095890411</v>
      </c>
      <c r="AJ8" s="48"/>
      <c r="AK8" s="50">
        <f t="shared" ref="AK8:AL8" si="33">($A8/AK$5)/365</f>
        <v>1.095890411</v>
      </c>
      <c r="AL8" s="50">
        <f t="shared" si="33"/>
        <v>1.095890411</v>
      </c>
    </row>
    <row r="9" ht="15.75" customHeight="1">
      <c r="A9" s="21">
        <f>'Soul Energy Tiers'!K4</f>
        <v>1200</v>
      </c>
      <c r="B9" s="5"/>
      <c r="C9" s="24" t="s">
        <v>15</v>
      </c>
      <c r="D9" s="46">
        <f t="shared" si="34"/>
        <v>0.02365231103</v>
      </c>
      <c r="E9" s="5"/>
      <c r="F9" s="24" t="s">
        <v>15</v>
      </c>
      <c r="G9" s="46">
        <f t="shared" ref="G9:H9" si="35">($A9/G$5)/365</f>
        <v>0.1095890411</v>
      </c>
      <c r="H9" s="46">
        <f t="shared" si="35"/>
        <v>0.05479452055</v>
      </c>
      <c r="I9" s="47"/>
      <c r="J9" s="46">
        <f t="shared" ref="J9:K9" si="36">($A9/J$5)/365</f>
        <v>3.287671233</v>
      </c>
      <c r="K9" s="46">
        <f t="shared" si="36"/>
        <v>0.6575342466</v>
      </c>
      <c r="L9" s="48"/>
      <c r="M9" s="46">
        <f t="shared" ref="M9:N9" si="37">($A9/M$5)/365</f>
        <v>0.8219178082</v>
      </c>
      <c r="N9" s="46">
        <f t="shared" si="37"/>
        <v>0.4109589041</v>
      </c>
      <c r="O9" s="48"/>
      <c r="P9" s="46">
        <f t="shared" ref="P9:Q9" si="38">($A9/P$5)/365</f>
        <v>0.1095890411</v>
      </c>
      <c r="Q9" s="46">
        <f t="shared" si="38"/>
        <v>0.05479452055</v>
      </c>
      <c r="R9" s="48"/>
      <c r="S9" s="49">
        <f t="shared" ref="S9:T9" si="39">($A9/S$5)/365</f>
        <v>0.6575342466</v>
      </c>
      <c r="T9" s="50">
        <f t="shared" si="39"/>
        <v>0.2191780822</v>
      </c>
      <c r="U9" s="48"/>
      <c r="V9" s="50">
        <f t="shared" ref="V9:W9" si="40">($A9/V$5)/365</f>
        <v>0.3287671233</v>
      </c>
      <c r="W9" s="50">
        <f t="shared" si="40"/>
        <v>0.1315068493</v>
      </c>
      <c r="X9" s="48"/>
      <c r="Y9" s="50">
        <f t="shared" ref="Y9:Z9" si="41">($A9/Y$5)/365</f>
        <v>0.01315068493</v>
      </c>
      <c r="Z9" s="50">
        <f t="shared" si="41"/>
        <v>0.02191780822</v>
      </c>
      <c r="AA9" s="48"/>
      <c r="AB9" s="50">
        <f t="shared" ref="AB9:AC9" si="42">($A9/AB$5)/365</f>
        <v>1.095890411</v>
      </c>
      <c r="AC9" s="50">
        <f t="shared" si="42"/>
        <v>0.08219178082</v>
      </c>
      <c r="AD9" s="48"/>
      <c r="AE9" s="50">
        <f t="shared" ref="AE9:AF9" si="43">($A9/AE$5)/365</f>
        <v>3.287671233</v>
      </c>
      <c r="AF9" s="50">
        <f t="shared" si="43"/>
        <v>0.3287671233</v>
      </c>
      <c r="AG9" s="48"/>
      <c r="AH9" s="50">
        <f t="shared" ref="AH9:AI9" si="44">($A9/AH$5)/365</f>
        <v>3.287671233</v>
      </c>
      <c r="AI9" s="50">
        <f t="shared" si="44"/>
        <v>3.287671233</v>
      </c>
      <c r="AJ9" s="48"/>
      <c r="AK9" s="50">
        <f t="shared" ref="AK9:AL9" si="45">($A9/AK$5)/365</f>
        <v>3.287671233</v>
      </c>
      <c r="AL9" s="50">
        <f t="shared" si="45"/>
        <v>3.287671233</v>
      </c>
    </row>
    <row r="10" ht="15.75" customHeight="1">
      <c r="A10" s="21">
        <f>'Soul Energy Tiers'!K5</f>
        <v>2800</v>
      </c>
      <c r="B10" s="5"/>
      <c r="C10" s="24" t="s">
        <v>17</v>
      </c>
      <c r="D10" s="46">
        <f t="shared" si="34"/>
        <v>0.05518872573</v>
      </c>
      <c r="E10" s="5"/>
      <c r="F10" s="24" t="s">
        <v>17</v>
      </c>
      <c r="G10" s="46">
        <f t="shared" ref="G10:H10" si="46">($A10/G$5)/365</f>
        <v>0.2557077626</v>
      </c>
      <c r="H10" s="46">
        <f t="shared" si="46"/>
        <v>0.1278538813</v>
      </c>
      <c r="I10" s="47"/>
      <c r="J10" s="46">
        <f t="shared" ref="J10:K10" si="47">($A10/J$5)/365</f>
        <v>7.671232877</v>
      </c>
      <c r="K10" s="46">
        <f t="shared" si="47"/>
        <v>1.534246575</v>
      </c>
      <c r="L10" s="48"/>
      <c r="M10" s="46">
        <f t="shared" ref="M10:N10" si="48">($A10/M$5)/365</f>
        <v>1.917808219</v>
      </c>
      <c r="N10" s="46">
        <f t="shared" si="48"/>
        <v>0.9589041096</v>
      </c>
      <c r="O10" s="48"/>
      <c r="P10" s="46">
        <f t="shared" ref="P10:Q10" si="49">($A10/P$5)/365</f>
        <v>0.2557077626</v>
      </c>
      <c r="Q10" s="46">
        <f t="shared" si="49"/>
        <v>0.1278538813</v>
      </c>
      <c r="R10" s="48"/>
      <c r="S10" s="49">
        <f t="shared" ref="S10:T10" si="50">($A10/S$5)/365</f>
        <v>1.534246575</v>
      </c>
      <c r="T10" s="50">
        <f t="shared" si="50"/>
        <v>0.5114155251</v>
      </c>
      <c r="U10" s="48"/>
      <c r="V10" s="50">
        <f t="shared" ref="V10:W10" si="51">($A10/V$5)/365</f>
        <v>0.7671232877</v>
      </c>
      <c r="W10" s="50">
        <f t="shared" si="51"/>
        <v>0.3068493151</v>
      </c>
      <c r="X10" s="48"/>
      <c r="Y10" s="50">
        <f t="shared" ref="Y10:Z10" si="52">($A10/Y$5)/365</f>
        <v>0.03068493151</v>
      </c>
      <c r="Z10" s="50">
        <f t="shared" si="52"/>
        <v>0.05114155251</v>
      </c>
      <c r="AA10" s="48"/>
      <c r="AB10" s="50">
        <f t="shared" ref="AB10:AC10" si="53">($A10/AB$5)/365</f>
        <v>2.557077626</v>
      </c>
      <c r="AC10" s="50">
        <f t="shared" si="53"/>
        <v>0.1917808219</v>
      </c>
      <c r="AD10" s="48"/>
      <c r="AE10" s="50">
        <f t="shared" ref="AE10:AF10" si="54">($A10/AE$5)/365</f>
        <v>7.671232877</v>
      </c>
      <c r="AF10" s="50">
        <f t="shared" si="54"/>
        <v>0.7671232877</v>
      </c>
      <c r="AG10" s="48"/>
      <c r="AH10" s="50">
        <f t="shared" ref="AH10:AI10" si="55">($A10/AH$5)/365</f>
        <v>7.671232877</v>
      </c>
      <c r="AI10" s="50">
        <f t="shared" si="55"/>
        <v>7.671232877</v>
      </c>
      <c r="AJ10" s="48"/>
      <c r="AK10" s="50">
        <f t="shared" ref="AK10:AL10" si="56">($A10/AK$5)/365</f>
        <v>7.671232877</v>
      </c>
      <c r="AL10" s="50">
        <f t="shared" si="56"/>
        <v>7.671232877</v>
      </c>
    </row>
    <row r="11" ht="15.75" customHeight="1">
      <c r="A11" s="21">
        <f>'Soul Energy Tiers'!K6</f>
        <v>6000</v>
      </c>
      <c r="B11" s="5"/>
      <c r="C11" s="24" t="s">
        <v>19</v>
      </c>
      <c r="D11" s="46">
        <f t="shared" si="34"/>
        <v>0.1182615551</v>
      </c>
      <c r="E11" s="5"/>
      <c r="F11" s="24" t="s">
        <v>19</v>
      </c>
      <c r="G11" s="46">
        <f t="shared" ref="G11:H11" si="57">($A11/G$5)/365</f>
        <v>0.5479452055</v>
      </c>
      <c r="H11" s="46">
        <f t="shared" si="57"/>
        <v>0.2739726027</v>
      </c>
      <c r="I11" s="47"/>
      <c r="J11" s="46">
        <f t="shared" ref="J11:K11" si="58">($A11/J$5)/365</f>
        <v>16.43835616</v>
      </c>
      <c r="K11" s="46">
        <f t="shared" si="58"/>
        <v>3.287671233</v>
      </c>
      <c r="L11" s="48"/>
      <c r="M11" s="46">
        <f t="shared" ref="M11:N11" si="59">($A11/M$5)/365</f>
        <v>4.109589041</v>
      </c>
      <c r="N11" s="46">
        <f t="shared" si="59"/>
        <v>2.054794521</v>
      </c>
      <c r="O11" s="48"/>
      <c r="P11" s="46">
        <f t="shared" ref="P11:Q11" si="60">($A11/P$5)/365</f>
        <v>0.5479452055</v>
      </c>
      <c r="Q11" s="46">
        <f t="shared" si="60"/>
        <v>0.2739726027</v>
      </c>
      <c r="R11" s="48"/>
      <c r="S11" s="49">
        <f t="shared" ref="S11:T11" si="61">($A11/S$5)/365</f>
        <v>3.287671233</v>
      </c>
      <c r="T11" s="50">
        <f t="shared" si="61"/>
        <v>1.095890411</v>
      </c>
      <c r="U11" s="48"/>
      <c r="V11" s="50">
        <f t="shared" ref="V11:W11" si="62">($A11/V$5)/365</f>
        <v>1.643835616</v>
      </c>
      <c r="W11" s="50">
        <f t="shared" si="62"/>
        <v>0.6575342466</v>
      </c>
      <c r="X11" s="48"/>
      <c r="Y11" s="50">
        <f t="shared" ref="Y11:Z11" si="63">($A11/Y$5)/365</f>
        <v>0.06575342466</v>
      </c>
      <c r="Z11" s="50">
        <f t="shared" si="63"/>
        <v>0.1095890411</v>
      </c>
      <c r="AA11" s="48"/>
      <c r="AB11" s="50">
        <f t="shared" ref="AB11:AC11" si="64">($A11/AB$5)/365</f>
        <v>5.479452055</v>
      </c>
      <c r="AC11" s="50">
        <f t="shared" si="64"/>
        <v>0.4109589041</v>
      </c>
      <c r="AD11" s="48"/>
      <c r="AE11" s="50">
        <f t="shared" ref="AE11:AF11" si="65">($A11/AE$5)/365</f>
        <v>16.43835616</v>
      </c>
      <c r="AF11" s="50">
        <f t="shared" si="65"/>
        <v>1.643835616</v>
      </c>
      <c r="AG11" s="48"/>
      <c r="AH11" s="50">
        <f t="shared" ref="AH11:AI11" si="66">($A11/AH$5)/365</f>
        <v>16.43835616</v>
      </c>
      <c r="AI11" s="50">
        <f t="shared" si="66"/>
        <v>16.43835616</v>
      </c>
      <c r="AJ11" s="48"/>
      <c r="AK11" s="50">
        <f t="shared" ref="AK11:AL11" si="67">($A11/AK$5)/365</f>
        <v>16.43835616</v>
      </c>
      <c r="AL11" s="50">
        <f t="shared" si="67"/>
        <v>16.43835616</v>
      </c>
    </row>
    <row r="12" ht="15.75" customHeight="1">
      <c r="A12" s="21">
        <f>'Soul Energy Tiers'!K7</f>
        <v>12400</v>
      </c>
      <c r="B12" s="5"/>
      <c r="C12" s="24" t="s">
        <v>21</v>
      </c>
      <c r="D12" s="46">
        <f t="shared" si="34"/>
        <v>0.244407214</v>
      </c>
      <c r="E12" s="5"/>
      <c r="F12" s="24" t="s">
        <v>21</v>
      </c>
      <c r="G12" s="46">
        <f t="shared" ref="G12:H12" si="68">($A12/G$5)/365</f>
        <v>1.132420091</v>
      </c>
      <c r="H12" s="46">
        <f t="shared" si="68"/>
        <v>0.5662100457</v>
      </c>
      <c r="I12" s="47"/>
      <c r="J12" s="46">
        <f t="shared" ref="J12:K12" si="69">($A12/J$5)/365</f>
        <v>33.97260274</v>
      </c>
      <c r="K12" s="46">
        <f t="shared" si="69"/>
        <v>6.794520548</v>
      </c>
      <c r="L12" s="48"/>
      <c r="M12" s="46">
        <f t="shared" ref="M12:N12" si="70">($A12/M$5)/365</f>
        <v>8.493150685</v>
      </c>
      <c r="N12" s="46">
        <f t="shared" si="70"/>
        <v>4.246575342</v>
      </c>
      <c r="O12" s="48"/>
      <c r="P12" s="46">
        <f t="shared" ref="P12:Q12" si="71">($A12/P$5)/365</f>
        <v>1.132420091</v>
      </c>
      <c r="Q12" s="46">
        <f t="shared" si="71"/>
        <v>0.5662100457</v>
      </c>
      <c r="R12" s="48"/>
      <c r="S12" s="49">
        <f t="shared" ref="S12:T12" si="72">($A12/S$5)/365</f>
        <v>6.794520548</v>
      </c>
      <c r="T12" s="50">
        <f t="shared" si="72"/>
        <v>2.264840183</v>
      </c>
      <c r="U12" s="48"/>
      <c r="V12" s="50">
        <f t="shared" ref="V12:W12" si="73">($A12/V$5)/365</f>
        <v>3.397260274</v>
      </c>
      <c r="W12" s="50">
        <f t="shared" si="73"/>
        <v>1.35890411</v>
      </c>
      <c r="X12" s="48"/>
      <c r="Y12" s="50">
        <f t="shared" ref="Y12:Z12" si="74">($A12/Y$5)/365</f>
        <v>0.135890411</v>
      </c>
      <c r="Z12" s="50">
        <f t="shared" si="74"/>
        <v>0.2264840183</v>
      </c>
      <c r="AA12" s="48"/>
      <c r="AB12" s="50">
        <f t="shared" ref="AB12:AC12" si="75">($A12/AB$5)/365</f>
        <v>11.32420091</v>
      </c>
      <c r="AC12" s="50">
        <f t="shared" si="75"/>
        <v>0.8493150685</v>
      </c>
      <c r="AD12" s="48"/>
      <c r="AE12" s="50">
        <f t="shared" ref="AE12:AF12" si="76">($A12/AE$5)/365</f>
        <v>33.97260274</v>
      </c>
      <c r="AF12" s="50">
        <f t="shared" si="76"/>
        <v>3.397260274</v>
      </c>
      <c r="AG12" s="48"/>
      <c r="AH12" s="50">
        <f t="shared" ref="AH12:AI12" si="77">($A12/AH$5)/365</f>
        <v>33.97260274</v>
      </c>
      <c r="AI12" s="50">
        <f t="shared" si="77"/>
        <v>33.97260274</v>
      </c>
      <c r="AJ12" s="48"/>
      <c r="AK12" s="50">
        <f t="shared" ref="AK12:AL12" si="78">($A12/AK$5)/365</f>
        <v>33.97260274</v>
      </c>
      <c r="AL12" s="50">
        <f t="shared" si="78"/>
        <v>33.97260274</v>
      </c>
    </row>
    <row r="13" ht="15.75" customHeight="1">
      <c r="A13" s="21">
        <f>'Soul Energy Tiers'!K8</f>
        <v>25200</v>
      </c>
      <c r="B13" s="5"/>
      <c r="C13" s="24" t="s">
        <v>23</v>
      </c>
      <c r="D13" s="51">
        <f t="shared" si="34"/>
        <v>0.4966985316</v>
      </c>
      <c r="E13" s="5"/>
      <c r="F13" s="24" t="s">
        <v>23</v>
      </c>
      <c r="G13" s="46">
        <f t="shared" ref="G13:H13" si="79">($A13/G$5)/365</f>
        <v>2.301369863</v>
      </c>
      <c r="H13" s="46">
        <f t="shared" si="79"/>
        <v>1.150684932</v>
      </c>
      <c r="I13" s="47"/>
      <c r="J13" s="46">
        <f t="shared" ref="J13:K13" si="80">($A13/J$5)/365</f>
        <v>69.04109589</v>
      </c>
      <c r="K13" s="46">
        <f t="shared" si="80"/>
        <v>13.80821918</v>
      </c>
      <c r="L13" s="48"/>
      <c r="M13" s="46">
        <f t="shared" ref="M13:N13" si="81">($A13/M$5)/365</f>
        <v>17.26027397</v>
      </c>
      <c r="N13" s="46">
        <f t="shared" si="81"/>
        <v>8.630136986</v>
      </c>
      <c r="O13" s="48"/>
      <c r="P13" s="46">
        <f t="shared" ref="P13:Q13" si="82">($A13/P$5)/365</f>
        <v>2.301369863</v>
      </c>
      <c r="Q13" s="46">
        <f t="shared" si="82"/>
        <v>1.150684932</v>
      </c>
      <c r="R13" s="48"/>
      <c r="S13" s="49">
        <f t="shared" ref="S13:T13" si="83">($A13/S$5)/365</f>
        <v>13.80821918</v>
      </c>
      <c r="T13" s="50">
        <f t="shared" si="83"/>
        <v>4.602739726</v>
      </c>
      <c r="U13" s="48"/>
      <c r="V13" s="50">
        <f t="shared" ref="V13:W13" si="84">($A13/V$5)/365</f>
        <v>6.904109589</v>
      </c>
      <c r="W13" s="50">
        <f t="shared" si="84"/>
        <v>2.761643836</v>
      </c>
      <c r="X13" s="48"/>
      <c r="Y13" s="50">
        <f t="shared" ref="Y13:Z13" si="85">($A13/Y$5)/365</f>
        <v>0.2761643836</v>
      </c>
      <c r="Z13" s="50">
        <f t="shared" si="85"/>
        <v>0.4602739726</v>
      </c>
      <c r="AA13" s="48"/>
      <c r="AB13" s="50">
        <f t="shared" ref="AB13:AC13" si="86">($A13/AB$5)/365</f>
        <v>23.01369863</v>
      </c>
      <c r="AC13" s="50">
        <f t="shared" si="86"/>
        <v>1.726027397</v>
      </c>
      <c r="AD13" s="48"/>
      <c r="AE13" s="50">
        <f t="shared" ref="AE13:AF13" si="87">($A13/AE$5)/365</f>
        <v>69.04109589</v>
      </c>
      <c r="AF13" s="50">
        <f t="shared" si="87"/>
        <v>6.904109589</v>
      </c>
      <c r="AG13" s="48"/>
      <c r="AH13" s="50">
        <f t="shared" ref="AH13:AI13" si="88">($A13/AH$5)/365</f>
        <v>69.04109589</v>
      </c>
      <c r="AI13" s="50">
        <f t="shared" si="88"/>
        <v>69.04109589</v>
      </c>
      <c r="AJ13" s="48"/>
      <c r="AK13" s="50">
        <f t="shared" ref="AK13:AL13" si="89">($A13/AK$5)/365</f>
        <v>69.04109589</v>
      </c>
      <c r="AL13" s="50">
        <f t="shared" si="89"/>
        <v>69.04109589</v>
      </c>
    </row>
    <row r="14" ht="15.75" customHeight="1">
      <c r="A14" s="21">
        <f>'Soul Energy Tiers'!K9</f>
        <v>50800</v>
      </c>
      <c r="B14" s="5"/>
      <c r="C14" s="24" t="s">
        <v>25</v>
      </c>
      <c r="D14" s="46">
        <f t="shared" si="34"/>
        <v>1.001281167</v>
      </c>
      <c r="E14" s="5"/>
      <c r="F14" s="24" t="s">
        <v>25</v>
      </c>
      <c r="G14" s="46">
        <f t="shared" ref="G14:H14" si="90">($A14/G$5)/365</f>
        <v>4.639269406</v>
      </c>
      <c r="H14" s="46">
        <f t="shared" si="90"/>
        <v>2.319634703</v>
      </c>
      <c r="I14" s="47"/>
      <c r="J14" s="46">
        <f t="shared" ref="J14:K14" si="91">($A14/J$5)/365</f>
        <v>139.1780822</v>
      </c>
      <c r="K14" s="46">
        <f t="shared" si="91"/>
        <v>27.83561644</v>
      </c>
      <c r="L14" s="48"/>
      <c r="M14" s="46">
        <f t="shared" ref="M14:N14" si="92">($A14/M$5)/365</f>
        <v>34.79452055</v>
      </c>
      <c r="N14" s="46">
        <f t="shared" si="92"/>
        <v>17.39726027</v>
      </c>
      <c r="O14" s="48"/>
      <c r="P14" s="46">
        <f t="shared" ref="P14:Q14" si="93">($A14/P$5)/365</f>
        <v>4.639269406</v>
      </c>
      <c r="Q14" s="46">
        <f t="shared" si="93"/>
        <v>2.319634703</v>
      </c>
      <c r="R14" s="48"/>
      <c r="S14" s="49">
        <f t="shared" ref="S14:T14" si="94">($A14/S$5)/365</f>
        <v>27.83561644</v>
      </c>
      <c r="T14" s="50">
        <f t="shared" si="94"/>
        <v>9.278538813</v>
      </c>
      <c r="U14" s="48"/>
      <c r="V14" s="50">
        <f t="shared" ref="V14:W14" si="95">($A14/V$5)/365</f>
        <v>13.91780822</v>
      </c>
      <c r="W14" s="50">
        <f t="shared" si="95"/>
        <v>5.567123288</v>
      </c>
      <c r="X14" s="48"/>
      <c r="Y14" s="50">
        <f t="shared" ref="Y14:Z14" si="96">($A14/Y$5)/365</f>
        <v>0.5567123288</v>
      </c>
      <c r="Z14" s="50">
        <f t="shared" si="96"/>
        <v>0.9278538813</v>
      </c>
      <c r="AA14" s="48"/>
      <c r="AB14" s="50">
        <f t="shared" ref="AB14:AC14" si="97">($A14/AB$5)/365</f>
        <v>46.39269406</v>
      </c>
      <c r="AC14" s="50">
        <f t="shared" si="97"/>
        <v>3.479452055</v>
      </c>
      <c r="AD14" s="48"/>
      <c r="AE14" s="50">
        <f t="shared" ref="AE14:AF14" si="98">($A14/AE$5)/365</f>
        <v>139.1780822</v>
      </c>
      <c r="AF14" s="50">
        <f t="shared" si="98"/>
        <v>13.91780822</v>
      </c>
      <c r="AG14" s="48"/>
      <c r="AH14" s="50">
        <f t="shared" ref="AH14:AI14" si="99">($A14/AH$5)/365</f>
        <v>139.1780822</v>
      </c>
      <c r="AI14" s="50">
        <f t="shared" si="99"/>
        <v>139.1780822</v>
      </c>
      <c r="AJ14" s="48"/>
      <c r="AK14" s="50">
        <f t="shared" ref="AK14:AL14" si="100">($A14/AK$5)/365</f>
        <v>139.1780822</v>
      </c>
      <c r="AL14" s="50">
        <f t="shared" si="100"/>
        <v>139.1780822</v>
      </c>
    </row>
    <row r="15" ht="15.75" customHeight="1">
      <c r="A15" s="21">
        <f>'Soul Energy Tiers'!K10</f>
        <v>102000</v>
      </c>
      <c r="B15" s="5"/>
      <c r="C15" s="24" t="s">
        <v>27</v>
      </c>
      <c r="D15" s="46">
        <f t="shared" si="34"/>
        <v>2.010446437</v>
      </c>
      <c r="E15" s="5"/>
      <c r="F15" s="24" t="s">
        <v>27</v>
      </c>
      <c r="G15" s="46">
        <f t="shared" ref="G15:H15" si="101">($A15/G$5)/365</f>
        <v>9.315068493</v>
      </c>
      <c r="H15" s="46">
        <f t="shared" si="101"/>
        <v>4.657534247</v>
      </c>
      <c r="I15" s="47"/>
      <c r="J15" s="46">
        <f t="shared" ref="J15:K15" si="102">($A15/J$5)/365</f>
        <v>279.4520548</v>
      </c>
      <c r="K15" s="46">
        <f t="shared" si="102"/>
        <v>55.89041096</v>
      </c>
      <c r="L15" s="48"/>
      <c r="M15" s="46">
        <f t="shared" ref="M15:N15" si="103">($A15/M$5)/365</f>
        <v>69.8630137</v>
      </c>
      <c r="N15" s="46">
        <f t="shared" si="103"/>
        <v>34.93150685</v>
      </c>
      <c r="O15" s="48"/>
      <c r="P15" s="46">
        <f t="shared" ref="P15:Q15" si="104">($A15/P$5)/365</f>
        <v>9.315068493</v>
      </c>
      <c r="Q15" s="46">
        <f t="shared" si="104"/>
        <v>4.657534247</v>
      </c>
      <c r="R15" s="48"/>
      <c r="S15" s="49">
        <f t="shared" ref="S15:T15" si="105">($A15/S$5)/365</f>
        <v>55.89041096</v>
      </c>
      <c r="T15" s="50">
        <f t="shared" si="105"/>
        <v>18.63013699</v>
      </c>
      <c r="U15" s="48"/>
      <c r="V15" s="50">
        <f t="shared" ref="V15:W15" si="106">($A15/V$5)/365</f>
        <v>27.94520548</v>
      </c>
      <c r="W15" s="50">
        <f t="shared" si="106"/>
        <v>11.17808219</v>
      </c>
      <c r="X15" s="48"/>
      <c r="Y15" s="50">
        <f t="shared" ref="Y15:Z15" si="107">($A15/Y$5)/365</f>
        <v>1.117808219</v>
      </c>
      <c r="Z15" s="50">
        <f t="shared" si="107"/>
        <v>1.863013699</v>
      </c>
      <c r="AA15" s="48"/>
      <c r="AB15" s="50">
        <f t="shared" ref="AB15:AC15" si="108">($A15/AB$5)/365</f>
        <v>93.15068493</v>
      </c>
      <c r="AC15" s="50">
        <f t="shared" si="108"/>
        <v>6.98630137</v>
      </c>
      <c r="AD15" s="48"/>
      <c r="AE15" s="50">
        <f t="shared" ref="AE15:AF15" si="109">($A15/AE$5)/365</f>
        <v>279.4520548</v>
      </c>
      <c r="AF15" s="50">
        <f t="shared" si="109"/>
        <v>27.94520548</v>
      </c>
      <c r="AG15" s="48"/>
      <c r="AH15" s="50">
        <f t="shared" ref="AH15:AI15" si="110">($A15/AH$5)/365</f>
        <v>279.4520548</v>
      </c>
      <c r="AI15" s="50">
        <f t="shared" si="110"/>
        <v>279.4520548</v>
      </c>
      <c r="AJ15" s="48"/>
      <c r="AK15" s="50">
        <f t="shared" ref="AK15:AL15" si="111">($A15/AK$5)/365</f>
        <v>279.4520548</v>
      </c>
      <c r="AL15" s="50">
        <f t="shared" si="111"/>
        <v>279.4520548</v>
      </c>
    </row>
    <row r="16" ht="15.75" customHeight="1">
      <c r="A16" s="21">
        <f>'Soul Energy Tiers'!K11</f>
        <v>204400</v>
      </c>
      <c r="B16" s="5"/>
      <c r="C16" s="24" t="s">
        <v>29</v>
      </c>
      <c r="D16" s="46">
        <f t="shared" si="34"/>
        <v>4.028776978</v>
      </c>
      <c r="E16" s="5"/>
      <c r="F16" s="24" t="s">
        <v>29</v>
      </c>
      <c r="G16" s="46">
        <f t="shared" ref="G16:H16" si="112">($A16/G$5)/365</f>
        <v>18.66666667</v>
      </c>
      <c r="H16" s="46">
        <f t="shared" si="112"/>
        <v>9.333333333</v>
      </c>
      <c r="I16" s="47"/>
      <c r="J16" s="46">
        <f t="shared" ref="J16:K16" si="113">($A16/J$5)/365</f>
        <v>560</v>
      </c>
      <c r="K16" s="46">
        <f t="shared" si="113"/>
        <v>112</v>
      </c>
      <c r="L16" s="48"/>
      <c r="M16" s="46">
        <f t="shared" ref="M16:N16" si="114">($A16/M$5)/365</f>
        <v>140</v>
      </c>
      <c r="N16" s="46">
        <f t="shared" si="114"/>
        <v>70</v>
      </c>
      <c r="O16" s="48"/>
      <c r="P16" s="46">
        <f t="shared" ref="P16:Q16" si="115">($A16/P$5)/365</f>
        <v>18.66666667</v>
      </c>
      <c r="Q16" s="46">
        <f t="shared" si="115"/>
        <v>9.333333333</v>
      </c>
      <c r="R16" s="48"/>
      <c r="S16" s="49">
        <f t="shared" ref="S16:T16" si="116">($A16/S$5)/365</f>
        <v>112</v>
      </c>
      <c r="T16" s="50">
        <f t="shared" si="116"/>
        <v>37.33333333</v>
      </c>
      <c r="U16" s="48"/>
      <c r="V16" s="50">
        <f t="shared" ref="V16:W16" si="117">($A16/V$5)/365</f>
        <v>56</v>
      </c>
      <c r="W16" s="50">
        <f t="shared" si="117"/>
        <v>22.4</v>
      </c>
      <c r="X16" s="48"/>
      <c r="Y16" s="50">
        <f t="shared" ref="Y16:Z16" si="118">($A16/Y$5)/365</f>
        <v>2.24</v>
      </c>
      <c r="Z16" s="50">
        <f t="shared" si="118"/>
        <v>3.733333333</v>
      </c>
      <c r="AA16" s="48"/>
      <c r="AB16" s="50">
        <f t="shared" ref="AB16:AC16" si="119">($A16/AB$5)/365</f>
        <v>186.6666667</v>
      </c>
      <c r="AC16" s="50">
        <f t="shared" si="119"/>
        <v>14</v>
      </c>
      <c r="AD16" s="48"/>
      <c r="AE16" s="50">
        <f t="shared" ref="AE16:AF16" si="120">($A16/AE$5)/365</f>
        <v>560</v>
      </c>
      <c r="AF16" s="50">
        <f t="shared" si="120"/>
        <v>56</v>
      </c>
      <c r="AG16" s="48"/>
      <c r="AH16" s="50">
        <f t="shared" ref="AH16:AI16" si="121">($A16/AH$5)/365</f>
        <v>560</v>
      </c>
      <c r="AI16" s="50">
        <f t="shared" si="121"/>
        <v>560</v>
      </c>
      <c r="AJ16" s="48"/>
      <c r="AK16" s="50">
        <f t="shared" ref="AK16:AL16" si="122">($A16/AK$5)/365</f>
        <v>560</v>
      </c>
      <c r="AL16" s="50">
        <f t="shared" si="122"/>
        <v>560</v>
      </c>
    </row>
    <row r="17" ht="15.75" customHeight="1">
      <c r="A17" s="21">
        <f>'Soul Energy Tiers'!K12</f>
        <v>409200</v>
      </c>
      <c r="B17" s="5"/>
      <c r="C17" s="24" t="s">
        <v>31</v>
      </c>
      <c r="D17" s="46">
        <f t="shared" si="34"/>
        <v>8.065438061</v>
      </c>
      <c r="E17" s="5"/>
      <c r="F17" s="24" t="s">
        <v>31</v>
      </c>
      <c r="G17" s="46">
        <f t="shared" ref="G17:H17" si="123">($A17/G$5)/365</f>
        <v>37.36986301</v>
      </c>
      <c r="H17" s="46">
        <f t="shared" si="123"/>
        <v>18.68493151</v>
      </c>
      <c r="I17" s="47"/>
      <c r="J17" s="46">
        <f t="shared" ref="J17:K17" si="124">($A17/J$5)/365</f>
        <v>1121.09589</v>
      </c>
      <c r="K17" s="46">
        <f t="shared" si="124"/>
        <v>224.2191781</v>
      </c>
      <c r="L17" s="48"/>
      <c r="M17" s="46">
        <f t="shared" ref="M17:N17" si="125">($A17/M$5)/365</f>
        <v>280.2739726</v>
      </c>
      <c r="N17" s="46">
        <f t="shared" si="125"/>
        <v>140.1369863</v>
      </c>
      <c r="O17" s="48"/>
      <c r="P17" s="46">
        <f t="shared" ref="P17:Q17" si="126">($A17/P$5)/365</f>
        <v>37.36986301</v>
      </c>
      <c r="Q17" s="46">
        <f t="shared" si="126"/>
        <v>18.68493151</v>
      </c>
      <c r="R17" s="48"/>
      <c r="S17" s="49">
        <f t="shared" ref="S17:T17" si="127">($A17/S$5)/365</f>
        <v>224.2191781</v>
      </c>
      <c r="T17" s="50">
        <f t="shared" si="127"/>
        <v>74.73972603</v>
      </c>
      <c r="U17" s="48"/>
      <c r="V17" s="50">
        <f t="shared" ref="V17:W17" si="128">($A17/V$5)/365</f>
        <v>112.109589</v>
      </c>
      <c r="W17" s="50">
        <f t="shared" si="128"/>
        <v>44.84383562</v>
      </c>
      <c r="X17" s="48"/>
      <c r="Y17" s="50">
        <f t="shared" ref="Y17:Z17" si="129">($A17/Y$5)/365</f>
        <v>4.484383562</v>
      </c>
      <c r="Z17" s="50">
        <f t="shared" si="129"/>
        <v>7.473972603</v>
      </c>
      <c r="AA17" s="48"/>
      <c r="AB17" s="50">
        <f t="shared" ref="AB17:AC17" si="130">($A17/AB$5)/365</f>
        <v>373.6986301</v>
      </c>
      <c r="AC17" s="50">
        <f t="shared" si="130"/>
        <v>28.02739726</v>
      </c>
      <c r="AD17" s="48"/>
      <c r="AE17" s="50">
        <f t="shared" ref="AE17:AF17" si="131">($A17/AE$5)/365</f>
        <v>1121.09589</v>
      </c>
      <c r="AF17" s="50">
        <f t="shared" si="131"/>
        <v>112.109589</v>
      </c>
      <c r="AG17" s="48"/>
      <c r="AH17" s="50">
        <f t="shared" ref="AH17:AI17" si="132">($A17/AH$5)/365</f>
        <v>1121.09589</v>
      </c>
      <c r="AI17" s="50">
        <f t="shared" si="132"/>
        <v>1121.09589</v>
      </c>
      <c r="AJ17" s="48"/>
      <c r="AK17" s="50">
        <f t="shared" ref="AK17:AL17" si="133">($A17/AK$5)/365</f>
        <v>1121.09589</v>
      </c>
      <c r="AL17" s="50">
        <f t="shared" si="133"/>
        <v>1121.09589</v>
      </c>
    </row>
    <row r="18" ht="15.75" customHeight="1">
      <c r="A18" s="21">
        <f>'Soul Energy Tiers'!K13</f>
        <v>818800</v>
      </c>
      <c r="B18" s="5"/>
      <c r="C18" s="24" t="s">
        <v>33</v>
      </c>
      <c r="D18" s="46">
        <f t="shared" si="34"/>
        <v>16.13876022</v>
      </c>
      <c r="E18" s="5"/>
      <c r="F18" s="24" t="s">
        <v>33</v>
      </c>
      <c r="G18" s="46">
        <f t="shared" ref="G18:H18" si="134">($A18/G$5)/365</f>
        <v>74.77625571</v>
      </c>
      <c r="H18" s="46">
        <f t="shared" si="134"/>
        <v>37.38812785</v>
      </c>
      <c r="I18" s="47"/>
      <c r="J18" s="46">
        <f t="shared" ref="J18:K18" si="135">($A18/J$5)/365</f>
        <v>2243.287671</v>
      </c>
      <c r="K18" s="46">
        <f t="shared" si="135"/>
        <v>448.6575342</v>
      </c>
      <c r="L18" s="48"/>
      <c r="M18" s="46">
        <f t="shared" ref="M18:N18" si="136">($A18/M$5)/365</f>
        <v>560.8219178</v>
      </c>
      <c r="N18" s="46">
        <f t="shared" si="136"/>
        <v>280.4109589</v>
      </c>
      <c r="O18" s="48"/>
      <c r="P18" s="46">
        <f t="shared" ref="P18:Q18" si="137">($A18/P$5)/365</f>
        <v>74.77625571</v>
      </c>
      <c r="Q18" s="46">
        <f t="shared" si="137"/>
        <v>37.38812785</v>
      </c>
      <c r="R18" s="48"/>
      <c r="S18" s="49">
        <f t="shared" ref="S18:T18" si="138">($A18/S$5)/365</f>
        <v>448.6575342</v>
      </c>
      <c r="T18" s="50">
        <f t="shared" si="138"/>
        <v>149.5525114</v>
      </c>
      <c r="U18" s="48"/>
      <c r="V18" s="50">
        <f t="shared" ref="V18:W18" si="139">($A18/V$5)/365</f>
        <v>224.3287671</v>
      </c>
      <c r="W18" s="50">
        <f t="shared" si="139"/>
        <v>89.73150685</v>
      </c>
      <c r="X18" s="48"/>
      <c r="Y18" s="50">
        <f t="shared" ref="Y18:Z18" si="140">($A18/Y$5)/365</f>
        <v>8.973150685</v>
      </c>
      <c r="Z18" s="50">
        <f t="shared" si="140"/>
        <v>14.95525114</v>
      </c>
      <c r="AA18" s="48"/>
      <c r="AB18" s="50">
        <f t="shared" ref="AB18:AC18" si="141">($A18/AB$5)/365</f>
        <v>747.7625571</v>
      </c>
      <c r="AC18" s="50">
        <f t="shared" si="141"/>
        <v>56.08219178</v>
      </c>
      <c r="AD18" s="48"/>
      <c r="AE18" s="50">
        <f t="shared" ref="AE18:AF18" si="142">($A18/AE$5)/365</f>
        <v>2243.287671</v>
      </c>
      <c r="AF18" s="50">
        <f t="shared" si="142"/>
        <v>224.3287671</v>
      </c>
      <c r="AG18" s="48"/>
      <c r="AH18" s="50">
        <f t="shared" ref="AH18:AI18" si="143">($A18/AH$5)/365</f>
        <v>2243.287671</v>
      </c>
      <c r="AI18" s="50">
        <f t="shared" si="143"/>
        <v>2243.287671</v>
      </c>
      <c r="AJ18" s="48"/>
      <c r="AK18" s="50">
        <f t="shared" ref="AK18:AL18" si="144">($A18/AK$5)/365</f>
        <v>2243.287671</v>
      </c>
      <c r="AL18" s="50">
        <f t="shared" si="144"/>
        <v>2243.287671</v>
      </c>
    </row>
    <row r="19" ht="15.75" customHeight="1">
      <c r="A19" s="21">
        <f>'Soul Energy Tiers'!K14</f>
        <v>1638000</v>
      </c>
      <c r="B19" s="5"/>
      <c r="C19" s="24" t="s">
        <v>35</v>
      </c>
      <c r="D19" s="46">
        <f t="shared" si="34"/>
        <v>32.28540455</v>
      </c>
      <c r="E19" s="5"/>
      <c r="F19" s="24" t="s">
        <v>35</v>
      </c>
      <c r="G19" s="46">
        <f t="shared" ref="G19:H19" si="145">($A19/G$5)/365</f>
        <v>149.5890411</v>
      </c>
      <c r="H19" s="46">
        <f t="shared" si="145"/>
        <v>74.79452055</v>
      </c>
      <c r="I19" s="47"/>
      <c r="J19" s="46">
        <f t="shared" ref="J19:K19" si="146">($A19/J$5)/365</f>
        <v>4487.671233</v>
      </c>
      <c r="K19" s="46">
        <f t="shared" si="146"/>
        <v>897.5342466</v>
      </c>
      <c r="L19" s="48"/>
      <c r="M19" s="46">
        <f t="shared" ref="M19:N19" si="147">($A19/M$5)/365</f>
        <v>1121.917808</v>
      </c>
      <c r="N19" s="46">
        <f t="shared" si="147"/>
        <v>560.9589041</v>
      </c>
      <c r="O19" s="48"/>
      <c r="P19" s="46">
        <f t="shared" ref="P19:Q19" si="148">($A19/P$5)/365</f>
        <v>149.5890411</v>
      </c>
      <c r="Q19" s="46">
        <f t="shared" si="148"/>
        <v>74.79452055</v>
      </c>
      <c r="R19" s="48"/>
      <c r="S19" s="49">
        <f t="shared" ref="S19:T19" si="149">($A19/S$5)/365</f>
        <v>897.5342466</v>
      </c>
      <c r="T19" s="50">
        <f t="shared" si="149"/>
        <v>299.1780822</v>
      </c>
      <c r="U19" s="48"/>
      <c r="V19" s="50">
        <f t="shared" ref="V19:W19" si="150">($A19/V$5)/365</f>
        <v>448.7671233</v>
      </c>
      <c r="W19" s="50">
        <f t="shared" si="150"/>
        <v>179.5068493</v>
      </c>
      <c r="X19" s="48"/>
      <c r="Y19" s="50">
        <f t="shared" ref="Y19:Z19" si="151">($A19/Y$5)/365</f>
        <v>17.95068493</v>
      </c>
      <c r="Z19" s="50">
        <f t="shared" si="151"/>
        <v>29.91780822</v>
      </c>
      <c r="AA19" s="48"/>
      <c r="AB19" s="50">
        <f t="shared" ref="AB19:AC19" si="152">($A19/AB$5)/365</f>
        <v>1495.890411</v>
      </c>
      <c r="AC19" s="50">
        <f t="shared" si="152"/>
        <v>112.1917808</v>
      </c>
      <c r="AD19" s="48"/>
      <c r="AE19" s="50">
        <f t="shared" ref="AE19:AF19" si="153">($A19/AE$5)/365</f>
        <v>4487.671233</v>
      </c>
      <c r="AF19" s="50">
        <f t="shared" si="153"/>
        <v>448.7671233</v>
      </c>
      <c r="AG19" s="48"/>
      <c r="AH19" s="50">
        <f t="shared" ref="AH19:AI19" si="154">($A19/AH$5)/365</f>
        <v>4487.671233</v>
      </c>
      <c r="AI19" s="50">
        <f t="shared" si="154"/>
        <v>4487.671233</v>
      </c>
      <c r="AJ19" s="48"/>
      <c r="AK19" s="50">
        <f t="shared" ref="AK19:AL19" si="155">($A19/AK$5)/365</f>
        <v>4487.671233</v>
      </c>
      <c r="AL19" s="50">
        <f t="shared" si="155"/>
        <v>4487.671233</v>
      </c>
    </row>
    <row r="20" ht="15.75" customHeight="1">
      <c r="A20" s="21">
        <f>'Soul Energy Tiers'!K15</f>
        <v>3276400</v>
      </c>
      <c r="B20" s="5"/>
      <c r="C20" s="24" t="s">
        <v>37</v>
      </c>
      <c r="D20" s="46">
        <f t="shared" si="34"/>
        <v>64.57869321</v>
      </c>
      <c r="E20" s="5"/>
      <c r="F20" s="24" t="s">
        <v>37</v>
      </c>
      <c r="G20" s="46">
        <f t="shared" ref="G20:H20" si="156">($A20/G$5)/365</f>
        <v>299.2146119</v>
      </c>
      <c r="H20" s="46">
        <f t="shared" si="156"/>
        <v>149.6073059</v>
      </c>
      <c r="I20" s="47"/>
      <c r="J20" s="46">
        <f t="shared" ref="J20:K20" si="157">($A20/J$5)/365</f>
        <v>8976.438356</v>
      </c>
      <c r="K20" s="46">
        <f t="shared" si="157"/>
        <v>1795.287671</v>
      </c>
      <c r="L20" s="48"/>
      <c r="M20" s="46">
        <f t="shared" ref="M20:N20" si="158">($A20/M$5)/365</f>
        <v>2244.109589</v>
      </c>
      <c r="N20" s="46">
        <f t="shared" si="158"/>
        <v>1122.054795</v>
      </c>
      <c r="O20" s="48"/>
      <c r="P20" s="46">
        <f t="shared" ref="P20:Q20" si="159">($A20/P$5)/365</f>
        <v>299.2146119</v>
      </c>
      <c r="Q20" s="46">
        <f t="shared" si="159"/>
        <v>149.6073059</v>
      </c>
      <c r="R20" s="48"/>
      <c r="S20" s="49">
        <f t="shared" ref="S20:T20" si="160">($A20/S$5)/365</f>
        <v>1795.287671</v>
      </c>
      <c r="T20" s="50">
        <f t="shared" si="160"/>
        <v>598.4292237</v>
      </c>
      <c r="U20" s="48"/>
      <c r="V20" s="50">
        <f t="shared" ref="V20:W20" si="161">($A20/V$5)/365</f>
        <v>897.6438356</v>
      </c>
      <c r="W20" s="50">
        <f t="shared" si="161"/>
        <v>359.0575342</v>
      </c>
      <c r="X20" s="48"/>
      <c r="Y20" s="50">
        <f t="shared" ref="Y20:Z20" si="162">($A20/Y$5)/365</f>
        <v>35.90575342</v>
      </c>
      <c r="Z20" s="50">
        <f t="shared" si="162"/>
        <v>59.84292237</v>
      </c>
      <c r="AA20" s="48"/>
      <c r="AB20" s="50">
        <f t="shared" ref="AB20:AC20" si="163">($A20/AB$5)/365</f>
        <v>2992.146119</v>
      </c>
      <c r="AC20" s="50">
        <f t="shared" si="163"/>
        <v>224.4109589</v>
      </c>
      <c r="AD20" s="48"/>
      <c r="AE20" s="50">
        <f t="shared" ref="AE20:AF20" si="164">($A20/AE$5)/365</f>
        <v>8976.438356</v>
      </c>
      <c r="AF20" s="50">
        <f t="shared" si="164"/>
        <v>897.6438356</v>
      </c>
      <c r="AG20" s="48"/>
      <c r="AH20" s="50">
        <f t="shared" ref="AH20:AI20" si="165">($A20/AH$5)/365</f>
        <v>8976.438356</v>
      </c>
      <c r="AI20" s="50">
        <f t="shared" si="165"/>
        <v>8976.438356</v>
      </c>
      <c r="AJ20" s="48"/>
      <c r="AK20" s="50">
        <f t="shared" ref="AK20:AL20" si="166">($A20/AK$5)/365</f>
        <v>8976.438356</v>
      </c>
      <c r="AL20" s="50">
        <f t="shared" si="166"/>
        <v>8976.438356</v>
      </c>
    </row>
    <row r="21" ht="15.75" customHeight="1">
      <c r="A21" s="21">
        <f>'Soul Energy Tiers'!K16</f>
        <v>6553200</v>
      </c>
      <c r="B21" s="5"/>
      <c r="C21" s="24" t="s">
        <v>39</v>
      </c>
      <c r="D21" s="46">
        <f t="shared" si="34"/>
        <v>129.1652705</v>
      </c>
      <c r="E21" s="5"/>
      <c r="F21" s="24" t="s">
        <v>39</v>
      </c>
      <c r="G21" s="46">
        <f t="shared" ref="G21:H21" si="167">($A21/G$5)/365</f>
        <v>598.4657534</v>
      </c>
      <c r="H21" s="46">
        <f t="shared" si="167"/>
        <v>299.2328767</v>
      </c>
      <c r="I21" s="47"/>
      <c r="J21" s="46">
        <f t="shared" ref="J21:K21" si="168">($A21/J$5)/365</f>
        <v>17953.9726</v>
      </c>
      <c r="K21" s="46">
        <f t="shared" si="168"/>
        <v>3590.794521</v>
      </c>
      <c r="L21" s="48"/>
      <c r="M21" s="46">
        <f t="shared" ref="M21:N21" si="169">($A21/M$5)/365</f>
        <v>4488.493151</v>
      </c>
      <c r="N21" s="46">
        <f t="shared" si="169"/>
        <v>2244.246575</v>
      </c>
      <c r="O21" s="48"/>
      <c r="P21" s="46">
        <f t="shared" ref="P21:Q21" si="170">($A21/P$5)/365</f>
        <v>598.4657534</v>
      </c>
      <c r="Q21" s="46">
        <f t="shared" si="170"/>
        <v>299.2328767</v>
      </c>
      <c r="R21" s="48"/>
      <c r="S21" s="49">
        <f t="shared" ref="S21:T21" si="171">($A21/S$5)/365</f>
        <v>3590.794521</v>
      </c>
      <c r="T21" s="50">
        <f t="shared" si="171"/>
        <v>1196.931507</v>
      </c>
      <c r="U21" s="48"/>
      <c r="V21" s="50">
        <f t="shared" ref="V21:W21" si="172">($A21/V$5)/365</f>
        <v>1795.39726</v>
      </c>
      <c r="W21" s="50">
        <f t="shared" si="172"/>
        <v>718.1589041</v>
      </c>
      <c r="X21" s="48"/>
      <c r="Y21" s="50">
        <f t="shared" ref="Y21:Z21" si="173">($A21/Y$5)/365</f>
        <v>71.81589041</v>
      </c>
      <c r="Z21" s="50">
        <f t="shared" si="173"/>
        <v>119.6931507</v>
      </c>
      <c r="AA21" s="48"/>
      <c r="AB21" s="50">
        <f t="shared" ref="AB21:AC21" si="174">($A21/AB$5)/365</f>
        <v>5984.657534</v>
      </c>
      <c r="AC21" s="50">
        <f t="shared" si="174"/>
        <v>448.8493151</v>
      </c>
      <c r="AD21" s="48"/>
      <c r="AE21" s="50">
        <f t="shared" ref="AE21:AF21" si="175">($A21/AE$5)/365</f>
        <v>17953.9726</v>
      </c>
      <c r="AF21" s="50">
        <f t="shared" si="175"/>
        <v>1795.39726</v>
      </c>
      <c r="AG21" s="48"/>
      <c r="AH21" s="50">
        <f t="shared" ref="AH21:AI21" si="176">($A21/AH$5)/365</f>
        <v>17953.9726</v>
      </c>
      <c r="AI21" s="50">
        <f t="shared" si="176"/>
        <v>17953.9726</v>
      </c>
      <c r="AJ21" s="48"/>
      <c r="AK21" s="50">
        <f t="shared" ref="AK21:AL21" si="177">($A21/AK$5)/365</f>
        <v>17953.9726</v>
      </c>
      <c r="AL21" s="50">
        <f t="shared" si="177"/>
        <v>17953.9726</v>
      </c>
    </row>
    <row r="22" ht="15.75" customHeight="1">
      <c r="A22" s="21">
        <f>'Soul Energy Tiers'!K17</f>
        <v>13106800</v>
      </c>
      <c r="B22" s="5"/>
      <c r="C22" s="24" t="s">
        <v>41</v>
      </c>
      <c r="D22" s="46">
        <f t="shared" si="34"/>
        <v>258.3384252</v>
      </c>
      <c r="E22" s="5"/>
      <c r="F22" s="24" t="s">
        <v>41</v>
      </c>
      <c r="G22" s="46">
        <f t="shared" ref="G22:H22" si="178">($A22/G$5)/365</f>
        <v>1196.968037</v>
      </c>
      <c r="H22" s="46">
        <f t="shared" si="178"/>
        <v>598.4840183</v>
      </c>
      <c r="I22" s="47"/>
      <c r="J22" s="46">
        <f t="shared" ref="J22:K22" si="179">($A22/J$5)/365</f>
        <v>35909.0411</v>
      </c>
      <c r="K22" s="46">
        <f t="shared" si="179"/>
        <v>7181.808219</v>
      </c>
      <c r="L22" s="48"/>
      <c r="M22" s="46">
        <f t="shared" ref="M22:N22" si="180">($A22/M$5)/365</f>
        <v>8977.260274</v>
      </c>
      <c r="N22" s="46">
        <f t="shared" si="180"/>
        <v>4488.630137</v>
      </c>
      <c r="O22" s="48"/>
      <c r="P22" s="46">
        <f t="shared" ref="P22:Q22" si="181">($A22/P$5)/365</f>
        <v>1196.968037</v>
      </c>
      <c r="Q22" s="46">
        <f t="shared" si="181"/>
        <v>598.4840183</v>
      </c>
      <c r="R22" s="48"/>
      <c r="S22" s="49">
        <f t="shared" ref="S22:T22" si="182">($A22/S$5)/365</f>
        <v>7181.808219</v>
      </c>
      <c r="T22" s="50">
        <f t="shared" si="182"/>
        <v>2393.936073</v>
      </c>
      <c r="U22" s="48"/>
      <c r="V22" s="50">
        <f t="shared" ref="V22:W22" si="183">($A22/V$5)/365</f>
        <v>3590.90411</v>
      </c>
      <c r="W22" s="50">
        <f t="shared" si="183"/>
        <v>1436.361644</v>
      </c>
      <c r="X22" s="48"/>
      <c r="Y22" s="50">
        <f t="shared" ref="Y22:Z22" si="184">($A22/Y$5)/365</f>
        <v>143.6361644</v>
      </c>
      <c r="Z22" s="50">
        <f t="shared" si="184"/>
        <v>239.3936073</v>
      </c>
      <c r="AA22" s="48"/>
      <c r="AB22" s="50">
        <f t="shared" ref="AB22:AC22" si="185">($A22/AB$5)/365</f>
        <v>11969.68037</v>
      </c>
      <c r="AC22" s="50">
        <f t="shared" si="185"/>
        <v>897.7260274</v>
      </c>
      <c r="AD22" s="48"/>
      <c r="AE22" s="50">
        <f t="shared" ref="AE22:AF22" si="186">($A22/AE$5)/365</f>
        <v>35909.0411</v>
      </c>
      <c r="AF22" s="50">
        <f t="shared" si="186"/>
        <v>3590.90411</v>
      </c>
      <c r="AG22" s="48"/>
      <c r="AH22" s="50">
        <f t="shared" ref="AH22:AI22" si="187">($A22/AH$5)/365</f>
        <v>35909.0411</v>
      </c>
      <c r="AI22" s="50">
        <f t="shared" si="187"/>
        <v>35909.0411</v>
      </c>
      <c r="AJ22" s="48"/>
      <c r="AK22" s="50">
        <f t="shared" ref="AK22:AL22" si="188">($A22/AK$5)/365</f>
        <v>35909.0411</v>
      </c>
      <c r="AL22" s="50">
        <f t="shared" si="188"/>
        <v>35909.0411</v>
      </c>
    </row>
    <row r="23" ht="15.75" customHeight="1">
      <c r="A23" s="21">
        <f>'Soul Energy Tiers'!K18</f>
        <v>26214000</v>
      </c>
      <c r="B23" s="5"/>
      <c r="C23" s="24" t="s">
        <v>43</v>
      </c>
      <c r="D23" s="46">
        <f t="shared" si="34"/>
        <v>516.6847344</v>
      </c>
      <c r="E23" s="5"/>
      <c r="F23" s="24" t="s">
        <v>43</v>
      </c>
      <c r="G23" s="46">
        <f t="shared" ref="G23:H23" si="189">($A23/G$5)/365</f>
        <v>2393.972603</v>
      </c>
      <c r="H23" s="46">
        <f t="shared" si="189"/>
        <v>1196.986301</v>
      </c>
      <c r="I23" s="47"/>
      <c r="J23" s="46">
        <f t="shared" ref="J23:K23" si="190">($A23/J$5)/365</f>
        <v>71819.17808</v>
      </c>
      <c r="K23" s="46">
        <f t="shared" si="190"/>
        <v>14363.83562</v>
      </c>
      <c r="L23" s="48"/>
      <c r="M23" s="46">
        <f t="shared" ref="M23:N23" si="191">($A23/M$5)/365</f>
        <v>17954.79452</v>
      </c>
      <c r="N23" s="46">
        <f t="shared" si="191"/>
        <v>8977.39726</v>
      </c>
      <c r="O23" s="48"/>
      <c r="P23" s="46">
        <f t="shared" ref="P23:Q23" si="192">($A23/P$5)/365</f>
        <v>2393.972603</v>
      </c>
      <c r="Q23" s="46">
        <f t="shared" si="192"/>
        <v>1196.986301</v>
      </c>
      <c r="R23" s="48"/>
      <c r="S23" s="49">
        <f t="shared" ref="S23:T23" si="193">($A23/S$5)/365</f>
        <v>14363.83562</v>
      </c>
      <c r="T23" s="50">
        <f t="shared" si="193"/>
        <v>4787.945205</v>
      </c>
      <c r="U23" s="48"/>
      <c r="V23" s="50">
        <f t="shared" ref="V23:W23" si="194">($A23/V$5)/365</f>
        <v>7181.917808</v>
      </c>
      <c r="W23" s="50">
        <f t="shared" si="194"/>
        <v>2872.767123</v>
      </c>
      <c r="X23" s="48"/>
      <c r="Y23" s="50">
        <f t="shared" ref="Y23:Z23" si="195">($A23/Y$5)/365</f>
        <v>287.2767123</v>
      </c>
      <c r="Z23" s="50">
        <f t="shared" si="195"/>
        <v>478.7945205</v>
      </c>
      <c r="AA23" s="48"/>
      <c r="AB23" s="50">
        <f t="shared" ref="AB23:AC23" si="196">($A23/AB$5)/365</f>
        <v>23939.72603</v>
      </c>
      <c r="AC23" s="50">
        <f t="shared" si="196"/>
        <v>1795.479452</v>
      </c>
      <c r="AD23" s="48"/>
      <c r="AE23" s="50">
        <f t="shared" ref="AE23:AF23" si="197">($A23/AE$5)/365</f>
        <v>71819.17808</v>
      </c>
      <c r="AF23" s="50">
        <f t="shared" si="197"/>
        <v>7181.917808</v>
      </c>
      <c r="AG23" s="48"/>
      <c r="AH23" s="50">
        <f t="shared" ref="AH23:AI23" si="198">($A23/AH$5)/365</f>
        <v>71819.17808</v>
      </c>
      <c r="AI23" s="50">
        <f t="shared" si="198"/>
        <v>71819.17808</v>
      </c>
      <c r="AJ23" s="48"/>
      <c r="AK23" s="50">
        <f t="shared" ref="AK23:AL23" si="199">($A23/AK$5)/365</f>
        <v>71819.17808</v>
      </c>
      <c r="AL23" s="50">
        <f t="shared" si="199"/>
        <v>71819.17808</v>
      </c>
    </row>
    <row r="24" ht="15.75" customHeight="1">
      <c r="A24" s="21">
        <f>'Soul Energy Tiers'!K19</f>
        <v>52428400</v>
      </c>
      <c r="B24" s="5"/>
      <c r="C24" s="24" t="s">
        <v>45</v>
      </c>
      <c r="D24" s="46">
        <f t="shared" si="34"/>
        <v>1033.377353</v>
      </c>
      <c r="E24" s="5"/>
      <c r="F24" s="24" t="s">
        <v>45</v>
      </c>
      <c r="G24" s="46">
        <f t="shared" ref="G24:H24" si="200">($A24/G$5)/365</f>
        <v>4787.981735</v>
      </c>
      <c r="H24" s="46">
        <f t="shared" si="200"/>
        <v>2393.990868</v>
      </c>
      <c r="I24" s="47"/>
      <c r="J24" s="46">
        <f t="shared" ref="J24:K24" si="201">($A24/J$5)/365</f>
        <v>143639.4521</v>
      </c>
      <c r="K24" s="46">
        <f t="shared" si="201"/>
        <v>28727.89041</v>
      </c>
      <c r="L24" s="48"/>
      <c r="M24" s="46">
        <f t="shared" ref="M24:N24" si="202">($A24/M$5)/365</f>
        <v>35909.86301</v>
      </c>
      <c r="N24" s="46">
        <f t="shared" si="202"/>
        <v>17954.93151</v>
      </c>
      <c r="O24" s="48"/>
      <c r="P24" s="46">
        <f t="shared" ref="P24:Q24" si="203">($A24/P$5)/365</f>
        <v>4787.981735</v>
      </c>
      <c r="Q24" s="46">
        <f t="shared" si="203"/>
        <v>2393.990868</v>
      </c>
      <c r="R24" s="48"/>
      <c r="S24" s="49">
        <f t="shared" ref="S24:T24" si="204">($A24/S$5)/365</f>
        <v>28727.89041</v>
      </c>
      <c r="T24" s="50">
        <f t="shared" si="204"/>
        <v>9575.96347</v>
      </c>
      <c r="U24" s="48"/>
      <c r="V24" s="50">
        <f t="shared" ref="V24:W24" si="205">($A24/V$5)/365</f>
        <v>14363.94521</v>
      </c>
      <c r="W24" s="50">
        <f t="shared" si="205"/>
        <v>5745.578082</v>
      </c>
      <c r="X24" s="48"/>
      <c r="Y24" s="50">
        <f t="shared" ref="Y24:Z24" si="206">($A24/Y$5)/365</f>
        <v>574.5578082</v>
      </c>
      <c r="Z24" s="50">
        <f t="shared" si="206"/>
        <v>957.596347</v>
      </c>
      <c r="AA24" s="48"/>
      <c r="AB24" s="50">
        <f t="shared" ref="AB24:AC24" si="207">($A24/AB$5)/365</f>
        <v>47879.81735</v>
      </c>
      <c r="AC24" s="50">
        <f t="shared" si="207"/>
        <v>3590.986301</v>
      </c>
      <c r="AD24" s="48"/>
      <c r="AE24" s="50">
        <f t="shared" ref="AE24:AF24" si="208">($A24/AE$5)/365</f>
        <v>143639.4521</v>
      </c>
      <c r="AF24" s="50">
        <f t="shared" si="208"/>
        <v>14363.94521</v>
      </c>
      <c r="AG24" s="48"/>
      <c r="AH24" s="50">
        <f t="shared" ref="AH24:AI24" si="209">($A24/AH$5)/365</f>
        <v>143639.4521</v>
      </c>
      <c r="AI24" s="50">
        <f t="shared" si="209"/>
        <v>143639.4521</v>
      </c>
      <c r="AJ24" s="48"/>
      <c r="AK24" s="50">
        <f t="shared" ref="AK24:AL24" si="210">($A24/AK$5)/365</f>
        <v>143639.4521</v>
      </c>
      <c r="AL24" s="50">
        <f t="shared" si="210"/>
        <v>143639.4521</v>
      </c>
    </row>
    <row r="25" ht="15.75" customHeight="1">
      <c r="A25" s="35"/>
      <c r="B25" s="5"/>
      <c r="C25" s="5"/>
      <c r="E25" s="5"/>
      <c r="F25" s="35"/>
      <c r="G25" s="35" t="s">
        <v>74</v>
      </c>
    </row>
    <row r="26" ht="15.75" customHeight="1">
      <c r="A26" s="52" t="s">
        <v>75</v>
      </c>
      <c r="B26" s="5"/>
      <c r="C26" s="10" t="s">
        <v>3</v>
      </c>
      <c r="D26" s="10" t="s">
        <v>55</v>
      </c>
      <c r="E26" s="5"/>
      <c r="F26" s="53" t="s">
        <v>3</v>
      </c>
      <c r="G26" s="45" t="str">
        <f t="shared" ref="G26:H26" si="211">G7</f>
        <v>Finaies
(Low)</v>
      </c>
      <c r="H26" s="45" t="str">
        <f t="shared" si="211"/>
        <v>Finaies
(High)</v>
      </c>
      <c r="I26" s="43"/>
      <c r="J26" s="45" t="str">
        <f t="shared" ref="J26:K26" si="212">J7</f>
        <v>Lishies
(Low)</v>
      </c>
      <c r="K26" s="45" t="str">
        <f t="shared" si="212"/>
        <v>Lishies
(High)</v>
      </c>
      <c r="L26" s="44"/>
      <c r="M26" s="45" t="str">
        <f t="shared" ref="M26:N26" si="213">M7</f>
        <v>Buhraies
(Low)</v>
      </c>
      <c r="N26" s="45" t="str">
        <f t="shared" si="213"/>
        <v>Buhraies
(High)</v>
      </c>
      <c r="O26" s="44"/>
      <c r="P26" s="45" t="str">
        <f t="shared" ref="P26:Q26" si="214">P7</f>
        <v>Fuhraies
(Low)</v>
      </c>
      <c r="Q26" s="45" t="str">
        <f t="shared" si="214"/>
        <v>Fuhraies
(High)</v>
      </c>
      <c r="R26" s="44"/>
      <c r="S26" s="45" t="str">
        <f t="shared" ref="S26:T26" si="215">S7</f>
        <v>Darfaries
(Low)</v>
      </c>
      <c r="T26" s="45" t="str">
        <f t="shared" si="215"/>
        <v>Darfaries
(High)</v>
      </c>
      <c r="U26" s="44"/>
      <c r="V26" s="45" t="str">
        <f t="shared" ref="V26:W26" si="216">V7</f>
        <v>Wozefaries
(Low)</v>
      </c>
      <c r="W26" s="45" t="str">
        <f t="shared" si="216"/>
        <v>Wozefaries
(High)</v>
      </c>
      <c r="X26" s="44"/>
      <c r="Y26" s="45" t="str">
        <f t="shared" ref="Y26:Z26" si="217">Y7</f>
        <v>Sorefaries
(Low)</v>
      </c>
      <c r="Z26" s="45" t="str">
        <f t="shared" si="217"/>
        <v>Sorefaries
(High)</v>
      </c>
      <c r="AA26" s="44"/>
      <c r="AB26" s="45" t="str">
        <f t="shared" ref="AB26:AC26" si="218">AB7</f>
        <v>Humans
(Low)</v>
      </c>
      <c r="AC26" s="45" t="str">
        <f t="shared" si="218"/>
        <v>Humans
(High)</v>
      </c>
      <c r="AD26" s="44"/>
      <c r="AE26" s="45" t="str">
        <f t="shared" ref="AE26:AF26" si="219">AE7</f>
        <v>Cruros
(Low)</v>
      </c>
      <c r="AF26" s="45" t="str">
        <f t="shared" si="219"/>
        <v>Cruros
(High)</v>
      </c>
      <c r="AG26" s="44"/>
      <c r="AH26" s="45" t="str">
        <f t="shared" ref="AH26:AI26" si="220">AH7</f>
        <v/>
      </c>
      <c r="AI26" s="45" t="str">
        <f t="shared" si="220"/>
        <v/>
      </c>
      <c r="AJ26" s="44"/>
      <c r="AK26" s="45" t="str">
        <f t="shared" ref="AK26:AL26" si="221">AK7</f>
        <v/>
      </c>
      <c r="AL26" s="45" t="str">
        <f t="shared" si="221"/>
        <v/>
      </c>
    </row>
    <row r="27" ht="15.75" customHeight="1">
      <c r="A27" s="21">
        <f>'Soul Energy Tiers'!J3</f>
        <v>20</v>
      </c>
      <c r="B27" s="5"/>
      <c r="C27" s="54" t="s">
        <v>13</v>
      </c>
      <c r="D27" s="23">
        <f t="shared" ref="D27:D43" si="233">$A27/D$5</f>
        <v>0.1438848921</v>
      </c>
      <c r="E27" s="5"/>
      <c r="F27" s="54" t="s">
        <v>13</v>
      </c>
      <c r="G27" s="32">
        <f t="shared" ref="G27:H27" si="222">$A27/G$5</f>
        <v>0.6666666667</v>
      </c>
      <c r="H27" s="32">
        <f t="shared" si="222"/>
        <v>0.3333333333</v>
      </c>
      <c r="I27" s="47"/>
      <c r="J27" s="32">
        <f t="shared" ref="J27:K27" si="223">$A27/J$5</f>
        <v>20</v>
      </c>
      <c r="K27" s="32">
        <f t="shared" si="223"/>
        <v>4</v>
      </c>
      <c r="L27" s="48"/>
      <c r="M27" s="32">
        <f t="shared" ref="M27:N27" si="224">$A27/M$5</f>
        <v>5</v>
      </c>
      <c r="N27" s="32">
        <f t="shared" si="224"/>
        <v>2.5</v>
      </c>
      <c r="O27" s="48"/>
      <c r="P27" s="32">
        <f t="shared" ref="P27:Q27" si="225">$A27/P$5</f>
        <v>0.6666666667</v>
      </c>
      <c r="Q27" s="32">
        <f t="shared" si="225"/>
        <v>0.3333333333</v>
      </c>
      <c r="R27" s="48"/>
      <c r="S27" s="32">
        <f t="shared" ref="S27:T27" si="226">$A27/S$5</f>
        <v>4</v>
      </c>
      <c r="T27" s="32">
        <f t="shared" si="226"/>
        <v>1.333333333</v>
      </c>
      <c r="U27" s="48"/>
      <c r="V27" s="32">
        <f t="shared" ref="V27:W27" si="227">$A27/V$5</f>
        <v>2</v>
      </c>
      <c r="W27" s="32">
        <f t="shared" si="227"/>
        <v>0.8</v>
      </c>
      <c r="X27" s="48"/>
      <c r="Y27" s="32">
        <f t="shared" ref="Y27:Z27" si="228">$A27/Y$5</f>
        <v>0.08</v>
      </c>
      <c r="Z27" s="32">
        <f t="shared" si="228"/>
        <v>0.1333333333</v>
      </c>
      <c r="AA27" s="48"/>
      <c r="AB27" s="32">
        <f t="shared" ref="AB27:AC27" si="229">$A27/AB$5</f>
        <v>6.666666667</v>
      </c>
      <c r="AC27" s="32">
        <f t="shared" si="229"/>
        <v>0.5</v>
      </c>
      <c r="AD27" s="48"/>
      <c r="AE27" s="32">
        <f t="shared" ref="AE27:AF27" si="230">$A27/AE$5</f>
        <v>20</v>
      </c>
      <c r="AF27" s="32">
        <f t="shared" si="230"/>
        <v>2</v>
      </c>
      <c r="AG27" s="48"/>
      <c r="AH27" s="32">
        <f t="shared" ref="AH27:AI27" si="231">$A27/AH$5</f>
        <v>20</v>
      </c>
      <c r="AI27" s="32">
        <f t="shared" si="231"/>
        <v>20</v>
      </c>
      <c r="AJ27" s="48"/>
      <c r="AK27" s="32">
        <f t="shared" ref="AK27:AL27" si="232">$A27/AK$5</f>
        <v>20</v>
      </c>
      <c r="AL27" s="32">
        <f t="shared" si="232"/>
        <v>20</v>
      </c>
    </row>
    <row r="28" ht="15.75" customHeight="1">
      <c r="A28" s="21">
        <f>'Soul Energy Tiers'!J4</f>
        <v>40</v>
      </c>
      <c r="B28" s="5"/>
      <c r="C28" s="55" t="s">
        <v>15</v>
      </c>
      <c r="D28" s="32">
        <f t="shared" si="233"/>
        <v>0.2877697842</v>
      </c>
      <c r="E28" s="5"/>
      <c r="F28" s="55" t="s">
        <v>15</v>
      </c>
      <c r="G28" s="32">
        <f t="shared" ref="G28:H28" si="234">$A28/G$5</f>
        <v>1.333333333</v>
      </c>
      <c r="H28" s="32">
        <f t="shared" si="234"/>
        <v>0.6666666667</v>
      </c>
      <c r="I28" s="47"/>
      <c r="J28" s="32">
        <f t="shared" ref="J28:K28" si="235">$A28/J$5</f>
        <v>40</v>
      </c>
      <c r="K28" s="32">
        <f t="shared" si="235"/>
        <v>8</v>
      </c>
      <c r="L28" s="48"/>
      <c r="M28" s="32">
        <f t="shared" ref="M28:N28" si="236">$A28/M$5</f>
        <v>10</v>
      </c>
      <c r="N28" s="32">
        <f t="shared" si="236"/>
        <v>5</v>
      </c>
      <c r="O28" s="48"/>
      <c r="P28" s="32">
        <f t="shared" ref="P28:Q28" si="237">$A28/P$5</f>
        <v>1.333333333</v>
      </c>
      <c r="Q28" s="32">
        <f t="shared" si="237"/>
        <v>0.6666666667</v>
      </c>
      <c r="R28" s="48"/>
      <c r="S28" s="32">
        <f t="shared" ref="S28:T28" si="238">$A28/S$5</f>
        <v>8</v>
      </c>
      <c r="T28" s="32">
        <f t="shared" si="238"/>
        <v>2.666666667</v>
      </c>
      <c r="U28" s="48"/>
      <c r="V28" s="32">
        <f t="shared" ref="V28:W28" si="239">$A28/V$5</f>
        <v>4</v>
      </c>
      <c r="W28" s="32">
        <f t="shared" si="239"/>
        <v>1.6</v>
      </c>
      <c r="X28" s="48"/>
      <c r="Y28" s="32">
        <f t="shared" ref="Y28:Z28" si="240">$A28/Y$5</f>
        <v>0.16</v>
      </c>
      <c r="Z28" s="32">
        <f t="shared" si="240"/>
        <v>0.2666666667</v>
      </c>
      <c r="AA28" s="48"/>
      <c r="AB28" s="32">
        <f t="shared" ref="AB28:AC28" si="241">$A28/AB$5</f>
        <v>13.33333333</v>
      </c>
      <c r="AC28" s="32">
        <f t="shared" si="241"/>
        <v>1</v>
      </c>
      <c r="AD28" s="48"/>
      <c r="AE28" s="32">
        <f t="shared" ref="AE28:AF28" si="242">$A28/AE$5</f>
        <v>40</v>
      </c>
      <c r="AF28" s="32">
        <f t="shared" si="242"/>
        <v>4</v>
      </c>
      <c r="AG28" s="48"/>
      <c r="AH28" s="32">
        <f t="shared" ref="AH28:AI28" si="243">$A28/AH$5</f>
        <v>40</v>
      </c>
      <c r="AI28" s="32">
        <f t="shared" si="243"/>
        <v>40</v>
      </c>
      <c r="AJ28" s="48"/>
      <c r="AK28" s="32">
        <f t="shared" ref="AK28:AL28" si="244">$A28/AK$5</f>
        <v>40</v>
      </c>
      <c r="AL28" s="32">
        <f t="shared" si="244"/>
        <v>40</v>
      </c>
    </row>
    <row r="29" ht="15.75" customHeight="1">
      <c r="A29" s="21">
        <f>'Soul Energy Tiers'!J5</f>
        <v>80</v>
      </c>
      <c r="B29" s="5"/>
      <c r="C29" s="55" t="s">
        <v>17</v>
      </c>
      <c r="D29" s="32">
        <f t="shared" si="233"/>
        <v>0.5755395683</v>
      </c>
      <c r="E29" s="5"/>
      <c r="F29" s="55" t="s">
        <v>17</v>
      </c>
      <c r="G29" s="32">
        <f t="shared" ref="G29:H29" si="245">$A29/G$5</f>
        <v>2.666666667</v>
      </c>
      <c r="H29" s="32">
        <f t="shared" si="245"/>
        <v>1.333333333</v>
      </c>
      <c r="I29" s="47"/>
      <c r="J29" s="32">
        <f t="shared" ref="J29:K29" si="246">$A29/J$5</f>
        <v>80</v>
      </c>
      <c r="K29" s="32">
        <f t="shared" si="246"/>
        <v>16</v>
      </c>
      <c r="L29" s="48"/>
      <c r="M29" s="32">
        <f t="shared" ref="M29:N29" si="247">$A29/M$5</f>
        <v>20</v>
      </c>
      <c r="N29" s="32">
        <f t="shared" si="247"/>
        <v>10</v>
      </c>
      <c r="O29" s="48"/>
      <c r="P29" s="32">
        <f t="shared" ref="P29:Q29" si="248">$A29/P$5</f>
        <v>2.666666667</v>
      </c>
      <c r="Q29" s="32">
        <f t="shared" si="248"/>
        <v>1.333333333</v>
      </c>
      <c r="R29" s="48"/>
      <c r="S29" s="32">
        <f t="shared" ref="S29:T29" si="249">$A29/S$5</f>
        <v>16</v>
      </c>
      <c r="T29" s="32">
        <f t="shared" si="249"/>
        <v>5.333333333</v>
      </c>
      <c r="U29" s="48"/>
      <c r="V29" s="32">
        <f t="shared" ref="V29:W29" si="250">$A29/V$5</f>
        <v>8</v>
      </c>
      <c r="W29" s="32">
        <f t="shared" si="250"/>
        <v>3.2</v>
      </c>
      <c r="X29" s="48"/>
      <c r="Y29" s="32">
        <f t="shared" ref="Y29:Z29" si="251">$A29/Y$5</f>
        <v>0.32</v>
      </c>
      <c r="Z29" s="32">
        <f t="shared" si="251"/>
        <v>0.5333333333</v>
      </c>
      <c r="AA29" s="48"/>
      <c r="AB29" s="32">
        <f t="shared" ref="AB29:AC29" si="252">$A29/AB$5</f>
        <v>26.66666667</v>
      </c>
      <c r="AC29" s="32">
        <f t="shared" si="252"/>
        <v>2</v>
      </c>
      <c r="AD29" s="48"/>
      <c r="AE29" s="32">
        <f t="shared" ref="AE29:AF29" si="253">$A29/AE$5</f>
        <v>80</v>
      </c>
      <c r="AF29" s="32">
        <f t="shared" si="253"/>
        <v>8</v>
      </c>
      <c r="AG29" s="48"/>
      <c r="AH29" s="32">
        <f t="shared" ref="AH29:AI29" si="254">$A29/AH$5</f>
        <v>80</v>
      </c>
      <c r="AI29" s="32">
        <f t="shared" si="254"/>
        <v>80</v>
      </c>
      <c r="AJ29" s="48"/>
      <c r="AK29" s="32">
        <f t="shared" ref="AK29:AL29" si="255">$A29/AK$5</f>
        <v>80</v>
      </c>
      <c r="AL29" s="32">
        <f t="shared" si="255"/>
        <v>80</v>
      </c>
    </row>
    <row r="30" ht="15.75" customHeight="1">
      <c r="A30" s="21">
        <f>'Soul Energy Tiers'!J6</f>
        <v>160</v>
      </c>
      <c r="B30" s="5"/>
      <c r="C30" s="55" t="s">
        <v>19</v>
      </c>
      <c r="D30" s="32">
        <f t="shared" si="233"/>
        <v>1.151079137</v>
      </c>
      <c r="E30" s="5"/>
      <c r="F30" s="55" t="s">
        <v>19</v>
      </c>
      <c r="G30" s="32">
        <f t="shared" ref="G30:H30" si="256">$A30/G$5</f>
        <v>5.333333333</v>
      </c>
      <c r="H30" s="32">
        <f t="shared" si="256"/>
        <v>2.666666667</v>
      </c>
      <c r="I30" s="47"/>
      <c r="J30" s="32">
        <f t="shared" ref="J30:K30" si="257">$A30/J$5</f>
        <v>160</v>
      </c>
      <c r="K30" s="32">
        <f t="shared" si="257"/>
        <v>32</v>
      </c>
      <c r="L30" s="48"/>
      <c r="M30" s="32">
        <f t="shared" ref="M30:N30" si="258">$A30/M$5</f>
        <v>40</v>
      </c>
      <c r="N30" s="32">
        <f t="shared" si="258"/>
        <v>20</v>
      </c>
      <c r="O30" s="48"/>
      <c r="P30" s="32">
        <f t="shared" ref="P30:Q30" si="259">$A30/P$5</f>
        <v>5.333333333</v>
      </c>
      <c r="Q30" s="32">
        <f t="shared" si="259"/>
        <v>2.666666667</v>
      </c>
      <c r="R30" s="48"/>
      <c r="S30" s="32">
        <f t="shared" ref="S30:T30" si="260">$A30/S$5</f>
        <v>32</v>
      </c>
      <c r="T30" s="32">
        <f t="shared" si="260"/>
        <v>10.66666667</v>
      </c>
      <c r="U30" s="48"/>
      <c r="V30" s="32">
        <f t="shared" ref="V30:W30" si="261">$A30/V$5</f>
        <v>16</v>
      </c>
      <c r="W30" s="32">
        <f t="shared" si="261"/>
        <v>6.4</v>
      </c>
      <c r="X30" s="48"/>
      <c r="Y30" s="32">
        <f t="shared" ref="Y30:Z30" si="262">$A30/Y$5</f>
        <v>0.64</v>
      </c>
      <c r="Z30" s="32">
        <f t="shared" si="262"/>
        <v>1.066666667</v>
      </c>
      <c r="AA30" s="48"/>
      <c r="AB30" s="32">
        <f t="shared" ref="AB30:AC30" si="263">$A30/AB$5</f>
        <v>53.33333333</v>
      </c>
      <c r="AC30" s="32">
        <f t="shared" si="263"/>
        <v>4</v>
      </c>
      <c r="AD30" s="48"/>
      <c r="AE30" s="32">
        <f t="shared" ref="AE30:AF30" si="264">$A30/AE$5</f>
        <v>160</v>
      </c>
      <c r="AF30" s="32">
        <f t="shared" si="264"/>
        <v>16</v>
      </c>
      <c r="AG30" s="48"/>
      <c r="AH30" s="32">
        <f t="shared" ref="AH30:AI30" si="265">$A30/AH$5</f>
        <v>160</v>
      </c>
      <c r="AI30" s="32">
        <f t="shared" si="265"/>
        <v>160</v>
      </c>
      <c r="AJ30" s="48"/>
      <c r="AK30" s="32">
        <f t="shared" ref="AK30:AL30" si="266">$A30/AK$5</f>
        <v>160</v>
      </c>
      <c r="AL30" s="32">
        <f t="shared" si="266"/>
        <v>160</v>
      </c>
    </row>
    <row r="31" ht="15.75" customHeight="1">
      <c r="A31" s="21">
        <f>'Soul Energy Tiers'!J7</f>
        <v>320</v>
      </c>
      <c r="B31" s="5"/>
      <c r="C31" s="55" t="s">
        <v>21</v>
      </c>
      <c r="D31" s="32">
        <f t="shared" si="233"/>
        <v>2.302158273</v>
      </c>
      <c r="E31" s="5"/>
      <c r="F31" s="55" t="s">
        <v>21</v>
      </c>
      <c r="G31" s="32">
        <f t="shared" ref="G31:H31" si="267">$A31/G$5</f>
        <v>10.66666667</v>
      </c>
      <c r="H31" s="32">
        <f t="shared" si="267"/>
        <v>5.333333333</v>
      </c>
      <c r="I31" s="47"/>
      <c r="J31" s="32">
        <f t="shared" ref="J31:K31" si="268">$A31/J$5</f>
        <v>320</v>
      </c>
      <c r="K31" s="32">
        <f t="shared" si="268"/>
        <v>64</v>
      </c>
      <c r="L31" s="48"/>
      <c r="M31" s="32">
        <f t="shared" ref="M31:N31" si="269">$A31/M$5</f>
        <v>80</v>
      </c>
      <c r="N31" s="32">
        <f t="shared" si="269"/>
        <v>40</v>
      </c>
      <c r="O31" s="48"/>
      <c r="P31" s="32">
        <f t="shared" ref="P31:Q31" si="270">$A31/P$5</f>
        <v>10.66666667</v>
      </c>
      <c r="Q31" s="32">
        <f t="shared" si="270"/>
        <v>5.333333333</v>
      </c>
      <c r="R31" s="48"/>
      <c r="S31" s="32">
        <f t="shared" ref="S31:T31" si="271">$A31/S$5</f>
        <v>64</v>
      </c>
      <c r="T31" s="32">
        <f t="shared" si="271"/>
        <v>21.33333333</v>
      </c>
      <c r="U31" s="48"/>
      <c r="V31" s="32">
        <f t="shared" ref="V31:W31" si="272">$A31/V$5</f>
        <v>32</v>
      </c>
      <c r="W31" s="32">
        <f t="shared" si="272"/>
        <v>12.8</v>
      </c>
      <c r="X31" s="48"/>
      <c r="Y31" s="32">
        <f t="shared" ref="Y31:Z31" si="273">$A31/Y$5</f>
        <v>1.28</v>
      </c>
      <c r="Z31" s="32">
        <f t="shared" si="273"/>
        <v>2.133333333</v>
      </c>
      <c r="AA31" s="48"/>
      <c r="AB31" s="32">
        <f t="shared" ref="AB31:AC31" si="274">$A31/AB$5</f>
        <v>106.6666667</v>
      </c>
      <c r="AC31" s="32">
        <f t="shared" si="274"/>
        <v>8</v>
      </c>
      <c r="AD31" s="48"/>
      <c r="AE31" s="32">
        <f t="shared" ref="AE31:AF31" si="275">$A31/AE$5</f>
        <v>320</v>
      </c>
      <c r="AF31" s="32">
        <f t="shared" si="275"/>
        <v>32</v>
      </c>
      <c r="AG31" s="48"/>
      <c r="AH31" s="32">
        <f t="shared" ref="AH31:AI31" si="276">$A31/AH$5</f>
        <v>320</v>
      </c>
      <c r="AI31" s="32">
        <f t="shared" si="276"/>
        <v>320</v>
      </c>
      <c r="AJ31" s="48"/>
      <c r="AK31" s="32">
        <f t="shared" ref="AK31:AL31" si="277">$A31/AK$5</f>
        <v>320</v>
      </c>
      <c r="AL31" s="32">
        <f t="shared" si="277"/>
        <v>320</v>
      </c>
    </row>
    <row r="32" ht="15.75" customHeight="1">
      <c r="A32" s="21">
        <f>'Soul Energy Tiers'!J8</f>
        <v>640</v>
      </c>
      <c r="B32" s="5"/>
      <c r="C32" s="55" t="s">
        <v>23</v>
      </c>
      <c r="D32" s="32">
        <f t="shared" si="233"/>
        <v>4.604316547</v>
      </c>
      <c r="E32" s="5"/>
      <c r="F32" s="55" t="s">
        <v>23</v>
      </c>
      <c r="G32" s="32">
        <f t="shared" ref="G32:H32" si="278">$A32/G$5</f>
        <v>21.33333333</v>
      </c>
      <c r="H32" s="32">
        <f t="shared" si="278"/>
        <v>10.66666667</v>
      </c>
      <c r="I32" s="47"/>
      <c r="J32" s="32">
        <f t="shared" ref="J32:K32" si="279">$A32/J$5</f>
        <v>640</v>
      </c>
      <c r="K32" s="32">
        <f t="shared" si="279"/>
        <v>128</v>
      </c>
      <c r="L32" s="48"/>
      <c r="M32" s="32">
        <f t="shared" ref="M32:N32" si="280">$A32/M$5</f>
        <v>160</v>
      </c>
      <c r="N32" s="32">
        <f t="shared" si="280"/>
        <v>80</v>
      </c>
      <c r="O32" s="48"/>
      <c r="P32" s="32">
        <f t="shared" ref="P32:Q32" si="281">$A32/P$5</f>
        <v>21.33333333</v>
      </c>
      <c r="Q32" s="32">
        <f t="shared" si="281"/>
        <v>10.66666667</v>
      </c>
      <c r="R32" s="48"/>
      <c r="S32" s="32">
        <f t="shared" ref="S32:T32" si="282">$A32/S$5</f>
        <v>128</v>
      </c>
      <c r="T32" s="32">
        <f t="shared" si="282"/>
        <v>42.66666667</v>
      </c>
      <c r="U32" s="48"/>
      <c r="V32" s="32">
        <f t="shared" ref="V32:W32" si="283">$A32/V$5</f>
        <v>64</v>
      </c>
      <c r="W32" s="32">
        <f t="shared" si="283"/>
        <v>25.6</v>
      </c>
      <c r="X32" s="48"/>
      <c r="Y32" s="32">
        <f t="shared" ref="Y32:Z32" si="284">$A32/Y$5</f>
        <v>2.56</v>
      </c>
      <c r="Z32" s="32">
        <f t="shared" si="284"/>
        <v>4.266666667</v>
      </c>
      <c r="AA32" s="48"/>
      <c r="AB32" s="32">
        <f t="shared" ref="AB32:AC32" si="285">$A32/AB$5</f>
        <v>213.3333333</v>
      </c>
      <c r="AC32" s="32">
        <f t="shared" si="285"/>
        <v>16</v>
      </c>
      <c r="AD32" s="48"/>
      <c r="AE32" s="32">
        <f t="shared" ref="AE32:AF32" si="286">$A32/AE$5</f>
        <v>640</v>
      </c>
      <c r="AF32" s="32">
        <f t="shared" si="286"/>
        <v>64</v>
      </c>
      <c r="AG32" s="48"/>
      <c r="AH32" s="32">
        <f t="shared" ref="AH32:AI32" si="287">$A32/AH$5</f>
        <v>640</v>
      </c>
      <c r="AI32" s="32">
        <f t="shared" si="287"/>
        <v>640</v>
      </c>
      <c r="AJ32" s="48"/>
      <c r="AK32" s="32">
        <f t="shared" ref="AK32:AL32" si="288">$A32/AK$5</f>
        <v>640</v>
      </c>
      <c r="AL32" s="32">
        <f t="shared" si="288"/>
        <v>640</v>
      </c>
    </row>
    <row r="33" ht="15.75" customHeight="1">
      <c r="A33" s="21">
        <f>'Soul Energy Tiers'!J9</f>
        <v>1280</v>
      </c>
      <c r="B33" s="5"/>
      <c r="C33" s="55" t="s">
        <v>25</v>
      </c>
      <c r="D33" s="32">
        <f t="shared" si="233"/>
        <v>9.208633094</v>
      </c>
      <c r="E33" s="5"/>
      <c r="F33" s="55" t="s">
        <v>25</v>
      </c>
      <c r="G33" s="32">
        <f t="shared" ref="G33:H33" si="289">$A33/G$5</f>
        <v>42.66666667</v>
      </c>
      <c r="H33" s="32">
        <f t="shared" si="289"/>
        <v>21.33333333</v>
      </c>
      <c r="I33" s="47"/>
      <c r="J33" s="32">
        <f t="shared" ref="J33:K33" si="290">$A33/J$5</f>
        <v>1280</v>
      </c>
      <c r="K33" s="32">
        <f t="shared" si="290"/>
        <v>256</v>
      </c>
      <c r="L33" s="48"/>
      <c r="M33" s="32">
        <f t="shared" ref="M33:N33" si="291">$A33/M$5</f>
        <v>320</v>
      </c>
      <c r="N33" s="32">
        <f t="shared" si="291"/>
        <v>160</v>
      </c>
      <c r="O33" s="48"/>
      <c r="P33" s="32">
        <f t="shared" ref="P33:Q33" si="292">$A33/P$5</f>
        <v>42.66666667</v>
      </c>
      <c r="Q33" s="32">
        <f t="shared" si="292"/>
        <v>21.33333333</v>
      </c>
      <c r="R33" s="48"/>
      <c r="S33" s="32">
        <f t="shared" ref="S33:T33" si="293">$A33/S$5</f>
        <v>256</v>
      </c>
      <c r="T33" s="32">
        <f t="shared" si="293"/>
        <v>85.33333333</v>
      </c>
      <c r="U33" s="48"/>
      <c r="V33" s="32">
        <f t="shared" ref="V33:W33" si="294">$A33/V$5</f>
        <v>128</v>
      </c>
      <c r="W33" s="32">
        <f t="shared" si="294"/>
        <v>51.2</v>
      </c>
      <c r="X33" s="48"/>
      <c r="Y33" s="32">
        <f t="shared" ref="Y33:Z33" si="295">$A33/Y$5</f>
        <v>5.12</v>
      </c>
      <c r="Z33" s="32">
        <f t="shared" si="295"/>
        <v>8.533333333</v>
      </c>
      <c r="AA33" s="48"/>
      <c r="AB33" s="32">
        <f t="shared" ref="AB33:AC33" si="296">$A33/AB$5</f>
        <v>426.6666667</v>
      </c>
      <c r="AC33" s="32">
        <f t="shared" si="296"/>
        <v>32</v>
      </c>
      <c r="AD33" s="48"/>
      <c r="AE33" s="32">
        <f t="shared" ref="AE33:AF33" si="297">$A33/AE$5</f>
        <v>1280</v>
      </c>
      <c r="AF33" s="32">
        <f t="shared" si="297"/>
        <v>128</v>
      </c>
      <c r="AG33" s="48"/>
      <c r="AH33" s="32">
        <f t="shared" ref="AH33:AI33" si="298">$A33/AH$5</f>
        <v>1280</v>
      </c>
      <c r="AI33" s="32">
        <f t="shared" si="298"/>
        <v>1280</v>
      </c>
      <c r="AJ33" s="48"/>
      <c r="AK33" s="32">
        <f t="shared" ref="AK33:AL33" si="299">$A33/AK$5</f>
        <v>1280</v>
      </c>
      <c r="AL33" s="32">
        <f t="shared" si="299"/>
        <v>1280</v>
      </c>
    </row>
    <row r="34" ht="15.75" customHeight="1">
      <c r="A34" s="21">
        <f>'Soul Energy Tiers'!J10</f>
        <v>2560</v>
      </c>
      <c r="B34" s="5"/>
      <c r="C34" s="55" t="s">
        <v>27</v>
      </c>
      <c r="D34" s="32">
        <f t="shared" si="233"/>
        <v>18.41726619</v>
      </c>
      <c r="E34" s="5"/>
      <c r="F34" s="55" t="s">
        <v>27</v>
      </c>
      <c r="G34" s="32">
        <f t="shared" ref="G34:H34" si="300">$A34/G$5</f>
        <v>85.33333333</v>
      </c>
      <c r="H34" s="32">
        <f t="shared" si="300"/>
        <v>42.66666667</v>
      </c>
      <c r="I34" s="47"/>
      <c r="J34" s="32">
        <f t="shared" ref="J34:K34" si="301">$A34/J$5</f>
        <v>2560</v>
      </c>
      <c r="K34" s="32">
        <f t="shared" si="301"/>
        <v>512</v>
      </c>
      <c r="L34" s="48"/>
      <c r="M34" s="32">
        <f t="shared" ref="M34:N34" si="302">$A34/M$5</f>
        <v>640</v>
      </c>
      <c r="N34" s="32">
        <f t="shared" si="302"/>
        <v>320</v>
      </c>
      <c r="O34" s="48"/>
      <c r="P34" s="32">
        <f t="shared" ref="P34:Q34" si="303">$A34/P$5</f>
        <v>85.33333333</v>
      </c>
      <c r="Q34" s="32">
        <f t="shared" si="303"/>
        <v>42.66666667</v>
      </c>
      <c r="R34" s="48"/>
      <c r="S34" s="32">
        <f t="shared" ref="S34:T34" si="304">$A34/S$5</f>
        <v>512</v>
      </c>
      <c r="T34" s="32">
        <f t="shared" si="304"/>
        <v>170.6666667</v>
      </c>
      <c r="U34" s="48"/>
      <c r="V34" s="32">
        <f t="shared" ref="V34:W34" si="305">$A34/V$5</f>
        <v>256</v>
      </c>
      <c r="W34" s="32">
        <f t="shared" si="305"/>
        <v>102.4</v>
      </c>
      <c r="X34" s="48"/>
      <c r="Y34" s="32">
        <f t="shared" ref="Y34:Z34" si="306">$A34/Y$5</f>
        <v>10.24</v>
      </c>
      <c r="Z34" s="32">
        <f t="shared" si="306"/>
        <v>17.06666667</v>
      </c>
      <c r="AA34" s="48"/>
      <c r="AB34" s="32">
        <f t="shared" ref="AB34:AC34" si="307">$A34/AB$5</f>
        <v>853.3333333</v>
      </c>
      <c r="AC34" s="32">
        <f t="shared" si="307"/>
        <v>64</v>
      </c>
      <c r="AD34" s="48"/>
      <c r="AE34" s="32">
        <f t="shared" ref="AE34:AF34" si="308">$A34/AE$5</f>
        <v>2560</v>
      </c>
      <c r="AF34" s="32">
        <f t="shared" si="308"/>
        <v>256</v>
      </c>
      <c r="AG34" s="48"/>
      <c r="AH34" s="32">
        <f t="shared" ref="AH34:AI34" si="309">$A34/AH$5</f>
        <v>2560</v>
      </c>
      <c r="AI34" s="32">
        <f t="shared" si="309"/>
        <v>2560</v>
      </c>
      <c r="AJ34" s="48"/>
      <c r="AK34" s="32">
        <f t="shared" ref="AK34:AL34" si="310">$A34/AK$5</f>
        <v>2560</v>
      </c>
      <c r="AL34" s="32">
        <f t="shared" si="310"/>
        <v>2560</v>
      </c>
    </row>
    <row r="35" ht="15.75" customHeight="1">
      <c r="A35" s="21">
        <f>'Soul Energy Tiers'!J11</f>
        <v>5120</v>
      </c>
      <c r="B35" s="5"/>
      <c r="C35" s="55" t="s">
        <v>29</v>
      </c>
      <c r="D35" s="32">
        <f t="shared" si="233"/>
        <v>36.83453237</v>
      </c>
      <c r="E35" s="5"/>
      <c r="F35" s="55" t="s">
        <v>29</v>
      </c>
      <c r="G35" s="32">
        <f t="shared" ref="G35:H35" si="311">$A35/G$5</f>
        <v>170.6666667</v>
      </c>
      <c r="H35" s="32">
        <f t="shared" si="311"/>
        <v>85.33333333</v>
      </c>
      <c r="I35" s="47"/>
      <c r="J35" s="32">
        <f t="shared" ref="J35:K35" si="312">$A35/J$5</f>
        <v>5120</v>
      </c>
      <c r="K35" s="32">
        <f t="shared" si="312"/>
        <v>1024</v>
      </c>
      <c r="L35" s="48"/>
      <c r="M35" s="32">
        <f t="shared" ref="M35:N35" si="313">$A35/M$5</f>
        <v>1280</v>
      </c>
      <c r="N35" s="32">
        <f t="shared" si="313"/>
        <v>640</v>
      </c>
      <c r="O35" s="48"/>
      <c r="P35" s="32">
        <f t="shared" ref="P35:Q35" si="314">$A35/P$5</f>
        <v>170.6666667</v>
      </c>
      <c r="Q35" s="32">
        <f t="shared" si="314"/>
        <v>85.33333333</v>
      </c>
      <c r="R35" s="48"/>
      <c r="S35" s="32">
        <f t="shared" ref="S35:T35" si="315">$A35/S$5</f>
        <v>1024</v>
      </c>
      <c r="T35" s="32">
        <f t="shared" si="315"/>
        <v>341.3333333</v>
      </c>
      <c r="U35" s="48"/>
      <c r="V35" s="32">
        <f t="shared" ref="V35:W35" si="316">$A35/V$5</f>
        <v>512</v>
      </c>
      <c r="W35" s="32">
        <f t="shared" si="316"/>
        <v>204.8</v>
      </c>
      <c r="X35" s="48"/>
      <c r="Y35" s="32">
        <f t="shared" ref="Y35:Z35" si="317">$A35/Y$5</f>
        <v>20.48</v>
      </c>
      <c r="Z35" s="32">
        <f t="shared" si="317"/>
        <v>34.13333333</v>
      </c>
      <c r="AA35" s="48"/>
      <c r="AB35" s="32">
        <f t="shared" ref="AB35:AC35" si="318">$A35/AB$5</f>
        <v>1706.666667</v>
      </c>
      <c r="AC35" s="32">
        <f t="shared" si="318"/>
        <v>128</v>
      </c>
      <c r="AD35" s="48"/>
      <c r="AE35" s="32">
        <f t="shared" ref="AE35:AF35" si="319">$A35/AE$5</f>
        <v>5120</v>
      </c>
      <c r="AF35" s="32">
        <f t="shared" si="319"/>
        <v>512</v>
      </c>
      <c r="AG35" s="48"/>
      <c r="AH35" s="32">
        <f t="shared" ref="AH35:AI35" si="320">$A35/AH$5</f>
        <v>5120</v>
      </c>
      <c r="AI35" s="32">
        <f t="shared" si="320"/>
        <v>5120</v>
      </c>
      <c r="AJ35" s="48"/>
      <c r="AK35" s="32">
        <f t="shared" ref="AK35:AL35" si="321">$A35/AK$5</f>
        <v>5120</v>
      </c>
      <c r="AL35" s="32">
        <f t="shared" si="321"/>
        <v>5120</v>
      </c>
    </row>
    <row r="36" ht="15.75" customHeight="1">
      <c r="A36" s="21">
        <f>'Soul Energy Tiers'!J12</f>
        <v>10240</v>
      </c>
      <c r="B36" s="5"/>
      <c r="C36" s="55" t="s">
        <v>31</v>
      </c>
      <c r="D36" s="32">
        <f t="shared" si="233"/>
        <v>73.66906475</v>
      </c>
      <c r="E36" s="5"/>
      <c r="F36" s="55" t="s">
        <v>31</v>
      </c>
      <c r="G36" s="32">
        <f t="shared" ref="G36:H36" si="322">$A36/G$5</f>
        <v>341.3333333</v>
      </c>
      <c r="H36" s="32">
        <f t="shared" si="322"/>
        <v>170.6666667</v>
      </c>
      <c r="I36" s="47"/>
      <c r="J36" s="32">
        <f t="shared" ref="J36:K36" si="323">$A36/J$5</f>
        <v>10240</v>
      </c>
      <c r="K36" s="32">
        <f t="shared" si="323"/>
        <v>2048</v>
      </c>
      <c r="L36" s="48"/>
      <c r="M36" s="32">
        <f t="shared" ref="M36:N36" si="324">$A36/M$5</f>
        <v>2560</v>
      </c>
      <c r="N36" s="32">
        <f t="shared" si="324"/>
        <v>1280</v>
      </c>
      <c r="O36" s="48"/>
      <c r="P36" s="32">
        <f t="shared" ref="P36:Q36" si="325">$A36/P$5</f>
        <v>341.3333333</v>
      </c>
      <c r="Q36" s="32">
        <f t="shared" si="325"/>
        <v>170.6666667</v>
      </c>
      <c r="R36" s="48"/>
      <c r="S36" s="32">
        <f t="shared" ref="S36:T36" si="326">$A36/S$5</f>
        <v>2048</v>
      </c>
      <c r="T36" s="32">
        <f t="shared" si="326"/>
        <v>682.6666667</v>
      </c>
      <c r="U36" s="48"/>
      <c r="V36" s="32">
        <f t="shared" ref="V36:W36" si="327">$A36/V$5</f>
        <v>1024</v>
      </c>
      <c r="W36" s="32">
        <f t="shared" si="327"/>
        <v>409.6</v>
      </c>
      <c r="X36" s="48"/>
      <c r="Y36" s="32">
        <f t="shared" ref="Y36:Z36" si="328">$A36/Y$5</f>
        <v>40.96</v>
      </c>
      <c r="Z36" s="32">
        <f t="shared" si="328"/>
        <v>68.26666667</v>
      </c>
      <c r="AA36" s="48"/>
      <c r="AB36" s="32">
        <f t="shared" ref="AB36:AC36" si="329">$A36/AB$5</f>
        <v>3413.333333</v>
      </c>
      <c r="AC36" s="32">
        <f t="shared" si="329"/>
        <v>256</v>
      </c>
      <c r="AD36" s="48"/>
      <c r="AE36" s="32">
        <f t="shared" ref="AE36:AF36" si="330">$A36/AE$5</f>
        <v>10240</v>
      </c>
      <c r="AF36" s="32">
        <f t="shared" si="330"/>
        <v>1024</v>
      </c>
      <c r="AG36" s="48"/>
      <c r="AH36" s="32">
        <f t="shared" ref="AH36:AI36" si="331">$A36/AH$5</f>
        <v>10240</v>
      </c>
      <c r="AI36" s="32">
        <f t="shared" si="331"/>
        <v>10240</v>
      </c>
      <c r="AJ36" s="48"/>
      <c r="AK36" s="32">
        <f t="shared" ref="AK36:AL36" si="332">$A36/AK$5</f>
        <v>10240</v>
      </c>
      <c r="AL36" s="32">
        <f t="shared" si="332"/>
        <v>10240</v>
      </c>
    </row>
    <row r="37" ht="15.75" customHeight="1">
      <c r="A37" s="21">
        <f>'Soul Energy Tiers'!J13</f>
        <v>20480</v>
      </c>
      <c r="B37" s="5"/>
      <c r="C37" s="55" t="s">
        <v>33</v>
      </c>
      <c r="D37" s="32">
        <f t="shared" si="233"/>
        <v>147.3381295</v>
      </c>
      <c r="E37" s="5"/>
      <c r="F37" s="55" t="s">
        <v>33</v>
      </c>
      <c r="G37" s="32">
        <f t="shared" ref="G37:H37" si="333">$A37/G$5</f>
        <v>682.6666667</v>
      </c>
      <c r="H37" s="32">
        <f t="shared" si="333"/>
        <v>341.3333333</v>
      </c>
      <c r="I37" s="47"/>
      <c r="J37" s="32">
        <f t="shared" ref="J37:K37" si="334">$A37/J$5</f>
        <v>20480</v>
      </c>
      <c r="K37" s="32">
        <f t="shared" si="334"/>
        <v>4096</v>
      </c>
      <c r="L37" s="48"/>
      <c r="M37" s="32">
        <f t="shared" ref="M37:N37" si="335">$A37/M$5</f>
        <v>5120</v>
      </c>
      <c r="N37" s="32">
        <f t="shared" si="335"/>
        <v>2560</v>
      </c>
      <c r="O37" s="48"/>
      <c r="P37" s="32">
        <f t="shared" ref="P37:Q37" si="336">$A37/P$5</f>
        <v>682.6666667</v>
      </c>
      <c r="Q37" s="32">
        <f t="shared" si="336"/>
        <v>341.3333333</v>
      </c>
      <c r="R37" s="48"/>
      <c r="S37" s="32">
        <f t="shared" ref="S37:T37" si="337">$A37/S$5</f>
        <v>4096</v>
      </c>
      <c r="T37" s="32">
        <f t="shared" si="337"/>
        <v>1365.333333</v>
      </c>
      <c r="U37" s="48"/>
      <c r="V37" s="32">
        <f t="shared" ref="V37:W37" si="338">$A37/V$5</f>
        <v>2048</v>
      </c>
      <c r="W37" s="32">
        <f t="shared" si="338"/>
        <v>819.2</v>
      </c>
      <c r="X37" s="48"/>
      <c r="Y37" s="32">
        <f t="shared" ref="Y37:Z37" si="339">$A37/Y$5</f>
        <v>81.92</v>
      </c>
      <c r="Z37" s="32">
        <f t="shared" si="339"/>
        <v>136.5333333</v>
      </c>
      <c r="AA37" s="48"/>
      <c r="AB37" s="32">
        <f t="shared" ref="AB37:AC37" si="340">$A37/AB$5</f>
        <v>6826.666667</v>
      </c>
      <c r="AC37" s="32">
        <f t="shared" si="340"/>
        <v>512</v>
      </c>
      <c r="AD37" s="48"/>
      <c r="AE37" s="32">
        <f t="shared" ref="AE37:AF37" si="341">$A37/AE$5</f>
        <v>20480</v>
      </c>
      <c r="AF37" s="32">
        <f t="shared" si="341"/>
        <v>2048</v>
      </c>
      <c r="AG37" s="48"/>
      <c r="AH37" s="32">
        <f t="shared" ref="AH37:AI37" si="342">$A37/AH$5</f>
        <v>20480</v>
      </c>
      <c r="AI37" s="32">
        <f t="shared" si="342"/>
        <v>20480</v>
      </c>
      <c r="AJ37" s="48"/>
      <c r="AK37" s="32">
        <f t="shared" ref="AK37:AL37" si="343">$A37/AK$5</f>
        <v>20480</v>
      </c>
      <c r="AL37" s="32">
        <f t="shared" si="343"/>
        <v>20480</v>
      </c>
    </row>
    <row r="38" ht="15.75" customHeight="1">
      <c r="A38" s="21">
        <f>'Soul Energy Tiers'!J14</f>
        <v>40960</v>
      </c>
      <c r="B38" s="5"/>
      <c r="C38" s="55" t="s">
        <v>35</v>
      </c>
      <c r="D38" s="32">
        <f t="shared" si="233"/>
        <v>294.676259</v>
      </c>
      <c r="E38" s="5"/>
      <c r="F38" s="55" t="s">
        <v>35</v>
      </c>
      <c r="G38" s="32">
        <f t="shared" ref="G38:H38" si="344">$A38/G$5</f>
        <v>1365.333333</v>
      </c>
      <c r="H38" s="32">
        <f t="shared" si="344"/>
        <v>682.6666667</v>
      </c>
      <c r="I38" s="47"/>
      <c r="J38" s="32">
        <f t="shared" ref="J38:K38" si="345">$A38/J$5</f>
        <v>40960</v>
      </c>
      <c r="K38" s="32">
        <f t="shared" si="345"/>
        <v>8192</v>
      </c>
      <c r="L38" s="48"/>
      <c r="M38" s="32">
        <f t="shared" ref="M38:N38" si="346">$A38/M$5</f>
        <v>10240</v>
      </c>
      <c r="N38" s="32">
        <f t="shared" si="346"/>
        <v>5120</v>
      </c>
      <c r="O38" s="48"/>
      <c r="P38" s="32">
        <f t="shared" ref="P38:Q38" si="347">$A38/P$5</f>
        <v>1365.333333</v>
      </c>
      <c r="Q38" s="32">
        <f t="shared" si="347"/>
        <v>682.6666667</v>
      </c>
      <c r="R38" s="48"/>
      <c r="S38" s="32">
        <f t="shared" ref="S38:T38" si="348">$A38/S$5</f>
        <v>8192</v>
      </c>
      <c r="T38" s="32">
        <f t="shared" si="348"/>
        <v>2730.666667</v>
      </c>
      <c r="U38" s="48"/>
      <c r="V38" s="32">
        <f t="shared" ref="V38:W38" si="349">$A38/V$5</f>
        <v>4096</v>
      </c>
      <c r="W38" s="32">
        <f t="shared" si="349"/>
        <v>1638.4</v>
      </c>
      <c r="X38" s="48"/>
      <c r="Y38" s="32">
        <f t="shared" ref="Y38:Z38" si="350">$A38/Y$5</f>
        <v>163.84</v>
      </c>
      <c r="Z38" s="32">
        <f t="shared" si="350"/>
        <v>273.0666667</v>
      </c>
      <c r="AA38" s="48"/>
      <c r="AB38" s="32">
        <f t="shared" ref="AB38:AC38" si="351">$A38/AB$5</f>
        <v>13653.33333</v>
      </c>
      <c r="AC38" s="32">
        <f t="shared" si="351"/>
        <v>1024</v>
      </c>
      <c r="AD38" s="48"/>
      <c r="AE38" s="32">
        <f t="shared" ref="AE38:AF38" si="352">$A38/AE$5</f>
        <v>40960</v>
      </c>
      <c r="AF38" s="32">
        <f t="shared" si="352"/>
        <v>4096</v>
      </c>
      <c r="AG38" s="48"/>
      <c r="AH38" s="32">
        <f t="shared" ref="AH38:AI38" si="353">$A38/AH$5</f>
        <v>40960</v>
      </c>
      <c r="AI38" s="32">
        <f t="shared" si="353"/>
        <v>40960</v>
      </c>
      <c r="AJ38" s="48"/>
      <c r="AK38" s="32">
        <f t="shared" ref="AK38:AL38" si="354">$A38/AK$5</f>
        <v>40960</v>
      </c>
      <c r="AL38" s="32">
        <f t="shared" si="354"/>
        <v>40960</v>
      </c>
    </row>
    <row r="39" ht="15.75" customHeight="1">
      <c r="A39" s="21">
        <f>'Soul Energy Tiers'!J15</f>
        <v>81920</v>
      </c>
      <c r="B39" s="5"/>
      <c r="C39" s="55" t="s">
        <v>37</v>
      </c>
      <c r="D39" s="32">
        <f t="shared" si="233"/>
        <v>589.352518</v>
      </c>
      <c r="E39" s="5"/>
      <c r="F39" s="55" t="s">
        <v>37</v>
      </c>
      <c r="G39" s="32">
        <f t="shared" ref="G39:H39" si="355">$A39/G$5</f>
        <v>2730.666667</v>
      </c>
      <c r="H39" s="32">
        <f t="shared" si="355"/>
        <v>1365.333333</v>
      </c>
      <c r="I39" s="47"/>
      <c r="J39" s="32">
        <f t="shared" ref="J39:K39" si="356">$A39/J$5</f>
        <v>81920</v>
      </c>
      <c r="K39" s="32">
        <f t="shared" si="356"/>
        <v>16384</v>
      </c>
      <c r="L39" s="48"/>
      <c r="M39" s="32">
        <f t="shared" ref="M39:N39" si="357">$A39/M$5</f>
        <v>20480</v>
      </c>
      <c r="N39" s="32">
        <f t="shared" si="357"/>
        <v>10240</v>
      </c>
      <c r="O39" s="48"/>
      <c r="P39" s="32">
        <f t="shared" ref="P39:Q39" si="358">$A39/P$5</f>
        <v>2730.666667</v>
      </c>
      <c r="Q39" s="32">
        <f t="shared" si="358"/>
        <v>1365.333333</v>
      </c>
      <c r="R39" s="48"/>
      <c r="S39" s="32">
        <f t="shared" ref="S39:T39" si="359">$A39/S$5</f>
        <v>16384</v>
      </c>
      <c r="T39" s="32">
        <f t="shared" si="359"/>
        <v>5461.333333</v>
      </c>
      <c r="U39" s="48"/>
      <c r="V39" s="32">
        <f t="shared" ref="V39:W39" si="360">$A39/V$5</f>
        <v>8192</v>
      </c>
      <c r="W39" s="32">
        <f t="shared" si="360"/>
        <v>3276.8</v>
      </c>
      <c r="X39" s="48"/>
      <c r="Y39" s="32">
        <f t="shared" ref="Y39:Z39" si="361">$A39/Y$5</f>
        <v>327.68</v>
      </c>
      <c r="Z39" s="32">
        <f t="shared" si="361"/>
        <v>546.1333333</v>
      </c>
      <c r="AA39" s="48"/>
      <c r="AB39" s="32">
        <f t="shared" ref="AB39:AC39" si="362">$A39/AB$5</f>
        <v>27306.66667</v>
      </c>
      <c r="AC39" s="32">
        <f t="shared" si="362"/>
        <v>2048</v>
      </c>
      <c r="AD39" s="48"/>
      <c r="AE39" s="32">
        <f t="shared" ref="AE39:AF39" si="363">$A39/AE$5</f>
        <v>81920</v>
      </c>
      <c r="AF39" s="32">
        <f t="shared" si="363"/>
        <v>8192</v>
      </c>
      <c r="AG39" s="48"/>
      <c r="AH39" s="32">
        <f t="shared" ref="AH39:AI39" si="364">$A39/AH$5</f>
        <v>81920</v>
      </c>
      <c r="AI39" s="32">
        <f t="shared" si="364"/>
        <v>81920</v>
      </c>
      <c r="AJ39" s="48"/>
      <c r="AK39" s="32">
        <f t="shared" ref="AK39:AL39" si="365">$A39/AK$5</f>
        <v>81920</v>
      </c>
      <c r="AL39" s="32">
        <f t="shared" si="365"/>
        <v>81920</v>
      </c>
    </row>
    <row r="40" ht="15.75" customHeight="1">
      <c r="A40" s="21">
        <f>'Soul Energy Tiers'!J16</f>
        <v>163840</v>
      </c>
      <c r="B40" s="5"/>
      <c r="C40" s="55" t="s">
        <v>39</v>
      </c>
      <c r="D40" s="32">
        <f t="shared" si="233"/>
        <v>1178.705036</v>
      </c>
      <c r="E40" s="5"/>
      <c r="F40" s="55" t="s">
        <v>39</v>
      </c>
      <c r="G40" s="32">
        <f t="shared" ref="G40:H40" si="366">$A40/G$5</f>
        <v>5461.333333</v>
      </c>
      <c r="H40" s="32">
        <f t="shared" si="366"/>
        <v>2730.666667</v>
      </c>
      <c r="I40" s="47"/>
      <c r="J40" s="32">
        <f t="shared" ref="J40:K40" si="367">$A40/J$5</f>
        <v>163840</v>
      </c>
      <c r="K40" s="32">
        <f t="shared" si="367"/>
        <v>32768</v>
      </c>
      <c r="L40" s="48"/>
      <c r="M40" s="32">
        <f t="shared" ref="M40:N40" si="368">$A40/M$5</f>
        <v>40960</v>
      </c>
      <c r="N40" s="32">
        <f t="shared" si="368"/>
        <v>20480</v>
      </c>
      <c r="O40" s="48"/>
      <c r="P40" s="32">
        <f t="shared" ref="P40:Q40" si="369">$A40/P$5</f>
        <v>5461.333333</v>
      </c>
      <c r="Q40" s="32">
        <f t="shared" si="369"/>
        <v>2730.666667</v>
      </c>
      <c r="R40" s="48"/>
      <c r="S40" s="32">
        <f t="shared" ref="S40:T40" si="370">$A40/S$5</f>
        <v>32768</v>
      </c>
      <c r="T40" s="32">
        <f t="shared" si="370"/>
        <v>10922.66667</v>
      </c>
      <c r="U40" s="48"/>
      <c r="V40" s="32">
        <f t="shared" ref="V40:W40" si="371">$A40/V$5</f>
        <v>16384</v>
      </c>
      <c r="W40" s="32">
        <f t="shared" si="371"/>
        <v>6553.6</v>
      </c>
      <c r="X40" s="48"/>
      <c r="Y40" s="32">
        <f t="shared" ref="Y40:Z40" si="372">$A40/Y$5</f>
        <v>655.36</v>
      </c>
      <c r="Z40" s="32">
        <f t="shared" si="372"/>
        <v>1092.266667</v>
      </c>
      <c r="AA40" s="48"/>
      <c r="AB40" s="32">
        <f t="shared" ref="AB40:AC40" si="373">$A40/AB$5</f>
        <v>54613.33333</v>
      </c>
      <c r="AC40" s="32">
        <f t="shared" si="373"/>
        <v>4096</v>
      </c>
      <c r="AD40" s="48"/>
      <c r="AE40" s="32">
        <f t="shared" ref="AE40:AF40" si="374">$A40/AE$5</f>
        <v>163840</v>
      </c>
      <c r="AF40" s="32">
        <f t="shared" si="374"/>
        <v>16384</v>
      </c>
      <c r="AG40" s="48"/>
      <c r="AH40" s="32">
        <f t="shared" ref="AH40:AI40" si="375">$A40/AH$5</f>
        <v>163840</v>
      </c>
      <c r="AI40" s="32">
        <f t="shared" si="375"/>
        <v>163840</v>
      </c>
      <c r="AJ40" s="48"/>
      <c r="AK40" s="32">
        <f t="shared" ref="AK40:AL40" si="376">$A40/AK$5</f>
        <v>163840</v>
      </c>
      <c r="AL40" s="32">
        <f t="shared" si="376"/>
        <v>163840</v>
      </c>
    </row>
    <row r="41" ht="15.75" customHeight="1">
      <c r="A41" s="21">
        <f>'Soul Energy Tiers'!J17</f>
        <v>327680</v>
      </c>
      <c r="B41" s="5"/>
      <c r="C41" s="55" t="s">
        <v>41</v>
      </c>
      <c r="D41" s="32">
        <f t="shared" si="233"/>
        <v>2357.410072</v>
      </c>
      <c r="E41" s="5"/>
      <c r="F41" s="55" t="s">
        <v>41</v>
      </c>
      <c r="G41" s="32">
        <f t="shared" ref="G41:H41" si="377">$A41/G$5</f>
        <v>10922.66667</v>
      </c>
      <c r="H41" s="32">
        <f t="shared" si="377"/>
        <v>5461.333333</v>
      </c>
      <c r="I41" s="47"/>
      <c r="J41" s="32">
        <f t="shared" ref="J41:K41" si="378">$A41/J$5</f>
        <v>327680</v>
      </c>
      <c r="K41" s="32">
        <f t="shared" si="378"/>
        <v>65536</v>
      </c>
      <c r="L41" s="48"/>
      <c r="M41" s="32">
        <f t="shared" ref="M41:N41" si="379">$A41/M$5</f>
        <v>81920</v>
      </c>
      <c r="N41" s="32">
        <f t="shared" si="379"/>
        <v>40960</v>
      </c>
      <c r="O41" s="48"/>
      <c r="P41" s="32">
        <f t="shared" ref="P41:Q41" si="380">$A41/P$5</f>
        <v>10922.66667</v>
      </c>
      <c r="Q41" s="32">
        <f t="shared" si="380"/>
        <v>5461.333333</v>
      </c>
      <c r="R41" s="48"/>
      <c r="S41" s="32">
        <f t="shared" ref="S41:T41" si="381">$A41/S$5</f>
        <v>65536</v>
      </c>
      <c r="T41" s="32">
        <f t="shared" si="381"/>
        <v>21845.33333</v>
      </c>
      <c r="U41" s="48"/>
      <c r="V41" s="32">
        <f t="shared" ref="V41:W41" si="382">$A41/V$5</f>
        <v>32768</v>
      </c>
      <c r="W41" s="32">
        <f t="shared" si="382"/>
        <v>13107.2</v>
      </c>
      <c r="X41" s="48"/>
      <c r="Y41" s="32">
        <f t="shared" ref="Y41:Z41" si="383">$A41/Y$5</f>
        <v>1310.72</v>
      </c>
      <c r="Z41" s="32">
        <f t="shared" si="383"/>
        <v>2184.533333</v>
      </c>
      <c r="AA41" s="48"/>
      <c r="AB41" s="32">
        <f t="shared" ref="AB41:AC41" si="384">$A41/AB$5</f>
        <v>109226.6667</v>
      </c>
      <c r="AC41" s="32">
        <f t="shared" si="384"/>
        <v>8192</v>
      </c>
      <c r="AD41" s="48"/>
      <c r="AE41" s="32">
        <f t="shared" ref="AE41:AF41" si="385">$A41/AE$5</f>
        <v>327680</v>
      </c>
      <c r="AF41" s="32">
        <f t="shared" si="385"/>
        <v>32768</v>
      </c>
      <c r="AG41" s="48"/>
      <c r="AH41" s="32">
        <f t="shared" ref="AH41:AI41" si="386">$A41/AH$5</f>
        <v>327680</v>
      </c>
      <c r="AI41" s="32">
        <f t="shared" si="386"/>
        <v>327680</v>
      </c>
      <c r="AJ41" s="48"/>
      <c r="AK41" s="32">
        <f t="shared" ref="AK41:AL41" si="387">$A41/AK$5</f>
        <v>327680</v>
      </c>
      <c r="AL41" s="32">
        <f t="shared" si="387"/>
        <v>327680</v>
      </c>
    </row>
    <row r="42" ht="15.75" customHeight="1">
      <c r="A42" s="21">
        <f>'Soul Energy Tiers'!J18</f>
        <v>655360</v>
      </c>
      <c r="B42" s="5"/>
      <c r="C42" s="55" t="s">
        <v>43</v>
      </c>
      <c r="D42" s="32">
        <f t="shared" si="233"/>
        <v>4714.820144</v>
      </c>
      <c r="E42" s="5"/>
      <c r="F42" s="55" t="s">
        <v>43</v>
      </c>
      <c r="G42" s="32">
        <f t="shared" ref="G42:H42" si="388">$A42/G$5</f>
        <v>21845.33333</v>
      </c>
      <c r="H42" s="32">
        <f t="shared" si="388"/>
        <v>10922.66667</v>
      </c>
      <c r="I42" s="47"/>
      <c r="J42" s="32">
        <f t="shared" ref="J42:K42" si="389">$A42/J$5</f>
        <v>655360</v>
      </c>
      <c r="K42" s="32">
        <f t="shared" si="389"/>
        <v>131072</v>
      </c>
      <c r="L42" s="48"/>
      <c r="M42" s="32">
        <f t="shared" ref="M42:N42" si="390">$A42/M$5</f>
        <v>163840</v>
      </c>
      <c r="N42" s="32">
        <f t="shared" si="390"/>
        <v>81920</v>
      </c>
      <c r="O42" s="48"/>
      <c r="P42" s="32">
        <f t="shared" ref="P42:Q42" si="391">$A42/P$5</f>
        <v>21845.33333</v>
      </c>
      <c r="Q42" s="32">
        <f t="shared" si="391"/>
        <v>10922.66667</v>
      </c>
      <c r="R42" s="48"/>
      <c r="S42" s="32">
        <f t="shared" ref="S42:T42" si="392">$A42/S$5</f>
        <v>131072</v>
      </c>
      <c r="T42" s="32">
        <f t="shared" si="392"/>
        <v>43690.66667</v>
      </c>
      <c r="U42" s="48"/>
      <c r="V42" s="32">
        <f t="shared" ref="V42:W42" si="393">$A42/V$5</f>
        <v>65536</v>
      </c>
      <c r="W42" s="32">
        <f t="shared" si="393"/>
        <v>26214.4</v>
      </c>
      <c r="X42" s="48"/>
      <c r="Y42" s="32">
        <f t="shared" ref="Y42:Z42" si="394">$A42/Y$5</f>
        <v>2621.44</v>
      </c>
      <c r="Z42" s="32">
        <f t="shared" si="394"/>
        <v>4369.066667</v>
      </c>
      <c r="AA42" s="48"/>
      <c r="AB42" s="32">
        <f t="shared" ref="AB42:AC42" si="395">$A42/AB$5</f>
        <v>218453.3333</v>
      </c>
      <c r="AC42" s="32">
        <f t="shared" si="395"/>
        <v>16384</v>
      </c>
      <c r="AD42" s="48"/>
      <c r="AE42" s="32">
        <f t="shared" ref="AE42:AF42" si="396">$A42/AE$5</f>
        <v>655360</v>
      </c>
      <c r="AF42" s="32">
        <f t="shared" si="396"/>
        <v>65536</v>
      </c>
      <c r="AG42" s="48"/>
      <c r="AH42" s="32">
        <f t="shared" ref="AH42:AI42" si="397">$A42/AH$5</f>
        <v>655360</v>
      </c>
      <c r="AI42" s="32">
        <f t="shared" si="397"/>
        <v>655360</v>
      </c>
      <c r="AJ42" s="48"/>
      <c r="AK42" s="32">
        <f t="shared" ref="AK42:AL42" si="398">$A42/AK$5</f>
        <v>655360</v>
      </c>
      <c r="AL42" s="32">
        <f t="shared" si="398"/>
        <v>655360</v>
      </c>
    </row>
    <row r="43" ht="15.75" customHeight="1">
      <c r="A43" s="21">
        <f>'Soul Energy Tiers'!J19</f>
        <v>1310720</v>
      </c>
      <c r="B43" s="5"/>
      <c r="C43" s="55" t="s">
        <v>45</v>
      </c>
      <c r="D43" s="32">
        <f t="shared" si="233"/>
        <v>9429.640288</v>
      </c>
      <c r="E43" s="5"/>
      <c r="F43" s="55" t="s">
        <v>45</v>
      </c>
      <c r="G43" s="32">
        <f t="shared" ref="G43:H43" si="399">$A43/G$5</f>
        <v>43690.66667</v>
      </c>
      <c r="H43" s="32">
        <f t="shared" si="399"/>
        <v>21845.33333</v>
      </c>
      <c r="I43" s="47"/>
      <c r="J43" s="32">
        <f t="shared" ref="J43:K43" si="400">$A43/J$5</f>
        <v>1310720</v>
      </c>
      <c r="K43" s="32">
        <f t="shared" si="400"/>
        <v>262144</v>
      </c>
      <c r="L43" s="48"/>
      <c r="M43" s="32">
        <f t="shared" ref="M43:N43" si="401">$A43/M$5</f>
        <v>327680</v>
      </c>
      <c r="N43" s="32">
        <f t="shared" si="401"/>
        <v>163840</v>
      </c>
      <c r="O43" s="48"/>
      <c r="P43" s="32">
        <f t="shared" ref="P43:Q43" si="402">$A43/P$5</f>
        <v>43690.66667</v>
      </c>
      <c r="Q43" s="32">
        <f t="shared" si="402"/>
        <v>21845.33333</v>
      </c>
      <c r="R43" s="48"/>
      <c r="S43" s="32">
        <f t="shared" ref="S43:T43" si="403">$A43/S$5</f>
        <v>262144</v>
      </c>
      <c r="T43" s="32">
        <f t="shared" si="403"/>
        <v>87381.33333</v>
      </c>
      <c r="U43" s="48"/>
      <c r="V43" s="32">
        <f t="shared" ref="V43:W43" si="404">$A43/V$5</f>
        <v>131072</v>
      </c>
      <c r="W43" s="32">
        <f t="shared" si="404"/>
        <v>52428.8</v>
      </c>
      <c r="X43" s="48"/>
      <c r="Y43" s="32">
        <f t="shared" ref="Y43:Z43" si="405">$A43/Y$5</f>
        <v>5242.88</v>
      </c>
      <c r="Z43" s="32">
        <f t="shared" si="405"/>
        <v>8738.133333</v>
      </c>
      <c r="AA43" s="48"/>
      <c r="AB43" s="32">
        <f t="shared" ref="AB43:AC43" si="406">$A43/AB$5</f>
        <v>436906.6667</v>
      </c>
      <c r="AC43" s="32">
        <f t="shared" si="406"/>
        <v>32768</v>
      </c>
      <c r="AD43" s="48"/>
      <c r="AE43" s="32">
        <f t="shared" ref="AE43:AF43" si="407">$A43/AE$5</f>
        <v>1310720</v>
      </c>
      <c r="AF43" s="32">
        <f t="shared" si="407"/>
        <v>131072</v>
      </c>
      <c r="AG43" s="48"/>
      <c r="AH43" s="32">
        <f t="shared" ref="AH43:AI43" si="408">$A43/AH$5</f>
        <v>1310720</v>
      </c>
      <c r="AI43" s="32">
        <f t="shared" si="408"/>
        <v>1310720</v>
      </c>
      <c r="AJ43" s="48"/>
      <c r="AK43" s="32">
        <f t="shared" ref="AK43:AL43" si="409">$A43/AK$5</f>
        <v>1310720</v>
      </c>
      <c r="AL43" s="32">
        <f t="shared" si="409"/>
        <v>1310720</v>
      </c>
    </row>
    <row r="44" ht="15.75" customHeight="1">
      <c r="A44" s="35"/>
      <c r="B44" s="5"/>
      <c r="C44" s="5"/>
      <c r="E44" s="5"/>
      <c r="F44" s="35"/>
      <c r="G44" s="35" t="s">
        <v>76</v>
      </c>
    </row>
    <row r="45" ht="15.75" customHeight="1">
      <c r="A45" s="52" t="s">
        <v>75</v>
      </c>
      <c r="B45" s="5"/>
      <c r="C45" s="10" t="s">
        <v>3</v>
      </c>
      <c r="D45" s="10" t="s">
        <v>55</v>
      </c>
      <c r="E45" s="5"/>
      <c r="F45" s="53" t="s">
        <v>3</v>
      </c>
      <c r="G45" s="45" t="str">
        <f t="shared" ref="G45:H45" si="410">G26</f>
        <v>Finaies
(Low)</v>
      </c>
      <c r="H45" s="45" t="str">
        <f t="shared" si="410"/>
        <v>Finaies
(High)</v>
      </c>
      <c r="I45" s="43"/>
      <c r="J45" s="45" t="str">
        <f t="shared" ref="J45:K45" si="411">J26</f>
        <v>Lishies
(Low)</v>
      </c>
      <c r="K45" s="45" t="str">
        <f t="shared" si="411"/>
        <v>Lishies
(High)</v>
      </c>
      <c r="L45" s="44"/>
      <c r="M45" s="45" t="str">
        <f t="shared" ref="M45:N45" si="412">M26</f>
        <v>Buhraies
(Low)</v>
      </c>
      <c r="N45" s="45" t="str">
        <f t="shared" si="412"/>
        <v>Buhraies
(High)</v>
      </c>
      <c r="O45" s="44"/>
      <c r="P45" s="45" t="str">
        <f t="shared" ref="P45:Q45" si="413">P26</f>
        <v>Fuhraies
(Low)</v>
      </c>
      <c r="Q45" s="45" t="str">
        <f t="shared" si="413"/>
        <v>Fuhraies
(High)</v>
      </c>
      <c r="R45" s="44"/>
      <c r="S45" s="45" t="str">
        <f t="shared" ref="S45:T45" si="414">S26</f>
        <v>Darfaries
(Low)</v>
      </c>
      <c r="T45" s="45" t="str">
        <f t="shared" si="414"/>
        <v>Darfaries
(High)</v>
      </c>
      <c r="U45" s="44"/>
      <c r="V45" s="45" t="str">
        <f t="shared" ref="V45:W45" si="415">V26</f>
        <v>Wozefaries
(Low)</v>
      </c>
      <c r="W45" s="45" t="str">
        <f t="shared" si="415"/>
        <v>Wozefaries
(High)</v>
      </c>
      <c r="X45" s="44"/>
      <c r="Y45" s="45" t="str">
        <f t="shared" ref="Y45:Z45" si="416">Y26</f>
        <v>Sorefaries
(Low)</v>
      </c>
      <c r="Z45" s="45" t="str">
        <f t="shared" si="416"/>
        <v>Sorefaries
(High)</v>
      </c>
      <c r="AA45" s="44"/>
      <c r="AB45" s="45" t="str">
        <f t="shared" ref="AB45:AC45" si="417">AB26</f>
        <v>Humans
(Low)</v>
      </c>
      <c r="AC45" s="45" t="str">
        <f t="shared" si="417"/>
        <v>Humans
(High)</v>
      </c>
      <c r="AD45" s="44"/>
      <c r="AE45" s="45" t="str">
        <f t="shared" ref="AE45:AF45" si="418">AE26</f>
        <v>Cruros
(Low)</v>
      </c>
      <c r="AF45" s="45" t="str">
        <f t="shared" si="418"/>
        <v>Cruros
(High)</v>
      </c>
      <c r="AG45" s="44"/>
      <c r="AH45" s="45" t="str">
        <f t="shared" ref="AH45:AI45" si="419">AH26</f>
        <v/>
      </c>
      <c r="AI45" s="45" t="str">
        <f t="shared" si="419"/>
        <v/>
      </c>
      <c r="AJ45" s="44"/>
      <c r="AK45" s="45" t="str">
        <f t="shared" ref="AK45:AL45" si="420">AK26</f>
        <v/>
      </c>
      <c r="AL45" s="45" t="str">
        <f t="shared" si="420"/>
        <v/>
      </c>
    </row>
    <row r="46" ht="15.75" customHeight="1">
      <c r="A46" s="21">
        <f>'Soul Energy Tiers'!J3</f>
        <v>20</v>
      </c>
      <c r="B46" s="5"/>
      <c r="C46" s="54" t="s">
        <v>13</v>
      </c>
      <c r="D46" s="23">
        <f t="shared" ref="D46:D62" si="432">($A46/D$5)/365</f>
        <v>0.0003942051838</v>
      </c>
      <c r="E46" s="5"/>
      <c r="F46" s="54" t="s">
        <v>13</v>
      </c>
      <c r="G46" s="32">
        <f t="shared" ref="G46:H46" si="421">($A46/G$5)/365</f>
        <v>0.001826484018</v>
      </c>
      <c r="H46" s="32">
        <f t="shared" si="421"/>
        <v>0.0009132420091</v>
      </c>
      <c r="I46" s="47"/>
      <c r="J46" s="32">
        <f t="shared" ref="J46:K46" si="422">($A46/J$5)/365</f>
        <v>0.05479452055</v>
      </c>
      <c r="K46" s="32">
        <f t="shared" si="422"/>
        <v>0.01095890411</v>
      </c>
      <c r="L46" s="48"/>
      <c r="M46" s="32">
        <f t="shared" ref="M46:N46" si="423">($A46/M$5)/365</f>
        <v>0.01369863014</v>
      </c>
      <c r="N46" s="32">
        <f t="shared" si="423"/>
        <v>0.006849315068</v>
      </c>
      <c r="O46" s="48"/>
      <c r="P46" s="32">
        <f t="shared" ref="P46:Q46" si="424">($A46/P$5)/365</f>
        <v>0.001826484018</v>
      </c>
      <c r="Q46" s="32">
        <f t="shared" si="424"/>
        <v>0.0009132420091</v>
      </c>
      <c r="R46" s="48"/>
      <c r="S46" s="32">
        <f t="shared" ref="S46:T46" si="425">($A46/S$5)/365</f>
        <v>0.01095890411</v>
      </c>
      <c r="T46" s="32">
        <f t="shared" si="425"/>
        <v>0.003652968037</v>
      </c>
      <c r="U46" s="48"/>
      <c r="V46" s="32">
        <f t="shared" ref="V46:W46" si="426">($A46/V$5)/365</f>
        <v>0.005479452055</v>
      </c>
      <c r="W46" s="32">
        <f t="shared" si="426"/>
        <v>0.002191780822</v>
      </c>
      <c r="X46" s="48"/>
      <c r="Y46" s="32">
        <f t="shared" ref="Y46:Z46" si="427">($A46/Y$5)/365</f>
        <v>0.0002191780822</v>
      </c>
      <c r="Z46" s="32">
        <f t="shared" si="427"/>
        <v>0.0003652968037</v>
      </c>
      <c r="AA46" s="48"/>
      <c r="AB46" s="32">
        <f t="shared" ref="AB46:AC46" si="428">($A46/AB$5)/365</f>
        <v>0.01826484018</v>
      </c>
      <c r="AC46" s="32">
        <f t="shared" si="428"/>
        <v>0.001369863014</v>
      </c>
      <c r="AD46" s="48"/>
      <c r="AE46" s="32">
        <f t="shared" ref="AE46:AF46" si="429">($A46/AE$5)/365</f>
        <v>0.05479452055</v>
      </c>
      <c r="AF46" s="32">
        <f t="shared" si="429"/>
        <v>0.005479452055</v>
      </c>
      <c r="AG46" s="48"/>
      <c r="AH46" s="32">
        <f t="shared" ref="AH46:AI46" si="430">($A46/AH$5)/365</f>
        <v>0.05479452055</v>
      </c>
      <c r="AI46" s="32">
        <f t="shared" si="430"/>
        <v>0.05479452055</v>
      </c>
      <c r="AJ46" s="48"/>
      <c r="AK46" s="32">
        <f t="shared" ref="AK46:AL46" si="431">($A46/AK$5)/365</f>
        <v>0.05479452055</v>
      </c>
      <c r="AL46" s="32">
        <f t="shared" si="431"/>
        <v>0.05479452055</v>
      </c>
    </row>
    <row r="47" ht="15.75" customHeight="1">
      <c r="A47" s="21">
        <f>'Soul Energy Tiers'!J4</f>
        <v>40</v>
      </c>
      <c r="B47" s="5"/>
      <c r="C47" s="55" t="s">
        <v>15</v>
      </c>
      <c r="D47" s="32">
        <f t="shared" si="432"/>
        <v>0.0007884103676</v>
      </c>
      <c r="E47" s="5"/>
      <c r="F47" s="55" t="s">
        <v>15</v>
      </c>
      <c r="G47" s="32">
        <f t="shared" ref="G47:H47" si="433">($A47/G$5)/365</f>
        <v>0.003652968037</v>
      </c>
      <c r="H47" s="32">
        <f t="shared" si="433"/>
        <v>0.001826484018</v>
      </c>
      <c r="I47" s="47"/>
      <c r="J47" s="32">
        <f t="shared" ref="J47:K47" si="434">($A47/J$5)/365</f>
        <v>0.1095890411</v>
      </c>
      <c r="K47" s="32">
        <f t="shared" si="434"/>
        <v>0.02191780822</v>
      </c>
      <c r="L47" s="48"/>
      <c r="M47" s="32">
        <f t="shared" ref="M47:N47" si="435">($A47/M$5)/365</f>
        <v>0.02739726027</v>
      </c>
      <c r="N47" s="32">
        <f t="shared" si="435"/>
        <v>0.01369863014</v>
      </c>
      <c r="O47" s="48"/>
      <c r="P47" s="32">
        <f t="shared" ref="P47:Q47" si="436">($A47/P$5)/365</f>
        <v>0.003652968037</v>
      </c>
      <c r="Q47" s="32">
        <f t="shared" si="436"/>
        <v>0.001826484018</v>
      </c>
      <c r="R47" s="48"/>
      <c r="S47" s="32">
        <f t="shared" ref="S47:T47" si="437">($A47/S$5)/365</f>
        <v>0.02191780822</v>
      </c>
      <c r="T47" s="32">
        <f t="shared" si="437"/>
        <v>0.007305936073</v>
      </c>
      <c r="U47" s="48"/>
      <c r="V47" s="32">
        <f t="shared" ref="V47:W47" si="438">($A47/V$5)/365</f>
        <v>0.01095890411</v>
      </c>
      <c r="W47" s="32">
        <f t="shared" si="438"/>
        <v>0.004383561644</v>
      </c>
      <c r="X47" s="48"/>
      <c r="Y47" s="32">
        <f t="shared" ref="Y47:Z47" si="439">($A47/Y$5)/365</f>
        <v>0.0004383561644</v>
      </c>
      <c r="Z47" s="32">
        <f t="shared" si="439"/>
        <v>0.0007305936073</v>
      </c>
      <c r="AA47" s="48"/>
      <c r="AB47" s="32">
        <f t="shared" ref="AB47:AC47" si="440">($A47/AB$5)/365</f>
        <v>0.03652968037</v>
      </c>
      <c r="AC47" s="32">
        <f t="shared" si="440"/>
        <v>0.002739726027</v>
      </c>
      <c r="AD47" s="48"/>
      <c r="AE47" s="32">
        <f t="shared" ref="AE47:AF47" si="441">($A47/AE$5)/365</f>
        <v>0.1095890411</v>
      </c>
      <c r="AF47" s="32">
        <f t="shared" si="441"/>
        <v>0.01095890411</v>
      </c>
      <c r="AG47" s="48"/>
      <c r="AH47" s="32">
        <f t="shared" ref="AH47:AI47" si="442">($A47/AH$5)/365</f>
        <v>0.1095890411</v>
      </c>
      <c r="AI47" s="32">
        <f t="shared" si="442"/>
        <v>0.1095890411</v>
      </c>
      <c r="AJ47" s="48"/>
      <c r="AK47" s="32">
        <f t="shared" ref="AK47:AL47" si="443">($A47/AK$5)/365</f>
        <v>0.1095890411</v>
      </c>
      <c r="AL47" s="32">
        <f t="shared" si="443"/>
        <v>0.1095890411</v>
      </c>
    </row>
    <row r="48" ht="15.75" customHeight="1">
      <c r="A48" s="21">
        <f>'Soul Energy Tiers'!J5</f>
        <v>80</v>
      </c>
      <c r="B48" s="5"/>
      <c r="C48" s="55" t="s">
        <v>17</v>
      </c>
      <c r="D48" s="32">
        <f t="shared" si="432"/>
        <v>0.001576820735</v>
      </c>
      <c r="E48" s="5"/>
      <c r="F48" s="55" t="s">
        <v>17</v>
      </c>
      <c r="G48" s="32">
        <f t="shared" ref="G48:H48" si="444">($A48/G$5)/365</f>
        <v>0.007305936073</v>
      </c>
      <c r="H48" s="32">
        <f t="shared" si="444"/>
        <v>0.003652968037</v>
      </c>
      <c r="I48" s="47"/>
      <c r="J48" s="32">
        <f t="shared" ref="J48:K48" si="445">($A48/J$5)/365</f>
        <v>0.2191780822</v>
      </c>
      <c r="K48" s="32">
        <f t="shared" si="445"/>
        <v>0.04383561644</v>
      </c>
      <c r="L48" s="48"/>
      <c r="M48" s="32">
        <f t="shared" ref="M48:N48" si="446">($A48/M$5)/365</f>
        <v>0.05479452055</v>
      </c>
      <c r="N48" s="32">
        <f t="shared" si="446"/>
        <v>0.02739726027</v>
      </c>
      <c r="O48" s="48"/>
      <c r="P48" s="32">
        <f t="shared" ref="P48:Q48" si="447">($A48/P$5)/365</f>
        <v>0.007305936073</v>
      </c>
      <c r="Q48" s="32">
        <f t="shared" si="447"/>
        <v>0.003652968037</v>
      </c>
      <c r="R48" s="48"/>
      <c r="S48" s="32">
        <f t="shared" ref="S48:T48" si="448">($A48/S$5)/365</f>
        <v>0.04383561644</v>
      </c>
      <c r="T48" s="32">
        <f t="shared" si="448"/>
        <v>0.01461187215</v>
      </c>
      <c r="U48" s="48"/>
      <c r="V48" s="32">
        <f t="shared" ref="V48:W48" si="449">($A48/V$5)/365</f>
        <v>0.02191780822</v>
      </c>
      <c r="W48" s="32">
        <f t="shared" si="449"/>
        <v>0.008767123288</v>
      </c>
      <c r="X48" s="48"/>
      <c r="Y48" s="32">
        <f t="shared" ref="Y48:Z48" si="450">($A48/Y$5)/365</f>
        <v>0.0008767123288</v>
      </c>
      <c r="Z48" s="32">
        <f t="shared" si="450"/>
        <v>0.001461187215</v>
      </c>
      <c r="AA48" s="48"/>
      <c r="AB48" s="32">
        <f t="shared" ref="AB48:AC48" si="451">($A48/AB$5)/365</f>
        <v>0.07305936073</v>
      </c>
      <c r="AC48" s="32">
        <f t="shared" si="451"/>
        <v>0.005479452055</v>
      </c>
      <c r="AD48" s="48"/>
      <c r="AE48" s="32">
        <f t="shared" ref="AE48:AF48" si="452">($A48/AE$5)/365</f>
        <v>0.2191780822</v>
      </c>
      <c r="AF48" s="32">
        <f t="shared" si="452"/>
        <v>0.02191780822</v>
      </c>
      <c r="AG48" s="48"/>
      <c r="AH48" s="32">
        <f t="shared" ref="AH48:AI48" si="453">($A48/AH$5)/365</f>
        <v>0.2191780822</v>
      </c>
      <c r="AI48" s="32">
        <f t="shared" si="453"/>
        <v>0.2191780822</v>
      </c>
      <c r="AJ48" s="48"/>
      <c r="AK48" s="32">
        <f t="shared" ref="AK48:AL48" si="454">($A48/AK$5)/365</f>
        <v>0.2191780822</v>
      </c>
      <c r="AL48" s="32">
        <f t="shared" si="454"/>
        <v>0.2191780822</v>
      </c>
    </row>
    <row r="49" ht="15.75" customHeight="1">
      <c r="A49" s="21">
        <f>'Soul Energy Tiers'!J6</f>
        <v>160</v>
      </c>
      <c r="B49" s="5"/>
      <c r="C49" s="55" t="s">
        <v>19</v>
      </c>
      <c r="D49" s="32">
        <f t="shared" si="432"/>
        <v>0.00315364147</v>
      </c>
      <c r="E49" s="5"/>
      <c r="F49" s="55" t="s">
        <v>19</v>
      </c>
      <c r="G49" s="32">
        <f t="shared" ref="G49:H49" si="455">($A49/G$5)/365</f>
        <v>0.01461187215</v>
      </c>
      <c r="H49" s="32">
        <f t="shared" si="455"/>
        <v>0.007305936073</v>
      </c>
      <c r="I49" s="47"/>
      <c r="J49" s="32">
        <f t="shared" ref="J49:K49" si="456">($A49/J$5)/365</f>
        <v>0.4383561644</v>
      </c>
      <c r="K49" s="32">
        <f t="shared" si="456"/>
        <v>0.08767123288</v>
      </c>
      <c r="L49" s="48"/>
      <c r="M49" s="32">
        <f t="shared" ref="M49:N49" si="457">($A49/M$5)/365</f>
        <v>0.1095890411</v>
      </c>
      <c r="N49" s="32">
        <f t="shared" si="457"/>
        <v>0.05479452055</v>
      </c>
      <c r="O49" s="48"/>
      <c r="P49" s="32">
        <f t="shared" ref="P49:Q49" si="458">($A49/P$5)/365</f>
        <v>0.01461187215</v>
      </c>
      <c r="Q49" s="32">
        <f t="shared" si="458"/>
        <v>0.007305936073</v>
      </c>
      <c r="R49" s="48"/>
      <c r="S49" s="32">
        <f t="shared" ref="S49:T49" si="459">($A49/S$5)/365</f>
        <v>0.08767123288</v>
      </c>
      <c r="T49" s="32">
        <f t="shared" si="459"/>
        <v>0.02922374429</v>
      </c>
      <c r="U49" s="48"/>
      <c r="V49" s="32">
        <f t="shared" ref="V49:W49" si="460">($A49/V$5)/365</f>
        <v>0.04383561644</v>
      </c>
      <c r="W49" s="32">
        <f t="shared" si="460"/>
        <v>0.01753424658</v>
      </c>
      <c r="X49" s="48"/>
      <c r="Y49" s="32">
        <f t="shared" ref="Y49:Z49" si="461">($A49/Y$5)/365</f>
        <v>0.001753424658</v>
      </c>
      <c r="Z49" s="32">
        <f t="shared" si="461"/>
        <v>0.002922374429</v>
      </c>
      <c r="AA49" s="48"/>
      <c r="AB49" s="32">
        <f t="shared" ref="AB49:AC49" si="462">($A49/AB$5)/365</f>
        <v>0.1461187215</v>
      </c>
      <c r="AC49" s="32">
        <f t="shared" si="462"/>
        <v>0.01095890411</v>
      </c>
      <c r="AD49" s="48"/>
      <c r="AE49" s="32">
        <f t="shared" ref="AE49:AF49" si="463">($A49/AE$5)/365</f>
        <v>0.4383561644</v>
      </c>
      <c r="AF49" s="32">
        <f t="shared" si="463"/>
        <v>0.04383561644</v>
      </c>
      <c r="AG49" s="48"/>
      <c r="AH49" s="32">
        <f t="shared" ref="AH49:AI49" si="464">($A49/AH$5)/365</f>
        <v>0.4383561644</v>
      </c>
      <c r="AI49" s="32">
        <f t="shared" si="464"/>
        <v>0.4383561644</v>
      </c>
      <c r="AJ49" s="48"/>
      <c r="AK49" s="32">
        <f t="shared" ref="AK49:AL49" si="465">($A49/AK$5)/365</f>
        <v>0.4383561644</v>
      </c>
      <c r="AL49" s="32">
        <f t="shared" si="465"/>
        <v>0.4383561644</v>
      </c>
    </row>
    <row r="50" ht="15.75" customHeight="1">
      <c r="A50" s="21">
        <f>'Soul Energy Tiers'!J7</f>
        <v>320</v>
      </c>
      <c r="B50" s="5"/>
      <c r="C50" s="55" t="s">
        <v>21</v>
      </c>
      <c r="D50" s="32">
        <f t="shared" si="432"/>
        <v>0.006307282941</v>
      </c>
      <c r="E50" s="5"/>
      <c r="F50" s="55" t="s">
        <v>21</v>
      </c>
      <c r="G50" s="32">
        <f t="shared" ref="G50:H50" si="466">($A50/G$5)/365</f>
        <v>0.02922374429</v>
      </c>
      <c r="H50" s="32">
        <f t="shared" si="466"/>
        <v>0.01461187215</v>
      </c>
      <c r="I50" s="47"/>
      <c r="J50" s="32">
        <f t="shared" ref="J50:K50" si="467">($A50/J$5)/365</f>
        <v>0.8767123288</v>
      </c>
      <c r="K50" s="32">
        <f t="shared" si="467"/>
        <v>0.1753424658</v>
      </c>
      <c r="L50" s="48"/>
      <c r="M50" s="32">
        <f t="shared" ref="M50:N50" si="468">($A50/M$5)/365</f>
        <v>0.2191780822</v>
      </c>
      <c r="N50" s="32">
        <f t="shared" si="468"/>
        <v>0.1095890411</v>
      </c>
      <c r="O50" s="48"/>
      <c r="P50" s="32">
        <f t="shared" ref="P50:Q50" si="469">($A50/P$5)/365</f>
        <v>0.02922374429</v>
      </c>
      <c r="Q50" s="32">
        <f t="shared" si="469"/>
        <v>0.01461187215</v>
      </c>
      <c r="R50" s="48"/>
      <c r="S50" s="32">
        <f t="shared" ref="S50:T50" si="470">($A50/S$5)/365</f>
        <v>0.1753424658</v>
      </c>
      <c r="T50" s="32">
        <f t="shared" si="470"/>
        <v>0.05844748858</v>
      </c>
      <c r="U50" s="48"/>
      <c r="V50" s="32">
        <f t="shared" ref="V50:W50" si="471">($A50/V$5)/365</f>
        <v>0.08767123288</v>
      </c>
      <c r="W50" s="32">
        <f t="shared" si="471"/>
        <v>0.03506849315</v>
      </c>
      <c r="X50" s="48"/>
      <c r="Y50" s="32">
        <f t="shared" ref="Y50:Z50" si="472">($A50/Y$5)/365</f>
        <v>0.003506849315</v>
      </c>
      <c r="Z50" s="32">
        <f t="shared" si="472"/>
        <v>0.005844748858</v>
      </c>
      <c r="AA50" s="48"/>
      <c r="AB50" s="32">
        <f t="shared" ref="AB50:AC50" si="473">($A50/AB$5)/365</f>
        <v>0.2922374429</v>
      </c>
      <c r="AC50" s="32">
        <f t="shared" si="473"/>
        <v>0.02191780822</v>
      </c>
      <c r="AD50" s="48"/>
      <c r="AE50" s="32">
        <f t="shared" ref="AE50:AF50" si="474">($A50/AE$5)/365</f>
        <v>0.8767123288</v>
      </c>
      <c r="AF50" s="32">
        <f t="shared" si="474"/>
        <v>0.08767123288</v>
      </c>
      <c r="AG50" s="48"/>
      <c r="AH50" s="32">
        <f t="shared" ref="AH50:AI50" si="475">($A50/AH$5)/365</f>
        <v>0.8767123288</v>
      </c>
      <c r="AI50" s="32">
        <f t="shared" si="475"/>
        <v>0.8767123288</v>
      </c>
      <c r="AJ50" s="48"/>
      <c r="AK50" s="32">
        <f t="shared" ref="AK50:AL50" si="476">($A50/AK$5)/365</f>
        <v>0.8767123288</v>
      </c>
      <c r="AL50" s="32">
        <f t="shared" si="476"/>
        <v>0.8767123288</v>
      </c>
    </row>
    <row r="51" ht="15.75" customHeight="1">
      <c r="A51" s="21">
        <f>'Soul Energy Tiers'!J8</f>
        <v>640</v>
      </c>
      <c r="B51" s="5"/>
      <c r="C51" s="55" t="s">
        <v>23</v>
      </c>
      <c r="D51" s="32">
        <f t="shared" si="432"/>
        <v>0.01261456588</v>
      </c>
      <c r="E51" s="5"/>
      <c r="F51" s="55" t="s">
        <v>23</v>
      </c>
      <c r="G51" s="32">
        <f t="shared" ref="G51:H51" si="477">($A51/G$5)/365</f>
        <v>0.05844748858</v>
      </c>
      <c r="H51" s="32">
        <f t="shared" si="477"/>
        <v>0.02922374429</v>
      </c>
      <c r="I51" s="47"/>
      <c r="J51" s="32">
        <f t="shared" ref="J51:K51" si="478">($A51/J$5)/365</f>
        <v>1.753424658</v>
      </c>
      <c r="K51" s="32">
        <f t="shared" si="478"/>
        <v>0.3506849315</v>
      </c>
      <c r="L51" s="48"/>
      <c r="M51" s="32">
        <f t="shared" ref="M51:N51" si="479">($A51/M$5)/365</f>
        <v>0.4383561644</v>
      </c>
      <c r="N51" s="32">
        <f t="shared" si="479"/>
        <v>0.2191780822</v>
      </c>
      <c r="O51" s="48"/>
      <c r="P51" s="32">
        <f t="shared" ref="P51:Q51" si="480">($A51/P$5)/365</f>
        <v>0.05844748858</v>
      </c>
      <c r="Q51" s="32">
        <f t="shared" si="480"/>
        <v>0.02922374429</v>
      </c>
      <c r="R51" s="48"/>
      <c r="S51" s="32">
        <f t="shared" ref="S51:T51" si="481">($A51/S$5)/365</f>
        <v>0.3506849315</v>
      </c>
      <c r="T51" s="32">
        <f t="shared" si="481"/>
        <v>0.1168949772</v>
      </c>
      <c r="U51" s="48"/>
      <c r="V51" s="32">
        <f t="shared" ref="V51:W51" si="482">($A51/V$5)/365</f>
        <v>0.1753424658</v>
      </c>
      <c r="W51" s="32">
        <f t="shared" si="482"/>
        <v>0.0701369863</v>
      </c>
      <c r="X51" s="48"/>
      <c r="Y51" s="32">
        <f t="shared" ref="Y51:Z51" si="483">($A51/Y$5)/365</f>
        <v>0.00701369863</v>
      </c>
      <c r="Z51" s="32">
        <f t="shared" si="483"/>
        <v>0.01168949772</v>
      </c>
      <c r="AA51" s="48"/>
      <c r="AB51" s="32">
        <f t="shared" ref="AB51:AC51" si="484">($A51/AB$5)/365</f>
        <v>0.5844748858</v>
      </c>
      <c r="AC51" s="32">
        <f t="shared" si="484"/>
        <v>0.04383561644</v>
      </c>
      <c r="AD51" s="48"/>
      <c r="AE51" s="32">
        <f t="shared" ref="AE51:AF51" si="485">($A51/AE$5)/365</f>
        <v>1.753424658</v>
      </c>
      <c r="AF51" s="32">
        <f t="shared" si="485"/>
        <v>0.1753424658</v>
      </c>
      <c r="AG51" s="48"/>
      <c r="AH51" s="32">
        <f t="shared" ref="AH51:AI51" si="486">($A51/AH$5)/365</f>
        <v>1.753424658</v>
      </c>
      <c r="AI51" s="32">
        <f t="shared" si="486"/>
        <v>1.753424658</v>
      </c>
      <c r="AJ51" s="48"/>
      <c r="AK51" s="32">
        <f t="shared" ref="AK51:AL51" si="487">($A51/AK$5)/365</f>
        <v>1.753424658</v>
      </c>
      <c r="AL51" s="32">
        <f t="shared" si="487"/>
        <v>1.753424658</v>
      </c>
    </row>
    <row r="52" ht="15.75" customHeight="1">
      <c r="A52" s="21">
        <f>'Soul Energy Tiers'!J9</f>
        <v>1280</v>
      </c>
      <c r="B52" s="5"/>
      <c r="C52" s="55" t="s">
        <v>25</v>
      </c>
      <c r="D52" s="32">
        <f t="shared" si="432"/>
        <v>0.02522913176</v>
      </c>
      <c r="E52" s="5"/>
      <c r="F52" s="55" t="s">
        <v>25</v>
      </c>
      <c r="G52" s="32">
        <f t="shared" ref="G52:H52" si="488">($A52/G$5)/365</f>
        <v>0.1168949772</v>
      </c>
      <c r="H52" s="32">
        <f t="shared" si="488"/>
        <v>0.05844748858</v>
      </c>
      <c r="I52" s="47"/>
      <c r="J52" s="32">
        <f t="shared" ref="J52:K52" si="489">($A52/J$5)/365</f>
        <v>3.506849315</v>
      </c>
      <c r="K52" s="32">
        <f t="shared" si="489"/>
        <v>0.701369863</v>
      </c>
      <c r="L52" s="48"/>
      <c r="M52" s="32">
        <f t="shared" ref="M52:N52" si="490">($A52/M$5)/365</f>
        <v>0.8767123288</v>
      </c>
      <c r="N52" s="32">
        <f t="shared" si="490"/>
        <v>0.4383561644</v>
      </c>
      <c r="O52" s="48"/>
      <c r="P52" s="32">
        <f t="shared" ref="P52:Q52" si="491">($A52/P$5)/365</f>
        <v>0.1168949772</v>
      </c>
      <c r="Q52" s="32">
        <f t="shared" si="491"/>
        <v>0.05844748858</v>
      </c>
      <c r="R52" s="48"/>
      <c r="S52" s="32">
        <f t="shared" ref="S52:T52" si="492">($A52/S$5)/365</f>
        <v>0.701369863</v>
      </c>
      <c r="T52" s="32">
        <f t="shared" si="492"/>
        <v>0.2337899543</v>
      </c>
      <c r="U52" s="48"/>
      <c r="V52" s="32">
        <f t="shared" ref="V52:W52" si="493">($A52/V$5)/365</f>
        <v>0.3506849315</v>
      </c>
      <c r="W52" s="32">
        <f t="shared" si="493"/>
        <v>0.1402739726</v>
      </c>
      <c r="X52" s="48"/>
      <c r="Y52" s="32">
        <f t="shared" ref="Y52:Z52" si="494">($A52/Y$5)/365</f>
        <v>0.01402739726</v>
      </c>
      <c r="Z52" s="32">
        <f t="shared" si="494"/>
        <v>0.02337899543</v>
      </c>
      <c r="AA52" s="48"/>
      <c r="AB52" s="32">
        <f t="shared" ref="AB52:AC52" si="495">($A52/AB$5)/365</f>
        <v>1.168949772</v>
      </c>
      <c r="AC52" s="32">
        <f t="shared" si="495"/>
        <v>0.08767123288</v>
      </c>
      <c r="AD52" s="48"/>
      <c r="AE52" s="32">
        <f t="shared" ref="AE52:AF52" si="496">($A52/AE$5)/365</f>
        <v>3.506849315</v>
      </c>
      <c r="AF52" s="32">
        <f t="shared" si="496"/>
        <v>0.3506849315</v>
      </c>
      <c r="AG52" s="48"/>
      <c r="AH52" s="32">
        <f t="shared" ref="AH52:AI52" si="497">($A52/AH$5)/365</f>
        <v>3.506849315</v>
      </c>
      <c r="AI52" s="32">
        <f t="shared" si="497"/>
        <v>3.506849315</v>
      </c>
      <c r="AJ52" s="48"/>
      <c r="AK52" s="32">
        <f t="shared" ref="AK52:AL52" si="498">($A52/AK$5)/365</f>
        <v>3.506849315</v>
      </c>
      <c r="AL52" s="32">
        <f t="shared" si="498"/>
        <v>3.506849315</v>
      </c>
    </row>
    <row r="53" ht="15.75" customHeight="1">
      <c r="A53" s="21">
        <f>'Soul Energy Tiers'!J10</f>
        <v>2560</v>
      </c>
      <c r="B53" s="5"/>
      <c r="C53" s="55" t="s">
        <v>27</v>
      </c>
      <c r="D53" s="32">
        <f t="shared" si="432"/>
        <v>0.05045826353</v>
      </c>
      <c r="E53" s="5"/>
      <c r="F53" s="55" t="s">
        <v>27</v>
      </c>
      <c r="G53" s="32">
        <f t="shared" ref="G53:H53" si="499">($A53/G$5)/365</f>
        <v>0.2337899543</v>
      </c>
      <c r="H53" s="32">
        <f t="shared" si="499"/>
        <v>0.1168949772</v>
      </c>
      <c r="I53" s="47"/>
      <c r="J53" s="32">
        <f t="shared" ref="J53:K53" si="500">($A53/J$5)/365</f>
        <v>7.01369863</v>
      </c>
      <c r="K53" s="32">
        <f t="shared" si="500"/>
        <v>1.402739726</v>
      </c>
      <c r="L53" s="48"/>
      <c r="M53" s="32">
        <f t="shared" ref="M53:N53" si="501">($A53/M$5)/365</f>
        <v>1.753424658</v>
      </c>
      <c r="N53" s="32">
        <f t="shared" si="501"/>
        <v>0.8767123288</v>
      </c>
      <c r="O53" s="48"/>
      <c r="P53" s="32">
        <f t="shared" ref="P53:Q53" si="502">($A53/P$5)/365</f>
        <v>0.2337899543</v>
      </c>
      <c r="Q53" s="32">
        <f t="shared" si="502"/>
        <v>0.1168949772</v>
      </c>
      <c r="R53" s="48"/>
      <c r="S53" s="32">
        <f t="shared" ref="S53:T53" si="503">($A53/S$5)/365</f>
        <v>1.402739726</v>
      </c>
      <c r="T53" s="32">
        <f t="shared" si="503"/>
        <v>0.4675799087</v>
      </c>
      <c r="U53" s="48"/>
      <c r="V53" s="32">
        <f t="shared" ref="V53:W53" si="504">($A53/V$5)/365</f>
        <v>0.701369863</v>
      </c>
      <c r="W53" s="32">
        <f t="shared" si="504"/>
        <v>0.2805479452</v>
      </c>
      <c r="X53" s="48"/>
      <c r="Y53" s="32">
        <f t="shared" ref="Y53:Z53" si="505">($A53/Y$5)/365</f>
        <v>0.02805479452</v>
      </c>
      <c r="Z53" s="32">
        <f t="shared" si="505"/>
        <v>0.04675799087</v>
      </c>
      <c r="AA53" s="48"/>
      <c r="AB53" s="32">
        <f t="shared" ref="AB53:AC53" si="506">($A53/AB$5)/365</f>
        <v>2.337899543</v>
      </c>
      <c r="AC53" s="32">
        <f t="shared" si="506"/>
        <v>0.1753424658</v>
      </c>
      <c r="AD53" s="48"/>
      <c r="AE53" s="32">
        <f t="shared" ref="AE53:AF53" si="507">($A53/AE$5)/365</f>
        <v>7.01369863</v>
      </c>
      <c r="AF53" s="32">
        <f t="shared" si="507"/>
        <v>0.701369863</v>
      </c>
      <c r="AG53" s="48"/>
      <c r="AH53" s="32">
        <f t="shared" ref="AH53:AI53" si="508">($A53/AH$5)/365</f>
        <v>7.01369863</v>
      </c>
      <c r="AI53" s="32">
        <f t="shared" si="508"/>
        <v>7.01369863</v>
      </c>
      <c r="AJ53" s="48"/>
      <c r="AK53" s="32">
        <f t="shared" ref="AK53:AL53" si="509">($A53/AK$5)/365</f>
        <v>7.01369863</v>
      </c>
      <c r="AL53" s="32">
        <f t="shared" si="509"/>
        <v>7.01369863</v>
      </c>
    </row>
    <row r="54" ht="15.75" customHeight="1">
      <c r="A54" s="21">
        <f>'Soul Energy Tiers'!J11</f>
        <v>5120</v>
      </c>
      <c r="B54" s="5"/>
      <c r="C54" s="55" t="s">
        <v>29</v>
      </c>
      <c r="D54" s="32">
        <f t="shared" si="432"/>
        <v>0.1009165271</v>
      </c>
      <c r="E54" s="5"/>
      <c r="F54" s="55" t="s">
        <v>29</v>
      </c>
      <c r="G54" s="32">
        <f t="shared" ref="G54:H54" si="510">($A54/G$5)/365</f>
        <v>0.4675799087</v>
      </c>
      <c r="H54" s="32">
        <f t="shared" si="510"/>
        <v>0.2337899543</v>
      </c>
      <c r="I54" s="47"/>
      <c r="J54" s="32">
        <f t="shared" ref="J54:K54" si="511">($A54/J$5)/365</f>
        <v>14.02739726</v>
      </c>
      <c r="K54" s="32">
        <f t="shared" si="511"/>
        <v>2.805479452</v>
      </c>
      <c r="L54" s="48"/>
      <c r="M54" s="32">
        <f t="shared" ref="M54:N54" si="512">($A54/M$5)/365</f>
        <v>3.506849315</v>
      </c>
      <c r="N54" s="32">
        <f t="shared" si="512"/>
        <v>1.753424658</v>
      </c>
      <c r="O54" s="48"/>
      <c r="P54" s="32">
        <f t="shared" ref="P54:Q54" si="513">($A54/P$5)/365</f>
        <v>0.4675799087</v>
      </c>
      <c r="Q54" s="32">
        <f t="shared" si="513"/>
        <v>0.2337899543</v>
      </c>
      <c r="R54" s="48"/>
      <c r="S54" s="32">
        <f t="shared" ref="S54:T54" si="514">($A54/S$5)/365</f>
        <v>2.805479452</v>
      </c>
      <c r="T54" s="32">
        <f t="shared" si="514"/>
        <v>0.9351598174</v>
      </c>
      <c r="U54" s="48"/>
      <c r="V54" s="32">
        <f t="shared" ref="V54:W54" si="515">($A54/V$5)/365</f>
        <v>1.402739726</v>
      </c>
      <c r="W54" s="32">
        <f t="shared" si="515"/>
        <v>0.5610958904</v>
      </c>
      <c r="X54" s="48"/>
      <c r="Y54" s="32">
        <f t="shared" ref="Y54:Z54" si="516">($A54/Y$5)/365</f>
        <v>0.05610958904</v>
      </c>
      <c r="Z54" s="32">
        <f t="shared" si="516"/>
        <v>0.09351598174</v>
      </c>
      <c r="AA54" s="48"/>
      <c r="AB54" s="32">
        <f t="shared" ref="AB54:AC54" si="517">($A54/AB$5)/365</f>
        <v>4.675799087</v>
      </c>
      <c r="AC54" s="32">
        <f t="shared" si="517"/>
        <v>0.3506849315</v>
      </c>
      <c r="AD54" s="48"/>
      <c r="AE54" s="32">
        <f t="shared" ref="AE54:AF54" si="518">($A54/AE$5)/365</f>
        <v>14.02739726</v>
      </c>
      <c r="AF54" s="32">
        <f t="shared" si="518"/>
        <v>1.402739726</v>
      </c>
      <c r="AG54" s="48"/>
      <c r="AH54" s="32">
        <f t="shared" ref="AH54:AI54" si="519">($A54/AH$5)/365</f>
        <v>14.02739726</v>
      </c>
      <c r="AI54" s="32">
        <f t="shared" si="519"/>
        <v>14.02739726</v>
      </c>
      <c r="AJ54" s="48"/>
      <c r="AK54" s="32">
        <f t="shared" ref="AK54:AL54" si="520">($A54/AK$5)/365</f>
        <v>14.02739726</v>
      </c>
      <c r="AL54" s="32">
        <f t="shared" si="520"/>
        <v>14.02739726</v>
      </c>
    </row>
    <row r="55" ht="15.75" customHeight="1">
      <c r="A55" s="21">
        <f>'Soul Energy Tiers'!J12</f>
        <v>10240</v>
      </c>
      <c r="B55" s="5"/>
      <c r="C55" s="55" t="s">
        <v>31</v>
      </c>
      <c r="D55" s="32">
        <f t="shared" si="432"/>
        <v>0.2018330541</v>
      </c>
      <c r="E55" s="5"/>
      <c r="F55" s="55" t="s">
        <v>31</v>
      </c>
      <c r="G55" s="32">
        <f t="shared" ref="G55:H55" si="521">($A55/G$5)/365</f>
        <v>0.9351598174</v>
      </c>
      <c r="H55" s="32">
        <f t="shared" si="521"/>
        <v>0.4675799087</v>
      </c>
      <c r="I55" s="47"/>
      <c r="J55" s="32">
        <f t="shared" ref="J55:K55" si="522">($A55/J$5)/365</f>
        <v>28.05479452</v>
      </c>
      <c r="K55" s="32">
        <f t="shared" si="522"/>
        <v>5.610958904</v>
      </c>
      <c r="L55" s="48"/>
      <c r="M55" s="32">
        <f t="shared" ref="M55:N55" si="523">($A55/M$5)/365</f>
        <v>7.01369863</v>
      </c>
      <c r="N55" s="32">
        <f t="shared" si="523"/>
        <v>3.506849315</v>
      </c>
      <c r="O55" s="48"/>
      <c r="P55" s="32">
        <f t="shared" ref="P55:Q55" si="524">($A55/P$5)/365</f>
        <v>0.9351598174</v>
      </c>
      <c r="Q55" s="32">
        <f t="shared" si="524"/>
        <v>0.4675799087</v>
      </c>
      <c r="R55" s="48"/>
      <c r="S55" s="32">
        <f t="shared" ref="S55:T55" si="525">($A55/S$5)/365</f>
        <v>5.610958904</v>
      </c>
      <c r="T55" s="32">
        <f t="shared" si="525"/>
        <v>1.870319635</v>
      </c>
      <c r="U55" s="48"/>
      <c r="V55" s="32">
        <f t="shared" ref="V55:W55" si="526">($A55/V$5)/365</f>
        <v>2.805479452</v>
      </c>
      <c r="W55" s="32">
        <f t="shared" si="526"/>
        <v>1.122191781</v>
      </c>
      <c r="X55" s="48"/>
      <c r="Y55" s="32">
        <f t="shared" ref="Y55:Z55" si="527">($A55/Y$5)/365</f>
        <v>0.1122191781</v>
      </c>
      <c r="Z55" s="32">
        <f t="shared" si="527"/>
        <v>0.1870319635</v>
      </c>
      <c r="AA55" s="48"/>
      <c r="AB55" s="32">
        <f t="shared" ref="AB55:AC55" si="528">($A55/AB$5)/365</f>
        <v>9.351598174</v>
      </c>
      <c r="AC55" s="32">
        <f t="shared" si="528"/>
        <v>0.701369863</v>
      </c>
      <c r="AD55" s="48"/>
      <c r="AE55" s="32">
        <f t="shared" ref="AE55:AF55" si="529">($A55/AE$5)/365</f>
        <v>28.05479452</v>
      </c>
      <c r="AF55" s="32">
        <f t="shared" si="529"/>
        <v>2.805479452</v>
      </c>
      <c r="AG55" s="48"/>
      <c r="AH55" s="32">
        <f t="shared" ref="AH55:AI55" si="530">($A55/AH$5)/365</f>
        <v>28.05479452</v>
      </c>
      <c r="AI55" s="32">
        <f t="shared" si="530"/>
        <v>28.05479452</v>
      </c>
      <c r="AJ55" s="48"/>
      <c r="AK55" s="32">
        <f t="shared" ref="AK55:AL55" si="531">($A55/AK$5)/365</f>
        <v>28.05479452</v>
      </c>
      <c r="AL55" s="32">
        <f t="shared" si="531"/>
        <v>28.05479452</v>
      </c>
    </row>
    <row r="56" ht="15.75" customHeight="1">
      <c r="A56" s="21">
        <f>'Soul Energy Tiers'!J13</f>
        <v>20480</v>
      </c>
      <c r="B56" s="5"/>
      <c r="C56" s="55" t="s">
        <v>33</v>
      </c>
      <c r="D56" s="32">
        <f t="shared" si="432"/>
        <v>0.4036661082</v>
      </c>
      <c r="E56" s="5"/>
      <c r="F56" s="55" t="s">
        <v>33</v>
      </c>
      <c r="G56" s="32">
        <f t="shared" ref="G56:H56" si="532">($A56/G$5)/365</f>
        <v>1.870319635</v>
      </c>
      <c r="H56" s="32">
        <f t="shared" si="532"/>
        <v>0.9351598174</v>
      </c>
      <c r="I56" s="47"/>
      <c r="J56" s="32">
        <f t="shared" ref="J56:K56" si="533">($A56/J$5)/365</f>
        <v>56.10958904</v>
      </c>
      <c r="K56" s="32">
        <f t="shared" si="533"/>
        <v>11.22191781</v>
      </c>
      <c r="L56" s="48"/>
      <c r="M56" s="32">
        <f t="shared" ref="M56:N56" si="534">($A56/M$5)/365</f>
        <v>14.02739726</v>
      </c>
      <c r="N56" s="32">
        <f t="shared" si="534"/>
        <v>7.01369863</v>
      </c>
      <c r="O56" s="48"/>
      <c r="P56" s="32">
        <f t="shared" ref="P56:Q56" si="535">($A56/P$5)/365</f>
        <v>1.870319635</v>
      </c>
      <c r="Q56" s="32">
        <f t="shared" si="535"/>
        <v>0.9351598174</v>
      </c>
      <c r="R56" s="48"/>
      <c r="S56" s="32">
        <f t="shared" ref="S56:T56" si="536">($A56/S$5)/365</f>
        <v>11.22191781</v>
      </c>
      <c r="T56" s="32">
        <f t="shared" si="536"/>
        <v>3.740639269</v>
      </c>
      <c r="U56" s="48"/>
      <c r="V56" s="32">
        <f t="shared" ref="V56:W56" si="537">($A56/V$5)/365</f>
        <v>5.610958904</v>
      </c>
      <c r="W56" s="32">
        <f t="shared" si="537"/>
        <v>2.244383562</v>
      </c>
      <c r="X56" s="48"/>
      <c r="Y56" s="32">
        <f t="shared" ref="Y56:Z56" si="538">($A56/Y$5)/365</f>
        <v>0.2244383562</v>
      </c>
      <c r="Z56" s="32">
        <f t="shared" si="538"/>
        <v>0.3740639269</v>
      </c>
      <c r="AA56" s="48"/>
      <c r="AB56" s="32">
        <f t="shared" ref="AB56:AC56" si="539">($A56/AB$5)/365</f>
        <v>18.70319635</v>
      </c>
      <c r="AC56" s="32">
        <f t="shared" si="539"/>
        <v>1.402739726</v>
      </c>
      <c r="AD56" s="48"/>
      <c r="AE56" s="32">
        <f t="shared" ref="AE56:AF56" si="540">($A56/AE$5)/365</f>
        <v>56.10958904</v>
      </c>
      <c r="AF56" s="32">
        <f t="shared" si="540"/>
        <v>5.610958904</v>
      </c>
      <c r="AG56" s="48"/>
      <c r="AH56" s="32">
        <f t="shared" ref="AH56:AI56" si="541">($A56/AH$5)/365</f>
        <v>56.10958904</v>
      </c>
      <c r="AI56" s="32">
        <f t="shared" si="541"/>
        <v>56.10958904</v>
      </c>
      <c r="AJ56" s="48"/>
      <c r="AK56" s="32">
        <f t="shared" ref="AK56:AL56" si="542">($A56/AK$5)/365</f>
        <v>56.10958904</v>
      </c>
      <c r="AL56" s="32">
        <f t="shared" si="542"/>
        <v>56.10958904</v>
      </c>
    </row>
    <row r="57" ht="15.75" customHeight="1">
      <c r="A57" s="21">
        <f>'Soul Energy Tiers'!J14</f>
        <v>40960</v>
      </c>
      <c r="B57" s="5"/>
      <c r="C57" s="55" t="s">
        <v>35</v>
      </c>
      <c r="D57" s="32">
        <f t="shared" si="432"/>
        <v>0.8073322164</v>
      </c>
      <c r="E57" s="5"/>
      <c r="F57" s="55" t="s">
        <v>35</v>
      </c>
      <c r="G57" s="32">
        <f t="shared" ref="G57:H57" si="543">($A57/G$5)/365</f>
        <v>3.740639269</v>
      </c>
      <c r="H57" s="32">
        <f t="shared" si="543"/>
        <v>1.870319635</v>
      </c>
      <c r="I57" s="47"/>
      <c r="J57" s="32">
        <f t="shared" ref="J57:K57" si="544">($A57/J$5)/365</f>
        <v>112.2191781</v>
      </c>
      <c r="K57" s="32">
        <f t="shared" si="544"/>
        <v>22.44383562</v>
      </c>
      <c r="L57" s="48"/>
      <c r="M57" s="32">
        <f t="shared" ref="M57:N57" si="545">($A57/M$5)/365</f>
        <v>28.05479452</v>
      </c>
      <c r="N57" s="32">
        <f t="shared" si="545"/>
        <v>14.02739726</v>
      </c>
      <c r="O57" s="48"/>
      <c r="P57" s="32">
        <f t="shared" ref="P57:Q57" si="546">($A57/P$5)/365</f>
        <v>3.740639269</v>
      </c>
      <c r="Q57" s="32">
        <f t="shared" si="546"/>
        <v>1.870319635</v>
      </c>
      <c r="R57" s="48"/>
      <c r="S57" s="32">
        <f t="shared" ref="S57:T57" si="547">($A57/S$5)/365</f>
        <v>22.44383562</v>
      </c>
      <c r="T57" s="32">
        <f t="shared" si="547"/>
        <v>7.481278539</v>
      </c>
      <c r="U57" s="48"/>
      <c r="V57" s="32">
        <f t="shared" ref="V57:W57" si="548">($A57/V$5)/365</f>
        <v>11.22191781</v>
      </c>
      <c r="W57" s="32">
        <f t="shared" si="548"/>
        <v>4.488767123</v>
      </c>
      <c r="X57" s="48"/>
      <c r="Y57" s="32">
        <f t="shared" ref="Y57:Z57" si="549">($A57/Y$5)/365</f>
        <v>0.4488767123</v>
      </c>
      <c r="Z57" s="32">
        <f t="shared" si="549"/>
        <v>0.7481278539</v>
      </c>
      <c r="AA57" s="48"/>
      <c r="AB57" s="32">
        <f t="shared" ref="AB57:AC57" si="550">($A57/AB$5)/365</f>
        <v>37.40639269</v>
      </c>
      <c r="AC57" s="32">
        <f t="shared" si="550"/>
        <v>2.805479452</v>
      </c>
      <c r="AD57" s="48"/>
      <c r="AE57" s="32">
        <f t="shared" ref="AE57:AF57" si="551">($A57/AE$5)/365</f>
        <v>112.2191781</v>
      </c>
      <c r="AF57" s="32">
        <f t="shared" si="551"/>
        <v>11.22191781</v>
      </c>
      <c r="AG57" s="48"/>
      <c r="AH57" s="32">
        <f t="shared" ref="AH57:AI57" si="552">($A57/AH$5)/365</f>
        <v>112.2191781</v>
      </c>
      <c r="AI57" s="32">
        <f t="shared" si="552"/>
        <v>112.2191781</v>
      </c>
      <c r="AJ57" s="48"/>
      <c r="AK57" s="32">
        <f t="shared" ref="AK57:AL57" si="553">($A57/AK$5)/365</f>
        <v>112.2191781</v>
      </c>
      <c r="AL57" s="32">
        <f t="shared" si="553"/>
        <v>112.2191781</v>
      </c>
    </row>
    <row r="58" ht="15.75" customHeight="1">
      <c r="A58" s="21">
        <f>'Soul Energy Tiers'!J15</f>
        <v>81920</v>
      </c>
      <c r="B58" s="5"/>
      <c r="C58" s="55" t="s">
        <v>37</v>
      </c>
      <c r="D58" s="32">
        <f t="shared" si="432"/>
        <v>1.614664433</v>
      </c>
      <c r="E58" s="5"/>
      <c r="F58" s="55" t="s">
        <v>37</v>
      </c>
      <c r="G58" s="32">
        <f t="shared" ref="G58:H58" si="554">($A58/G$5)/365</f>
        <v>7.481278539</v>
      </c>
      <c r="H58" s="32">
        <f t="shared" si="554"/>
        <v>3.740639269</v>
      </c>
      <c r="I58" s="47"/>
      <c r="J58" s="32">
        <f t="shared" ref="J58:K58" si="555">($A58/J$5)/365</f>
        <v>224.4383562</v>
      </c>
      <c r="K58" s="32">
        <f t="shared" si="555"/>
        <v>44.88767123</v>
      </c>
      <c r="L58" s="48"/>
      <c r="M58" s="32">
        <f t="shared" ref="M58:N58" si="556">($A58/M$5)/365</f>
        <v>56.10958904</v>
      </c>
      <c r="N58" s="32">
        <f t="shared" si="556"/>
        <v>28.05479452</v>
      </c>
      <c r="O58" s="48"/>
      <c r="P58" s="32">
        <f t="shared" ref="P58:Q58" si="557">($A58/P$5)/365</f>
        <v>7.481278539</v>
      </c>
      <c r="Q58" s="32">
        <f t="shared" si="557"/>
        <v>3.740639269</v>
      </c>
      <c r="R58" s="48"/>
      <c r="S58" s="32">
        <f t="shared" ref="S58:T58" si="558">($A58/S$5)/365</f>
        <v>44.88767123</v>
      </c>
      <c r="T58" s="32">
        <f t="shared" si="558"/>
        <v>14.96255708</v>
      </c>
      <c r="U58" s="48"/>
      <c r="V58" s="32">
        <f t="shared" ref="V58:W58" si="559">($A58/V$5)/365</f>
        <v>22.44383562</v>
      </c>
      <c r="W58" s="32">
        <f t="shared" si="559"/>
        <v>8.977534247</v>
      </c>
      <c r="X58" s="48"/>
      <c r="Y58" s="32">
        <f t="shared" ref="Y58:Z58" si="560">($A58/Y$5)/365</f>
        <v>0.8977534247</v>
      </c>
      <c r="Z58" s="32">
        <f t="shared" si="560"/>
        <v>1.496255708</v>
      </c>
      <c r="AA58" s="48"/>
      <c r="AB58" s="32">
        <f t="shared" ref="AB58:AC58" si="561">($A58/AB$5)/365</f>
        <v>74.81278539</v>
      </c>
      <c r="AC58" s="32">
        <f t="shared" si="561"/>
        <v>5.610958904</v>
      </c>
      <c r="AD58" s="48"/>
      <c r="AE58" s="32">
        <f t="shared" ref="AE58:AF58" si="562">($A58/AE$5)/365</f>
        <v>224.4383562</v>
      </c>
      <c r="AF58" s="32">
        <f t="shared" si="562"/>
        <v>22.44383562</v>
      </c>
      <c r="AG58" s="48"/>
      <c r="AH58" s="32">
        <f t="shared" ref="AH58:AI58" si="563">($A58/AH$5)/365</f>
        <v>224.4383562</v>
      </c>
      <c r="AI58" s="32">
        <f t="shared" si="563"/>
        <v>224.4383562</v>
      </c>
      <c r="AJ58" s="48"/>
      <c r="AK58" s="32">
        <f t="shared" ref="AK58:AL58" si="564">($A58/AK$5)/365</f>
        <v>224.4383562</v>
      </c>
      <c r="AL58" s="32">
        <f t="shared" si="564"/>
        <v>224.4383562</v>
      </c>
    </row>
    <row r="59" ht="15.75" customHeight="1">
      <c r="A59" s="21">
        <f>'Soul Energy Tiers'!J16</f>
        <v>163840</v>
      </c>
      <c r="B59" s="5"/>
      <c r="C59" s="55" t="s">
        <v>39</v>
      </c>
      <c r="D59" s="32">
        <f t="shared" si="432"/>
        <v>3.229328866</v>
      </c>
      <c r="E59" s="5"/>
      <c r="F59" s="55" t="s">
        <v>39</v>
      </c>
      <c r="G59" s="32">
        <f t="shared" ref="G59:H59" si="565">($A59/G$5)/365</f>
        <v>14.96255708</v>
      </c>
      <c r="H59" s="32">
        <f t="shared" si="565"/>
        <v>7.481278539</v>
      </c>
      <c r="I59" s="47"/>
      <c r="J59" s="32">
        <f t="shared" ref="J59:K59" si="566">($A59/J$5)/365</f>
        <v>448.8767123</v>
      </c>
      <c r="K59" s="32">
        <f t="shared" si="566"/>
        <v>89.77534247</v>
      </c>
      <c r="L59" s="48"/>
      <c r="M59" s="32">
        <f t="shared" ref="M59:N59" si="567">($A59/M$5)/365</f>
        <v>112.2191781</v>
      </c>
      <c r="N59" s="32">
        <f t="shared" si="567"/>
        <v>56.10958904</v>
      </c>
      <c r="O59" s="48"/>
      <c r="P59" s="32">
        <f t="shared" ref="P59:Q59" si="568">($A59/P$5)/365</f>
        <v>14.96255708</v>
      </c>
      <c r="Q59" s="32">
        <f t="shared" si="568"/>
        <v>7.481278539</v>
      </c>
      <c r="R59" s="48"/>
      <c r="S59" s="32">
        <f t="shared" ref="S59:T59" si="569">($A59/S$5)/365</f>
        <v>89.77534247</v>
      </c>
      <c r="T59" s="32">
        <f t="shared" si="569"/>
        <v>29.92511416</v>
      </c>
      <c r="U59" s="48"/>
      <c r="V59" s="32">
        <f t="shared" ref="V59:W59" si="570">($A59/V$5)/365</f>
        <v>44.88767123</v>
      </c>
      <c r="W59" s="32">
        <f t="shared" si="570"/>
        <v>17.95506849</v>
      </c>
      <c r="X59" s="48"/>
      <c r="Y59" s="32">
        <f t="shared" ref="Y59:Z59" si="571">($A59/Y$5)/365</f>
        <v>1.795506849</v>
      </c>
      <c r="Z59" s="32">
        <f t="shared" si="571"/>
        <v>2.992511416</v>
      </c>
      <c r="AA59" s="48"/>
      <c r="AB59" s="32">
        <f t="shared" ref="AB59:AC59" si="572">($A59/AB$5)/365</f>
        <v>149.6255708</v>
      </c>
      <c r="AC59" s="32">
        <f t="shared" si="572"/>
        <v>11.22191781</v>
      </c>
      <c r="AD59" s="48"/>
      <c r="AE59" s="32">
        <f t="shared" ref="AE59:AF59" si="573">($A59/AE$5)/365</f>
        <v>448.8767123</v>
      </c>
      <c r="AF59" s="32">
        <f t="shared" si="573"/>
        <v>44.88767123</v>
      </c>
      <c r="AG59" s="48"/>
      <c r="AH59" s="32">
        <f t="shared" ref="AH59:AI59" si="574">($A59/AH$5)/365</f>
        <v>448.8767123</v>
      </c>
      <c r="AI59" s="32">
        <f t="shared" si="574"/>
        <v>448.8767123</v>
      </c>
      <c r="AJ59" s="48"/>
      <c r="AK59" s="32">
        <f t="shared" ref="AK59:AL59" si="575">($A59/AK$5)/365</f>
        <v>448.8767123</v>
      </c>
      <c r="AL59" s="32">
        <f t="shared" si="575"/>
        <v>448.8767123</v>
      </c>
    </row>
    <row r="60" ht="15.75" customHeight="1">
      <c r="A60" s="21">
        <f>'Soul Energy Tiers'!J17</f>
        <v>327680</v>
      </c>
      <c r="B60" s="5"/>
      <c r="C60" s="55" t="s">
        <v>41</v>
      </c>
      <c r="D60" s="32">
        <f t="shared" si="432"/>
        <v>6.458657731</v>
      </c>
      <c r="E60" s="5"/>
      <c r="F60" s="55" t="s">
        <v>41</v>
      </c>
      <c r="G60" s="32">
        <f t="shared" ref="G60:H60" si="576">($A60/G$5)/365</f>
        <v>29.92511416</v>
      </c>
      <c r="H60" s="32">
        <f t="shared" si="576"/>
        <v>14.96255708</v>
      </c>
      <c r="I60" s="47"/>
      <c r="J60" s="32">
        <f t="shared" ref="J60:K60" si="577">($A60/J$5)/365</f>
        <v>897.7534247</v>
      </c>
      <c r="K60" s="32">
        <f t="shared" si="577"/>
        <v>179.5506849</v>
      </c>
      <c r="L60" s="48"/>
      <c r="M60" s="32">
        <f t="shared" ref="M60:N60" si="578">($A60/M$5)/365</f>
        <v>224.4383562</v>
      </c>
      <c r="N60" s="32">
        <f t="shared" si="578"/>
        <v>112.2191781</v>
      </c>
      <c r="O60" s="48"/>
      <c r="P60" s="32">
        <f t="shared" ref="P60:Q60" si="579">($A60/P$5)/365</f>
        <v>29.92511416</v>
      </c>
      <c r="Q60" s="32">
        <f t="shared" si="579"/>
        <v>14.96255708</v>
      </c>
      <c r="R60" s="48"/>
      <c r="S60" s="32">
        <f t="shared" ref="S60:T60" si="580">($A60/S$5)/365</f>
        <v>179.5506849</v>
      </c>
      <c r="T60" s="32">
        <f t="shared" si="580"/>
        <v>59.85022831</v>
      </c>
      <c r="U60" s="48"/>
      <c r="V60" s="32">
        <f t="shared" ref="V60:W60" si="581">($A60/V$5)/365</f>
        <v>89.77534247</v>
      </c>
      <c r="W60" s="32">
        <f t="shared" si="581"/>
        <v>35.91013699</v>
      </c>
      <c r="X60" s="48"/>
      <c r="Y60" s="32">
        <f t="shared" ref="Y60:Z60" si="582">($A60/Y$5)/365</f>
        <v>3.591013699</v>
      </c>
      <c r="Z60" s="32">
        <f t="shared" si="582"/>
        <v>5.985022831</v>
      </c>
      <c r="AA60" s="48"/>
      <c r="AB60" s="32">
        <f t="shared" ref="AB60:AC60" si="583">($A60/AB$5)/365</f>
        <v>299.2511416</v>
      </c>
      <c r="AC60" s="32">
        <f t="shared" si="583"/>
        <v>22.44383562</v>
      </c>
      <c r="AD60" s="48"/>
      <c r="AE60" s="32">
        <f t="shared" ref="AE60:AF60" si="584">($A60/AE$5)/365</f>
        <v>897.7534247</v>
      </c>
      <c r="AF60" s="32">
        <f t="shared" si="584"/>
        <v>89.77534247</v>
      </c>
      <c r="AG60" s="48"/>
      <c r="AH60" s="32">
        <f t="shared" ref="AH60:AI60" si="585">($A60/AH$5)/365</f>
        <v>897.7534247</v>
      </c>
      <c r="AI60" s="32">
        <f t="shared" si="585"/>
        <v>897.7534247</v>
      </c>
      <c r="AJ60" s="48"/>
      <c r="AK60" s="32">
        <f t="shared" ref="AK60:AL60" si="586">($A60/AK$5)/365</f>
        <v>897.7534247</v>
      </c>
      <c r="AL60" s="32">
        <f t="shared" si="586"/>
        <v>897.7534247</v>
      </c>
    </row>
    <row r="61" ht="15.75" customHeight="1">
      <c r="A61" s="21">
        <f>'Soul Energy Tiers'!J18</f>
        <v>655360</v>
      </c>
      <c r="B61" s="5"/>
      <c r="C61" s="55" t="s">
        <v>43</v>
      </c>
      <c r="D61" s="32">
        <f t="shared" si="432"/>
        <v>12.91731546</v>
      </c>
      <c r="E61" s="5"/>
      <c r="F61" s="55" t="s">
        <v>43</v>
      </c>
      <c r="G61" s="32">
        <f t="shared" ref="G61:H61" si="587">($A61/G$5)/365</f>
        <v>59.85022831</v>
      </c>
      <c r="H61" s="32">
        <f t="shared" si="587"/>
        <v>29.92511416</v>
      </c>
      <c r="I61" s="47"/>
      <c r="J61" s="32">
        <f t="shared" ref="J61:K61" si="588">($A61/J$5)/365</f>
        <v>1795.506849</v>
      </c>
      <c r="K61" s="32">
        <f t="shared" si="588"/>
        <v>359.1013699</v>
      </c>
      <c r="L61" s="48"/>
      <c r="M61" s="32">
        <f t="shared" ref="M61:N61" si="589">($A61/M$5)/365</f>
        <v>448.8767123</v>
      </c>
      <c r="N61" s="32">
        <f t="shared" si="589"/>
        <v>224.4383562</v>
      </c>
      <c r="O61" s="48"/>
      <c r="P61" s="32">
        <f t="shared" ref="P61:Q61" si="590">($A61/P$5)/365</f>
        <v>59.85022831</v>
      </c>
      <c r="Q61" s="32">
        <f t="shared" si="590"/>
        <v>29.92511416</v>
      </c>
      <c r="R61" s="48"/>
      <c r="S61" s="32">
        <f t="shared" ref="S61:T61" si="591">($A61/S$5)/365</f>
        <v>359.1013699</v>
      </c>
      <c r="T61" s="32">
        <f t="shared" si="591"/>
        <v>119.7004566</v>
      </c>
      <c r="U61" s="48"/>
      <c r="V61" s="32">
        <f t="shared" ref="V61:W61" si="592">($A61/V$5)/365</f>
        <v>179.5506849</v>
      </c>
      <c r="W61" s="32">
        <f t="shared" si="592"/>
        <v>71.82027397</v>
      </c>
      <c r="X61" s="48"/>
      <c r="Y61" s="32">
        <f t="shared" ref="Y61:Z61" si="593">($A61/Y$5)/365</f>
        <v>7.182027397</v>
      </c>
      <c r="Z61" s="32">
        <f t="shared" si="593"/>
        <v>11.97004566</v>
      </c>
      <c r="AA61" s="48"/>
      <c r="AB61" s="32">
        <f t="shared" ref="AB61:AC61" si="594">($A61/AB$5)/365</f>
        <v>598.5022831</v>
      </c>
      <c r="AC61" s="32">
        <f t="shared" si="594"/>
        <v>44.88767123</v>
      </c>
      <c r="AD61" s="48"/>
      <c r="AE61" s="32">
        <f t="shared" ref="AE61:AF61" si="595">($A61/AE$5)/365</f>
        <v>1795.506849</v>
      </c>
      <c r="AF61" s="32">
        <f t="shared" si="595"/>
        <v>179.5506849</v>
      </c>
      <c r="AG61" s="48"/>
      <c r="AH61" s="32">
        <f t="shared" ref="AH61:AI61" si="596">($A61/AH$5)/365</f>
        <v>1795.506849</v>
      </c>
      <c r="AI61" s="32">
        <f t="shared" si="596"/>
        <v>1795.506849</v>
      </c>
      <c r="AJ61" s="48"/>
      <c r="AK61" s="32">
        <f t="shared" ref="AK61:AL61" si="597">($A61/AK$5)/365</f>
        <v>1795.506849</v>
      </c>
      <c r="AL61" s="32">
        <f t="shared" si="597"/>
        <v>1795.506849</v>
      </c>
    </row>
    <row r="62" ht="15.75" customHeight="1">
      <c r="A62" s="21">
        <f>'Soul Energy Tiers'!J19</f>
        <v>1310720</v>
      </c>
      <c r="B62" s="5"/>
      <c r="C62" s="55" t="s">
        <v>45</v>
      </c>
      <c r="D62" s="32">
        <f t="shared" si="432"/>
        <v>25.83463093</v>
      </c>
      <c r="E62" s="5"/>
      <c r="F62" s="55" t="s">
        <v>45</v>
      </c>
      <c r="G62" s="32">
        <f t="shared" ref="G62:H62" si="598">($A62/G$5)/365</f>
        <v>119.7004566</v>
      </c>
      <c r="H62" s="32">
        <f t="shared" si="598"/>
        <v>59.85022831</v>
      </c>
      <c r="I62" s="47"/>
      <c r="J62" s="32">
        <f t="shared" ref="J62:K62" si="599">($A62/J$5)/365</f>
        <v>3591.013699</v>
      </c>
      <c r="K62" s="32">
        <f t="shared" si="599"/>
        <v>718.2027397</v>
      </c>
      <c r="L62" s="48"/>
      <c r="M62" s="32">
        <f t="shared" ref="M62:N62" si="600">($A62/M$5)/365</f>
        <v>897.7534247</v>
      </c>
      <c r="N62" s="32">
        <f t="shared" si="600"/>
        <v>448.8767123</v>
      </c>
      <c r="O62" s="48"/>
      <c r="P62" s="32">
        <f t="shared" ref="P62:Q62" si="601">($A62/P$5)/365</f>
        <v>119.7004566</v>
      </c>
      <c r="Q62" s="32">
        <f t="shared" si="601"/>
        <v>59.85022831</v>
      </c>
      <c r="R62" s="48"/>
      <c r="S62" s="32">
        <f t="shared" ref="S62:T62" si="602">($A62/S$5)/365</f>
        <v>718.2027397</v>
      </c>
      <c r="T62" s="32">
        <f t="shared" si="602"/>
        <v>239.4009132</v>
      </c>
      <c r="U62" s="48"/>
      <c r="V62" s="32">
        <f t="shared" ref="V62:W62" si="603">($A62/V$5)/365</f>
        <v>359.1013699</v>
      </c>
      <c r="W62" s="32">
        <f t="shared" si="603"/>
        <v>143.6405479</v>
      </c>
      <c r="X62" s="48"/>
      <c r="Y62" s="32">
        <f t="shared" ref="Y62:Z62" si="604">($A62/Y$5)/365</f>
        <v>14.36405479</v>
      </c>
      <c r="Z62" s="32">
        <f t="shared" si="604"/>
        <v>23.94009132</v>
      </c>
      <c r="AA62" s="48"/>
      <c r="AB62" s="32">
        <f t="shared" ref="AB62:AC62" si="605">($A62/AB$5)/365</f>
        <v>1197.004566</v>
      </c>
      <c r="AC62" s="32">
        <f t="shared" si="605"/>
        <v>89.77534247</v>
      </c>
      <c r="AD62" s="48"/>
      <c r="AE62" s="32">
        <f t="shared" ref="AE62:AF62" si="606">($A62/AE$5)/365</f>
        <v>3591.013699</v>
      </c>
      <c r="AF62" s="32">
        <f t="shared" si="606"/>
        <v>359.1013699</v>
      </c>
      <c r="AG62" s="48"/>
      <c r="AH62" s="32">
        <f t="shared" ref="AH62:AI62" si="607">($A62/AH$5)/365</f>
        <v>3591.013699</v>
      </c>
      <c r="AI62" s="32">
        <f t="shared" si="607"/>
        <v>3591.013699</v>
      </c>
      <c r="AJ62" s="48"/>
      <c r="AK62" s="32">
        <f t="shared" ref="AK62:AL62" si="608">($A62/AK$5)/365</f>
        <v>3591.013699</v>
      </c>
      <c r="AL62" s="32">
        <f t="shared" si="608"/>
        <v>3591.013699</v>
      </c>
    </row>
    <row r="63" ht="15.75" customHeight="1">
      <c r="B63" s="5"/>
      <c r="E63" s="5"/>
    </row>
    <row r="64" ht="15.75" customHeight="1">
      <c r="B64" s="5"/>
      <c r="E64" s="5"/>
    </row>
    <row r="65" ht="15.75" customHeight="1">
      <c r="B65" s="5"/>
      <c r="E65" s="5"/>
    </row>
    <row r="66" ht="15.75" customHeight="1">
      <c r="B66" s="5"/>
      <c r="E66" s="5"/>
    </row>
    <row r="67" ht="15.75" customHeight="1">
      <c r="B67" s="5"/>
      <c r="E67" s="5"/>
    </row>
    <row r="68" ht="15.75" customHeight="1">
      <c r="B68" s="5"/>
      <c r="E68" s="5"/>
    </row>
    <row r="69" ht="15.75" customHeight="1">
      <c r="B69" s="5"/>
      <c r="E69" s="5"/>
    </row>
    <row r="70" ht="15.75" customHeight="1">
      <c r="B70" s="5"/>
      <c r="E70" s="5"/>
    </row>
    <row r="71" ht="15.75" customHeight="1">
      <c r="B71" s="5"/>
      <c r="E71" s="5"/>
    </row>
    <row r="72" ht="15.75" customHeight="1">
      <c r="B72" s="5"/>
      <c r="E72" s="5"/>
    </row>
    <row r="73" ht="15.75" customHeight="1">
      <c r="B73" s="5"/>
      <c r="E73" s="5"/>
    </row>
    <row r="74" ht="15.75" customHeight="1">
      <c r="B74" s="5"/>
      <c r="E74" s="5"/>
    </row>
    <row r="75" ht="15.75" customHeight="1">
      <c r="B75" s="5"/>
      <c r="E75" s="5"/>
    </row>
    <row r="76" ht="15.75" customHeight="1">
      <c r="B76" s="5"/>
      <c r="E76" s="5"/>
    </row>
    <row r="77" ht="15.75" customHeight="1">
      <c r="B77" s="5"/>
      <c r="E77" s="5"/>
    </row>
    <row r="78" ht="15.75" customHeight="1">
      <c r="B78" s="5"/>
      <c r="E78" s="5"/>
    </row>
    <row r="79" ht="15.75" customHeight="1">
      <c r="B79" s="5"/>
      <c r="E79" s="5"/>
    </row>
    <row r="80" ht="15.75" customHeight="1">
      <c r="B80" s="5"/>
      <c r="E80" s="5"/>
    </row>
    <row r="81" ht="15.75" customHeight="1">
      <c r="B81" s="5"/>
      <c r="E81" s="5"/>
    </row>
    <row r="82" ht="15.75" customHeight="1">
      <c r="B82" s="5"/>
      <c r="E82" s="5"/>
    </row>
    <row r="83" ht="15.75" customHeight="1">
      <c r="B83" s="5"/>
      <c r="E83" s="5"/>
    </row>
    <row r="84" ht="15.75" customHeight="1">
      <c r="B84" s="5"/>
      <c r="E84" s="5"/>
    </row>
    <row r="85" ht="15.75" customHeight="1">
      <c r="B85" s="5"/>
      <c r="E85" s="5"/>
    </row>
    <row r="86" ht="15.75" customHeight="1">
      <c r="B86" s="5"/>
      <c r="E86" s="5"/>
    </row>
    <row r="87" ht="15.75" customHeight="1">
      <c r="B87" s="5"/>
      <c r="E87" s="5"/>
    </row>
    <row r="88" ht="15.75" customHeight="1">
      <c r="B88" s="5"/>
      <c r="E88" s="5"/>
    </row>
    <row r="89" ht="15.75" customHeight="1">
      <c r="B89" s="5"/>
      <c r="E89" s="5"/>
    </row>
    <row r="90" ht="15.75" customHeight="1">
      <c r="B90" s="5"/>
      <c r="E90" s="5"/>
    </row>
    <row r="91" ht="15.75" customHeight="1">
      <c r="B91" s="5"/>
      <c r="E91" s="5"/>
    </row>
    <row r="92" ht="15.75" customHeight="1">
      <c r="B92" s="5"/>
      <c r="E92" s="5"/>
    </row>
    <row r="93" ht="15.75" customHeight="1">
      <c r="B93" s="5"/>
      <c r="E93" s="5"/>
    </row>
    <row r="94" ht="15.75" customHeight="1">
      <c r="B94" s="5"/>
      <c r="E94" s="5"/>
    </row>
    <row r="95" ht="15.75" customHeight="1">
      <c r="B95" s="5"/>
      <c r="E95" s="5"/>
    </row>
    <row r="96" ht="15.75" customHeight="1">
      <c r="B96" s="5"/>
      <c r="E96" s="5"/>
    </row>
    <row r="97" ht="15.75" customHeight="1">
      <c r="B97" s="5"/>
      <c r="E97" s="5"/>
    </row>
    <row r="98" ht="15.75" customHeight="1">
      <c r="B98" s="5"/>
      <c r="E98" s="5"/>
    </row>
    <row r="99" ht="15.75" customHeight="1">
      <c r="B99" s="5"/>
      <c r="E99" s="5"/>
    </row>
    <row r="100" ht="15.75" customHeight="1">
      <c r="B100" s="5"/>
      <c r="E100" s="5"/>
    </row>
    <row r="101" ht="15.75" customHeight="1">
      <c r="B101" s="5"/>
      <c r="E101" s="5"/>
    </row>
    <row r="102" ht="15.75" customHeight="1">
      <c r="B102" s="5"/>
      <c r="E102" s="5"/>
    </row>
    <row r="103" ht="15.75" customHeight="1">
      <c r="B103" s="5"/>
      <c r="E103" s="5"/>
    </row>
    <row r="104" ht="15.75" customHeight="1">
      <c r="B104" s="5"/>
      <c r="E104" s="5"/>
    </row>
    <row r="105" ht="15.75" customHeight="1">
      <c r="B105" s="5"/>
      <c r="E105" s="5"/>
    </row>
    <row r="106" ht="15.75" customHeight="1">
      <c r="B106" s="5"/>
      <c r="E106" s="5"/>
    </row>
    <row r="107" ht="15.75" customHeight="1">
      <c r="B107" s="5"/>
      <c r="E107" s="5"/>
    </row>
    <row r="108" ht="15.75" customHeight="1">
      <c r="B108" s="5"/>
      <c r="E108" s="5"/>
    </row>
    <row r="109" ht="15.75" customHeight="1">
      <c r="B109" s="5"/>
      <c r="E109" s="5"/>
    </row>
    <row r="110" ht="15.75" customHeight="1">
      <c r="B110" s="5"/>
      <c r="E110" s="5"/>
    </row>
    <row r="111" ht="15.75" customHeight="1">
      <c r="B111" s="5"/>
      <c r="E111" s="5"/>
    </row>
    <row r="112" ht="15.75" customHeight="1">
      <c r="B112" s="5"/>
      <c r="E112" s="5"/>
    </row>
    <row r="113" ht="15.75" customHeight="1">
      <c r="B113" s="5"/>
      <c r="E113" s="5"/>
    </row>
    <row r="114" ht="15.75" customHeight="1">
      <c r="B114" s="5"/>
      <c r="E114" s="5"/>
    </row>
    <row r="115" ht="15.75" customHeight="1">
      <c r="B115" s="5"/>
      <c r="E115" s="5"/>
    </row>
    <row r="116" ht="15.75" customHeight="1">
      <c r="B116" s="5"/>
      <c r="E116" s="5"/>
    </row>
    <row r="117" ht="15.75" customHeight="1">
      <c r="B117" s="5"/>
      <c r="E117" s="5"/>
    </row>
    <row r="118" ht="15.75" customHeight="1">
      <c r="B118" s="5"/>
      <c r="E118" s="5"/>
    </row>
    <row r="119" ht="15.75" customHeight="1">
      <c r="B119" s="5"/>
      <c r="E119" s="5"/>
    </row>
    <row r="120" ht="15.75" customHeight="1">
      <c r="B120" s="5"/>
      <c r="E120" s="5"/>
    </row>
    <row r="121" ht="15.75" customHeight="1">
      <c r="B121" s="5"/>
      <c r="E121" s="5"/>
    </row>
    <row r="122" ht="15.75" customHeight="1">
      <c r="B122" s="5"/>
      <c r="E122" s="5"/>
    </row>
    <row r="123" ht="15.75" customHeight="1">
      <c r="B123" s="5"/>
      <c r="E123" s="5"/>
    </row>
    <row r="124" ht="15.75" customHeight="1">
      <c r="B124" s="5"/>
      <c r="E124" s="5"/>
    </row>
    <row r="125" ht="15.75" customHeight="1">
      <c r="B125" s="5"/>
      <c r="E125" s="5"/>
    </row>
    <row r="126" ht="15.75" customHeight="1">
      <c r="B126" s="5"/>
      <c r="E126" s="5"/>
    </row>
    <row r="127" ht="15.75" customHeight="1">
      <c r="B127" s="5"/>
      <c r="E127" s="5"/>
    </row>
    <row r="128" ht="15.75" customHeight="1">
      <c r="B128" s="5"/>
      <c r="E128" s="5"/>
    </row>
    <row r="129" ht="15.75" customHeight="1">
      <c r="B129" s="5"/>
      <c r="E129" s="5"/>
    </row>
    <row r="130" ht="15.75" customHeight="1">
      <c r="B130" s="5"/>
      <c r="E130" s="5"/>
    </row>
    <row r="131" ht="15.75" customHeight="1">
      <c r="B131" s="5"/>
      <c r="E131" s="5"/>
    </row>
    <row r="132" ht="15.75" customHeight="1">
      <c r="B132" s="5"/>
      <c r="E132" s="5"/>
    </row>
    <row r="133" ht="15.75" customHeight="1">
      <c r="B133" s="5"/>
      <c r="E133" s="5"/>
    </row>
    <row r="134" ht="15.75" customHeight="1">
      <c r="B134" s="5"/>
      <c r="E134" s="5"/>
    </row>
    <row r="135" ht="15.75" customHeight="1">
      <c r="B135" s="5"/>
      <c r="E135" s="5"/>
    </row>
    <row r="136" ht="15.75" customHeight="1">
      <c r="B136" s="5"/>
      <c r="E136" s="5"/>
    </row>
    <row r="137" ht="15.75" customHeight="1">
      <c r="B137" s="5"/>
      <c r="E137" s="5"/>
    </row>
    <row r="138" ht="15.75" customHeight="1">
      <c r="B138" s="5"/>
      <c r="E138" s="5"/>
    </row>
    <row r="139" ht="15.75" customHeight="1">
      <c r="B139" s="5"/>
      <c r="E139" s="5"/>
    </row>
    <row r="140" ht="15.75" customHeight="1">
      <c r="B140" s="5"/>
      <c r="E140" s="5"/>
    </row>
    <row r="141" ht="15.75" customHeight="1">
      <c r="B141" s="5"/>
      <c r="E141" s="5"/>
    </row>
    <row r="142" ht="15.75" customHeight="1">
      <c r="B142" s="5"/>
      <c r="E142" s="5"/>
    </row>
    <row r="143" ht="15.75" customHeight="1">
      <c r="B143" s="5"/>
      <c r="E143" s="5"/>
    </row>
    <row r="144" ht="15.75" customHeight="1">
      <c r="B144" s="5"/>
      <c r="E144" s="5"/>
    </row>
    <row r="145" ht="15.75" customHeight="1">
      <c r="B145" s="5"/>
      <c r="E145" s="5"/>
    </row>
    <row r="146" ht="15.75" customHeight="1">
      <c r="B146" s="5"/>
      <c r="E146" s="5"/>
    </row>
    <row r="147" ht="15.75" customHeight="1">
      <c r="B147" s="5"/>
      <c r="E147" s="5"/>
    </row>
    <row r="148" ht="15.75" customHeight="1">
      <c r="B148" s="5"/>
      <c r="E148" s="5"/>
    </row>
    <row r="149" ht="15.75" customHeight="1">
      <c r="B149" s="5"/>
      <c r="E149" s="5"/>
    </row>
    <row r="150" ht="15.75" customHeight="1">
      <c r="B150" s="5"/>
      <c r="E150" s="5"/>
    </row>
    <row r="151" ht="15.75" customHeight="1">
      <c r="B151" s="5"/>
      <c r="E151" s="5"/>
    </row>
    <row r="152" ht="15.75" customHeight="1">
      <c r="B152" s="5"/>
      <c r="E152" s="5"/>
    </row>
    <row r="153" ht="15.75" customHeight="1">
      <c r="B153" s="5"/>
      <c r="E153" s="5"/>
    </row>
    <row r="154" ht="15.75" customHeight="1">
      <c r="B154" s="5"/>
      <c r="E154" s="5"/>
    </row>
    <row r="155" ht="15.75" customHeight="1">
      <c r="B155" s="5"/>
      <c r="E155" s="5"/>
    </row>
    <row r="156" ht="15.75" customHeight="1">
      <c r="B156" s="5"/>
      <c r="E156" s="5"/>
    </row>
    <row r="157" ht="15.75" customHeight="1">
      <c r="B157" s="5"/>
      <c r="E157" s="5"/>
    </row>
    <row r="158" ht="15.75" customHeight="1">
      <c r="B158" s="5"/>
      <c r="E158" s="5"/>
    </row>
    <row r="159" ht="15.75" customHeight="1">
      <c r="B159" s="5"/>
      <c r="E159" s="5"/>
    </row>
    <row r="160" ht="15.75" customHeight="1">
      <c r="B160" s="5"/>
      <c r="E160" s="5"/>
    </row>
    <row r="161" ht="15.75" customHeight="1">
      <c r="B161" s="5"/>
      <c r="E161" s="5"/>
    </row>
    <row r="162" ht="15.75" customHeight="1">
      <c r="B162" s="5"/>
      <c r="E162" s="5"/>
    </row>
    <row r="163" ht="15.75" customHeight="1">
      <c r="B163" s="5"/>
      <c r="E163" s="5"/>
    </row>
    <row r="164" ht="15.75" customHeight="1">
      <c r="B164" s="5"/>
      <c r="E164" s="5"/>
    </row>
    <row r="165" ht="15.75" customHeight="1">
      <c r="B165" s="5"/>
      <c r="E165" s="5"/>
    </row>
    <row r="166" ht="15.75" customHeight="1">
      <c r="B166" s="5"/>
      <c r="E166" s="5"/>
    </row>
    <row r="167" ht="15.75" customHeight="1">
      <c r="B167" s="5"/>
      <c r="E167" s="5"/>
    </row>
    <row r="168" ht="15.75" customHeight="1">
      <c r="B168" s="5"/>
      <c r="E168" s="5"/>
    </row>
    <row r="169" ht="15.75" customHeight="1">
      <c r="B169" s="5"/>
      <c r="E169" s="5"/>
    </row>
    <row r="170" ht="15.75" customHeight="1">
      <c r="B170" s="5"/>
      <c r="E170" s="5"/>
    </row>
    <row r="171" ht="15.75" customHeight="1">
      <c r="B171" s="5"/>
      <c r="E171" s="5"/>
    </row>
    <row r="172" ht="15.75" customHeight="1">
      <c r="B172" s="5"/>
      <c r="E172" s="5"/>
    </row>
    <row r="173" ht="15.75" customHeight="1">
      <c r="B173" s="5"/>
      <c r="E173" s="5"/>
    </row>
    <row r="174" ht="15.75" customHeight="1">
      <c r="B174" s="5"/>
      <c r="E174" s="5"/>
    </row>
    <row r="175" ht="15.75" customHeight="1">
      <c r="B175" s="5"/>
      <c r="E175" s="5"/>
    </row>
    <row r="176" ht="15.75" customHeight="1">
      <c r="B176" s="5"/>
      <c r="E176" s="5"/>
    </row>
    <row r="177" ht="15.75" customHeight="1">
      <c r="B177" s="5"/>
      <c r="E177" s="5"/>
    </row>
    <row r="178" ht="15.75" customHeight="1">
      <c r="B178" s="5"/>
      <c r="E178" s="5"/>
    </row>
    <row r="179" ht="15.75" customHeight="1">
      <c r="B179" s="5"/>
      <c r="E179" s="5"/>
    </row>
    <row r="180" ht="15.75" customHeight="1">
      <c r="B180" s="5"/>
      <c r="E180" s="5"/>
    </row>
    <row r="181" ht="15.75" customHeight="1">
      <c r="B181" s="5"/>
      <c r="E181" s="5"/>
    </row>
    <row r="182" ht="15.75" customHeight="1">
      <c r="B182" s="5"/>
      <c r="E182" s="5"/>
    </row>
    <row r="183" ht="15.75" customHeight="1">
      <c r="B183" s="5"/>
      <c r="E183" s="5"/>
    </row>
    <row r="184" ht="15.75" customHeight="1">
      <c r="B184" s="5"/>
      <c r="E184" s="5"/>
    </row>
    <row r="185" ht="15.75" customHeight="1">
      <c r="B185" s="5"/>
      <c r="E185" s="5"/>
    </row>
    <row r="186" ht="15.75" customHeight="1">
      <c r="B186" s="5"/>
      <c r="E186" s="5"/>
    </row>
    <row r="187" ht="15.75" customHeight="1">
      <c r="B187" s="5"/>
      <c r="E187" s="5"/>
    </row>
    <row r="188" ht="15.75" customHeight="1">
      <c r="B188" s="5"/>
      <c r="E188" s="5"/>
    </row>
    <row r="189" ht="15.75" customHeight="1">
      <c r="B189" s="5"/>
      <c r="E189" s="5"/>
    </row>
    <row r="190" ht="15.75" customHeight="1">
      <c r="B190" s="5"/>
      <c r="E190" s="5"/>
    </row>
    <row r="191" ht="15.75" customHeight="1">
      <c r="B191" s="5"/>
      <c r="E191" s="5"/>
    </row>
    <row r="192" ht="15.75" customHeight="1">
      <c r="B192" s="5"/>
      <c r="E192" s="5"/>
    </row>
    <row r="193" ht="15.75" customHeight="1">
      <c r="B193" s="5"/>
      <c r="E193" s="5"/>
    </row>
    <row r="194" ht="15.75" customHeight="1">
      <c r="B194" s="5"/>
      <c r="E194" s="5"/>
    </row>
    <row r="195" ht="15.75" customHeight="1">
      <c r="B195" s="5"/>
      <c r="E195" s="5"/>
    </row>
    <row r="196" ht="15.75" customHeight="1">
      <c r="B196" s="5"/>
      <c r="E196" s="5"/>
    </row>
    <row r="197" ht="15.75" customHeight="1">
      <c r="B197" s="5"/>
      <c r="E197" s="5"/>
    </row>
    <row r="198" ht="15.75" customHeight="1">
      <c r="B198" s="5"/>
      <c r="E198" s="5"/>
    </row>
    <row r="199" ht="15.75" customHeight="1">
      <c r="B199" s="5"/>
      <c r="E199" s="5"/>
    </row>
    <row r="200" ht="15.75" customHeight="1">
      <c r="B200" s="5"/>
      <c r="E200" s="5"/>
    </row>
    <row r="201" ht="15.75" customHeight="1">
      <c r="B201" s="5"/>
      <c r="E201" s="5"/>
    </row>
    <row r="202" ht="15.75" customHeight="1">
      <c r="B202" s="5"/>
      <c r="E202" s="5"/>
    </row>
    <row r="203" ht="15.75" customHeight="1">
      <c r="B203" s="5"/>
      <c r="E203" s="5"/>
    </row>
    <row r="204" ht="15.75" customHeight="1">
      <c r="B204" s="5"/>
      <c r="E204" s="5"/>
    </row>
    <row r="205" ht="15.75" customHeight="1">
      <c r="B205" s="5"/>
      <c r="E205" s="5"/>
    </row>
    <row r="206" ht="15.75" customHeight="1">
      <c r="B206" s="5"/>
      <c r="E206" s="5"/>
    </row>
    <row r="207" ht="15.75" customHeight="1">
      <c r="B207" s="5"/>
      <c r="E207" s="5"/>
    </row>
    <row r="208" ht="15.75" customHeight="1">
      <c r="B208" s="5"/>
      <c r="E208" s="5"/>
    </row>
    <row r="209" ht="15.75" customHeight="1">
      <c r="B209" s="5"/>
      <c r="E209" s="5"/>
    </row>
    <row r="210" ht="15.75" customHeight="1">
      <c r="B210" s="5"/>
      <c r="E210" s="5"/>
    </row>
    <row r="211" ht="15.75" customHeight="1">
      <c r="B211" s="5"/>
      <c r="E211" s="5"/>
    </row>
    <row r="212" ht="15.75" customHeight="1">
      <c r="B212" s="5"/>
      <c r="E212" s="5"/>
    </row>
    <row r="213" ht="15.75" customHeight="1">
      <c r="B213" s="5"/>
      <c r="E213" s="5"/>
    </row>
    <row r="214" ht="15.75" customHeight="1">
      <c r="B214" s="5"/>
      <c r="E214" s="5"/>
    </row>
    <row r="215" ht="15.75" customHeight="1">
      <c r="B215" s="5"/>
      <c r="E215" s="5"/>
    </row>
    <row r="216" ht="15.75" customHeight="1">
      <c r="B216" s="5"/>
      <c r="E216" s="5"/>
    </row>
    <row r="217" ht="15.75" customHeight="1">
      <c r="B217" s="5"/>
      <c r="E217" s="5"/>
    </row>
    <row r="218" ht="15.75" customHeight="1">
      <c r="B218" s="5"/>
      <c r="E218" s="5"/>
    </row>
    <row r="219" ht="15.75" customHeight="1">
      <c r="B219" s="5"/>
      <c r="E219" s="5"/>
    </row>
    <row r="220" ht="15.75" customHeight="1">
      <c r="B220" s="5"/>
      <c r="E220" s="5"/>
    </row>
    <row r="221" ht="15.75" customHeight="1">
      <c r="B221" s="5"/>
      <c r="E221" s="5"/>
    </row>
    <row r="222" ht="15.75" customHeight="1">
      <c r="B222" s="5"/>
      <c r="E222" s="5"/>
    </row>
    <row r="223" ht="15.75" customHeight="1">
      <c r="B223" s="5"/>
      <c r="E223" s="5"/>
    </row>
    <row r="224" ht="15.75" customHeight="1">
      <c r="B224" s="5"/>
      <c r="E224" s="5"/>
    </row>
    <row r="225" ht="15.75" customHeight="1">
      <c r="B225" s="5"/>
      <c r="E225" s="5"/>
    </row>
    <row r="226" ht="15.75" customHeight="1">
      <c r="B226" s="5"/>
      <c r="E226" s="5"/>
    </row>
    <row r="227" ht="15.75" customHeight="1">
      <c r="B227" s="5"/>
      <c r="E227" s="5"/>
    </row>
    <row r="228" ht="15.75" customHeight="1">
      <c r="B228" s="5"/>
      <c r="E228" s="5"/>
    </row>
    <row r="229" ht="15.75" customHeight="1">
      <c r="B229" s="5"/>
      <c r="E229" s="5"/>
    </row>
    <row r="230" ht="15.75" customHeight="1">
      <c r="B230" s="5"/>
      <c r="E230" s="5"/>
    </row>
    <row r="231" ht="15.75" customHeight="1">
      <c r="B231" s="5"/>
      <c r="E231" s="5"/>
    </row>
    <row r="232" ht="15.75" customHeight="1">
      <c r="B232" s="5"/>
      <c r="E232" s="5"/>
    </row>
    <row r="233" ht="15.75" customHeight="1">
      <c r="B233" s="5"/>
      <c r="E233" s="5"/>
    </row>
    <row r="234" ht="15.75" customHeight="1">
      <c r="B234" s="5"/>
      <c r="E234" s="5"/>
    </row>
    <row r="235" ht="15.75" customHeight="1">
      <c r="B235" s="5"/>
      <c r="E235" s="5"/>
    </row>
    <row r="236" ht="15.75" customHeight="1">
      <c r="B236" s="5"/>
      <c r="E236" s="5"/>
    </row>
    <row r="237" ht="15.75" customHeight="1">
      <c r="B237" s="5"/>
      <c r="E237" s="5"/>
    </row>
    <row r="238" ht="15.75" customHeight="1">
      <c r="B238" s="5"/>
      <c r="E238" s="5"/>
    </row>
    <row r="239" ht="15.75" customHeight="1">
      <c r="B239" s="5"/>
      <c r="E239" s="5"/>
    </row>
    <row r="240" ht="15.75" customHeight="1">
      <c r="B240" s="5"/>
      <c r="E240" s="5"/>
    </row>
    <row r="241" ht="15.75" customHeight="1">
      <c r="B241" s="5"/>
      <c r="E241" s="5"/>
    </row>
    <row r="242" ht="15.75" customHeight="1">
      <c r="B242" s="5"/>
      <c r="E242" s="5"/>
    </row>
    <row r="243" ht="15.75" customHeight="1">
      <c r="B243" s="5"/>
      <c r="E243" s="5"/>
    </row>
    <row r="244" ht="15.75" customHeight="1">
      <c r="B244" s="5"/>
      <c r="E244" s="5"/>
    </row>
    <row r="245" ht="15.75" customHeight="1">
      <c r="B245" s="5"/>
      <c r="E245" s="5"/>
    </row>
    <row r="246" ht="15.75" customHeight="1">
      <c r="B246" s="5"/>
      <c r="E246" s="5"/>
    </row>
    <row r="247" ht="15.75" customHeight="1">
      <c r="B247" s="5"/>
      <c r="E247" s="5"/>
    </row>
    <row r="248" ht="15.75" customHeight="1">
      <c r="B248" s="5"/>
      <c r="E248" s="5"/>
    </row>
    <row r="249" ht="15.75" customHeight="1">
      <c r="B249" s="5"/>
      <c r="E249" s="5"/>
    </row>
    <row r="250" ht="15.75" customHeight="1">
      <c r="B250" s="5"/>
      <c r="E250" s="5"/>
    </row>
    <row r="251" ht="15.75" customHeight="1">
      <c r="B251" s="5"/>
      <c r="E251" s="5"/>
    </row>
    <row r="252" ht="15.75" customHeight="1">
      <c r="B252" s="5"/>
      <c r="E252" s="5"/>
    </row>
    <row r="253" ht="15.75" customHeight="1">
      <c r="B253" s="5"/>
      <c r="E253" s="5"/>
    </row>
    <row r="254" ht="15.75" customHeight="1">
      <c r="B254" s="5"/>
      <c r="E254" s="5"/>
    </row>
    <row r="255" ht="15.75" customHeight="1">
      <c r="B255" s="5"/>
      <c r="E255" s="5"/>
    </row>
    <row r="256" ht="15.75" customHeight="1">
      <c r="B256" s="5"/>
      <c r="E256" s="5"/>
    </row>
    <row r="257" ht="15.75" customHeight="1">
      <c r="B257" s="5"/>
      <c r="E257" s="5"/>
    </row>
    <row r="258" ht="15.75" customHeight="1">
      <c r="B258" s="5"/>
      <c r="E258" s="5"/>
    </row>
    <row r="259" ht="15.75" customHeight="1">
      <c r="B259" s="5"/>
      <c r="E259" s="5"/>
    </row>
    <row r="260" ht="15.75" customHeight="1">
      <c r="B260" s="5"/>
      <c r="E260" s="5"/>
    </row>
    <row r="261" ht="15.75" customHeight="1">
      <c r="B261" s="5"/>
      <c r="E261" s="5"/>
    </row>
    <row r="262" ht="15.75" customHeight="1">
      <c r="B262" s="5"/>
      <c r="E262" s="5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44:D44"/>
    <mergeCell ref="G44:AL44"/>
    <mergeCell ref="C1:D1"/>
    <mergeCell ref="G1:AL1"/>
    <mergeCell ref="A2:A5"/>
    <mergeCell ref="C6:D6"/>
    <mergeCell ref="G6:AL6"/>
    <mergeCell ref="C25:D25"/>
    <mergeCell ref="G25:AL25"/>
  </mergeCells>
  <conditionalFormatting sqref="G8:G24">
    <cfRule type="cellIs" dxfId="0" priority="1" operator="greaterThanOrEqual">
      <formula>$G$4</formula>
    </cfRule>
  </conditionalFormatting>
  <conditionalFormatting sqref="H8:I24 I27:I43 I46:I62">
    <cfRule type="cellIs" dxfId="0" priority="2" operator="greaterThanOrEqual">
      <formula>$H$4</formula>
    </cfRule>
  </conditionalFormatting>
  <conditionalFormatting sqref="J8:J24">
    <cfRule type="cellIs" dxfId="0" priority="3" operator="greaterThanOrEqual">
      <formula>$J$4</formula>
    </cfRule>
  </conditionalFormatting>
  <conditionalFormatting sqref="K8:L24">
    <cfRule type="cellIs" dxfId="0" priority="4" operator="greaterThanOrEqual">
      <formula>$K$4</formula>
    </cfRule>
  </conditionalFormatting>
  <conditionalFormatting sqref="M8:M24">
    <cfRule type="cellIs" dxfId="0" priority="5" operator="greaterThanOrEqual">
      <formula>$M$4</formula>
    </cfRule>
  </conditionalFormatting>
  <conditionalFormatting sqref="N8:O24">
    <cfRule type="cellIs" dxfId="0" priority="6" operator="greaterThanOrEqual">
      <formula>$N$4</formula>
    </cfRule>
  </conditionalFormatting>
  <conditionalFormatting sqref="P8:P24">
    <cfRule type="cellIs" dxfId="0" priority="7" operator="greaterThanOrEqual">
      <formula>$P$4</formula>
    </cfRule>
  </conditionalFormatting>
  <conditionalFormatting sqref="Q8:R24">
    <cfRule type="cellIs" dxfId="0" priority="8" operator="greaterThanOrEqual">
      <formula>$Q$4</formula>
    </cfRule>
  </conditionalFormatting>
  <conditionalFormatting sqref="S8:S24">
    <cfRule type="cellIs" dxfId="0" priority="9" operator="greaterThanOrEqual">
      <formula>$S$4</formula>
    </cfRule>
  </conditionalFormatting>
  <conditionalFormatting sqref="G8:G24">
    <cfRule type="cellIs" dxfId="1" priority="10" operator="between">
      <formula>$G$3</formula>
      <formula>$G$4</formula>
    </cfRule>
  </conditionalFormatting>
  <conditionalFormatting sqref="H8:I24 I27:I43 I46:I62">
    <cfRule type="cellIs" dxfId="1" priority="11" operator="between">
      <formula>$H$3</formula>
      <formula>$H$4</formula>
    </cfRule>
  </conditionalFormatting>
  <conditionalFormatting sqref="J8:J24">
    <cfRule type="cellIs" dxfId="1" priority="12" operator="between">
      <formula>J$3</formula>
      <formula>J$4</formula>
    </cfRule>
  </conditionalFormatting>
  <conditionalFormatting sqref="K8:L24">
    <cfRule type="cellIs" dxfId="1" priority="13" operator="between">
      <formula>$K$3</formula>
      <formula>$K$4</formula>
    </cfRule>
  </conditionalFormatting>
  <conditionalFormatting sqref="M8:M24">
    <cfRule type="cellIs" dxfId="1" priority="14" operator="between">
      <formula>$M$3</formula>
      <formula>$M$4</formula>
    </cfRule>
  </conditionalFormatting>
  <conditionalFormatting sqref="N8:O24">
    <cfRule type="cellIs" dxfId="1" priority="15" operator="between">
      <formula>$N$3</formula>
      <formula>$N$4</formula>
    </cfRule>
  </conditionalFormatting>
  <conditionalFormatting sqref="P8:P24">
    <cfRule type="cellIs" dxfId="1" priority="16" operator="between">
      <formula>$P$3</formula>
      <formula>$P$4</formula>
    </cfRule>
  </conditionalFormatting>
  <conditionalFormatting sqref="Q8:R24">
    <cfRule type="cellIs" dxfId="1" priority="17" operator="between">
      <formula>$Q$3</formula>
      <formula>$Q$4</formula>
    </cfRule>
  </conditionalFormatting>
  <conditionalFormatting sqref="S8:S24">
    <cfRule type="cellIs" dxfId="1" priority="18" operator="between">
      <formula>$S$3</formula>
      <formula>$S$4</formula>
    </cfRule>
  </conditionalFormatting>
  <conditionalFormatting sqref="G8:G24">
    <cfRule type="cellIs" dxfId="2" priority="19" operator="lessThanOrEqual">
      <formula>$G$2</formula>
    </cfRule>
  </conditionalFormatting>
  <conditionalFormatting sqref="D46:D62 G46:AL62">
    <cfRule type="cellIs" dxfId="3" priority="20" operator="lessThanOrEqual">
      <formula>1</formula>
    </cfRule>
  </conditionalFormatting>
  <conditionalFormatting sqref="D27:D43 G27:AL43">
    <cfRule type="cellIs" dxfId="3" priority="21" operator="greaterThanOrEqual">
      <formula>365</formula>
    </cfRule>
  </conditionalFormatting>
  <conditionalFormatting sqref="D8:D24">
    <cfRule type="cellIs" dxfId="4" priority="22" operator="greaterThanOrEqual">
      <formula>$D$4</formula>
    </cfRule>
  </conditionalFormatting>
  <conditionalFormatting sqref="D8:D24">
    <cfRule type="cellIs" dxfId="2" priority="23" operator="lessThanOrEqual">
      <formula>$D$2</formula>
    </cfRule>
  </conditionalFormatting>
  <conditionalFormatting sqref="D8:D24">
    <cfRule type="cellIs" dxfId="1" priority="24" operator="between">
      <formula>$D$3</formula>
      <formula>$D$4</formula>
    </cfRule>
  </conditionalFormatting>
  <conditionalFormatting sqref="T8:U24 X8:X24 X27:X43 X46:X62 AA8:AA24 AA27:AA43 AA46:AA62">
    <cfRule type="cellIs" dxfId="2" priority="25" operator="lessThanOrEqual">
      <formula>$T$2</formula>
    </cfRule>
  </conditionalFormatting>
  <conditionalFormatting sqref="H8:I24 I27:I43 I46:I62">
    <cfRule type="cellIs" dxfId="2" priority="26" operator="lessThanOrEqual">
      <formula>$H$2</formula>
    </cfRule>
  </conditionalFormatting>
  <conditionalFormatting sqref="J8:J24">
    <cfRule type="cellIs" dxfId="2" priority="27" operator="lessThanOrEqual">
      <formula>$J$2</formula>
    </cfRule>
  </conditionalFormatting>
  <conditionalFormatting sqref="K8:L24">
    <cfRule type="cellIs" dxfId="2" priority="28" operator="lessThanOrEqual">
      <formula>$K$2</formula>
    </cfRule>
  </conditionalFormatting>
  <conditionalFormatting sqref="M8:M24">
    <cfRule type="cellIs" dxfId="2" priority="29" operator="lessThanOrEqual">
      <formula>$M$2</formula>
    </cfRule>
  </conditionalFormatting>
  <conditionalFormatting sqref="N8:O24">
    <cfRule type="cellIs" dxfId="2" priority="30" operator="lessThanOrEqual">
      <formula>$N$2</formula>
    </cfRule>
  </conditionalFormatting>
  <conditionalFormatting sqref="P8:P24">
    <cfRule type="cellIs" dxfId="2" priority="31" operator="lessThanOrEqual">
      <formula>$P$2</formula>
    </cfRule>
  </conditionalFormatting>
  <conditionalFormatting sqref="Q8:R24">
    <cfRule type="cellIs" dxfId="2" priority="32" operator="lessThanOrEqual">
      <formula>$Q$2</formula>
    </cfRule>
  </conditionalFormatting>
  <conditionalFormatting sqref="S8:S24">
    <cfRule type="cellIs" dxfId="2" priority="33" operator="lessThanOrEqual">
      <formula>$S$2</formula>
    </cfRule>
  </conditionalFormatting>
  <conditionalFormatting sqref="V8:V24">
    <cfRule type="cellIs" dxfId="2" priority="34" operator="lessThanOrEqual">
      <formula>$V$2</formula>
    </cfRule>
  </conditionalFormatting>
  <conditionalFormatting sqref="W8:X24">
    <cfRule type="cellIs" dxfId="2" priority="35" operator="lessThanOrEqual">
      <formula>$W$2</formula>
    </cfRule>
  </conditionalFormatting>
  <conditionalFormatting sqref="Y8:Y24">
    <cfRule type="cellIs" dxfId="2" priority="36" operator="lessThanOrEqual">
      <formula>$Y$2</formula>
    </cfRule>
  </conditionalFormatting>
  <conditionalFormatting sqref="Z8:AA24">
    <cfRule type="cellIs" dxfId="2" priority="37" operator="lessThanOrEqual">
      <formula>$Z$2</formula>
    </cfRule>
  </conditionalFormatting>
  <conditionalFormatting sqref="AB8:AB24">
    <cfRule type="cellIs" dxfId="2" priority="38" operator="lessThanOrEqual">
      <formula>$AB$2</formula>
    </cfRule>
  </conditionalFormatting>
  <conditionalFormatting sqref="AC8:AD24 AG8:AG24 AG27:AG43 AG46:AG62 AJ8:AJ24 AJ27:AJ43 AJ46:AJ62">
    <cfRule type="cellIs" dxfId="2" priority="39" operator="lessThanOrEqual">
      <formula>$AC$2</formula>
    </cfRule>
  </conditionalFormatting>
  <conditionalFormatting sqref="AE8:AE24">
    <cfRule type="cellIs" dxfId="2" priority="40" operator="lessThanOrEqual">
      <formula>$AE$2</formula>
    </cfRule>
  </conditionalFormatting>
  <conditionalFormatting sqref="AF8:AG24">
    <cfRule type="cellIs" dxfId="2" priority="41" operator="lessThanOrEqual">
      <formula>$AF$2</formula>
    </cfRule>
  </conditionalFormatting>
  <conditionalFormatting sqref="AH8:AH24">
    <cfRule type="cellIs" dxfId="2" priority="42" operator="lessThanOrEqual">
      <formula>$AH$2</formula>
    </cfRule>
  </conditionalFormatting>
  <conditionalFormatting sqref="AI8:AJ24">
    <cfRule type="cellIs" dxfId="2" priority="43" operator="lessThanOrEqual">
      <formula>$AI$2</formula>
    </cfRule>
  </conditionalFormatting>
  <conditionalFormatting sqref="AK8:AK24">
    <cfRule type="cellIs" dxfId="2" priority="44" operator="lessThanOrEqual">
      <formula>$AK$2</formula>
    </cfRule>
  </conditionalFormatting>
  <conditionalFormatting sqref="AL8:AL24">
    <cfRule type="cellIs" dxfId="2" priority="45" operator="lessThanOrEqual">
      <formula>$AL$2</formula>
    </cfRule>
  </conditionalFormatting>
  <conditionalFormatting sqref="T8:U24 X8:X24 X27:X43 X46:X62 AA8:AA24 AA27:AA43 AA46:AA62">
    <cfRule type="cellIs" dxfId="1" priority="46" operator="between">
      <formula>$T$3</formula>
      <formula>$T$4</formula>
    </cfRule>
  </conditionalFormatting>
  <conditionalFormatting sqref="V8:V24">
    <cfRule type="cellIs" dxfId="1" priority="47" operator="between">
      <formula>$V$3</formula>
      <formula>$V$4</formula>
    </cfRule>
  </conditionalFormatting>
  <conditionalFormatting sqref="W8:X24">
    <cfRule type="cellIs" dxfId="1" priority="48" operator="between">
      <formula>$W$3</formula>
      <formula>$W$4</formula>
    </cfRule>
  </conditionalFormatting>
  <conditionalFormatting sqref="Y8:Y24">
    <cfRule type="cellIs" dxfId="1" priority="49" operator="between">
      <formula>$Y$3</formula>
      <formula>$Y$4</formula>
    </cfRule>
  </conditionalFormatting>
  <conditionalFormatting sqref="Z8:AA24">
    <cfRule type="cellIs" dxfId="1" priority="50" operator="between">
      <formula>$Z$3</formula>
      <formula>$Z$4</formula>
    </cfRule>
  </conditionalFormatting>
  <conditionalFormatting sqref="AB8:AB24">
    <cfRule type="cellIs" dxfId="1" priority="51" operator="between">
      <formula>$AB$3</formula>
      <formula>$AB$4</formula>
    </cfRule>
  </conditionalFormatting>
  <conditionalFormatting sqref="AC8:AD24 AG8:AG24 AG27:AG43 AG46:AG62 AJ8:AJ24 AJ27:AJ43 AJ46:AJ62">
    <cfRule type="cellIs" dxfId="1" priority="52" operator="between">
      <formula>$AC$3</formula>
      <formula>$AC$4</formula>
    </cfRule>
  </conditionalFormatting>
  <conditionalFormatting sqref="AE8:AE24">
    <cfRule type="cellIs" dxfId="1" priority="53" operator="between">
      <formula>$AE$3</formula>
      <formula>$AE$4</formula>
    </cfRule>
  </conditionalFormatting>
  <conditionalFormatting sqref="AF8:AG24">
    <cfRule type="cellIs" dxfId="1" priority="54" operator="between">
      <formula>$AF$3</formula>
      <formula>$AF$4</formula>
    </cfRule>
  </conditionalFormatting>
  <conditionalFormatting sqref="AH8:AH24">
    <cfRule type="cellIs" dxfId="1" priority="55" operator="between">
      <formula>$AH$3</formula>
      <formula>$AH$4</formula>
    </cfRule>
  </conditionalFormatting>
  <conditionalFormatting sqref="AI8:AJ24">
    <cfRule type="cellIs" dxfId="1" priority="56" operator="between">
      <formula>$AI$3</formula>
      <formula>$AI$4</formula>
    </cfRule>
  </conditionalFormatting>
  <conditionalFormatting sqref="AK8:AK24">
    <cfRule type="cellIs" dxfId="1" priority="57" operator="between">
      <formula>$AK$3</formula>
      <formula>$AK$4</formula>
    </cfRule>
  </conditionalFormatting>
  <conditionalFormatting sqref="AL8:AL24">
    <cfRule type="cellIs" dxfId="1" priority="58" operator="between">
      <formula>$AL$3</formula>
      <formula>$AL$4</formula>
    </cfRule>
  </conditionalFormatting>
  <conditionalFormatting sqref="T8:U24 X8:X24 X27:X43 X46:X62 AA8:AA24 AA27:AA43 AA46:AA62">
    <cfRule type="cellIs" dxfId="0" priority="59" operator="greaterThanOrEqual">
      <formula>$T$4</formula>
    </cfRule>
  </conditionalFormatting>
  <conditionalFormatting sqref="V8:V24">
    <cfRule type="cellIs" dxfId="0" priority="60" operator="greaterThanOrEqual">
      <formula>$V$4</formula>
    </cfRule>
  </conditionalFormatting>
  <conditionalFormatting sqref="W8:X24">
    <cfRule type="cellIs" dxfId="0" priority="61" operator="greaterThanOrEqual">
      <formula>$W$4</formula>
    </cfRule>
  </conditionalFormatting>
  <conditionalFormatting sqref="Y8:Y24">
    <cfRule type="cellIs" dxfId="0" priority="62" operator="greaterThanOrEqual">
      <formula>$Y$4</formula>
    </cfRule>
  </conditionalFormatting>
  <conditionalFormatting sqref="Z8:AA24">
    <cfRule type="cellIs" dxfId="0" priority="63" operator="greaterThanOrEqual">
      <formula>$Z$4</formula>
    </cfRule>
  </conditionalFormatting>
  <conditionalFormatting sqref="AB8:AB24">
    <cfRule type="cellIs" dxfId="0" priority="64" operator="greaterThanOrEqual">
      <formula>$AB$4</formula>
    </cfRule>
  </conditionalFormatting>
  <conditionalFormatting sqref="AC8:AD24 AG8:AG24 AG27:AG43 AG46:AG62 AJ8:AJ24 AJ27:AJ43 AJ46:AJ62">
    <cfRule type="cellIs" dxfId="0" priority="65" operator="greaterThanOrEqual">
      <formula>$AC$4</formula>
    </cfRule>
  </conditionalFormatting>
  <conditionalFormatting sqref="AE8:AE24">
    <cfRule type="cellIs" dxfId="0" priority="66" operator="greaterThanOrEqual">
      <formula>$AE$4</formula>
    </cfRule>
  </conditionalFormatting>
  <conditionalFormatting sqref="AF8:AG24">
    <cfRule type="cellIs" dxfId="0" priority="67" operator="greaterThanOrEqual">
      <formula>$AF$4</formula>
    </cfRule>
  </conditionalFormatting>
  <conditionalFormatting sqref="AH8:AH24">
    <cfRule type="cellIs" dxfId="0" priority="68" operator="greaterThanOrEqual">
      <formula>$AH$4</formula>
    </cfRule>
  </conditionalFormatting>
  <conditionalFormatting sqref="AI8:AJ24">
    <cfRule type="cellIs" dxfId="0" priority="69" operator="greaterThanOrEqual">
      <formula>$AI$4</formula>
    </cfRule>
  </conditionalFormatting>
  <conditionalFormatting sqref="AK8:AK24">
    <cfRule type="cellIs" dxfId="0" priority="70" operator="greaterThanOrEqual">
      <formula>$AK$4</formula>
    </cfRule>
  </conditionalFormatting>
  <conditionalFormatting sqref="AL8:AL24">
    <cfRule type="cellIs" dxfId="0" priority="71" operator="greaterThanOrEqual">
      <formula>$AL$4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.38"/>
    <col customWidth="1" min="3" max="3" width="10.5"/>
    <col customWidth="1" min="4" max="4" width="12.63"/>
    <col customWidth="1" min="5" max="5" width="2.38"/>
    <col customWidth="1" min="6" max="6" width="10.5"/>
    <col customWidth="1" min="9" max="10" width="14.63"/>
  </cols>
  <sheetData>
    <row r="1" ht="15.75" customHeight="1">
      <c r="A1" s="34"/>
      <c r="B1" s="5"/>
      <c r="C1" s="34" t="s">
        <v>47</v>
      </c>
      <c r="E1" s="5"/>
      <c r="F1" s="35"/>
      <c r="G1" s="34" t="s">
        <v>48</v>
      </c>
    </row>
    <row r="2" ht="15.75" customHeight="1">
      <c r="A2" s="36" t="s">
        <v>49</v>
      </c>
      <c r="B2" s="5"/>
      <c r="C2" s="37" t="s">
        <v>50</v>
      </c>
      <c r="D2" s="38">
        <f>D3/12</f>
        <v>0.01893939394</v>
      </c>
      <c r="E2" s="5"/>
      <c r="F2" s="37" t="s">
        <v>50</v>
      </c>
      <c r="G2" s="38">
        <f t="shared" ref="G2:AB2" si="1">G3/12</f>
        <v>0.03787878788</v>
      </c>
      <c r="H2" s="38">
        <f t="shared" si="1"/>
        <v>0.5681818182</v>
      </c>
      <c r="I2" s="38">
        <f t="shared" si="1"/>
        <v>0.1893939394</v>
      </c>
      <c r="J2" s="38">
        <f t="shared" si="1"/>
        <v>0.1893939394</v>
      </c>
      <c r="K2" s="38">
        <f t="shared" si="1"/>
        <v>0.946969697</v>
      </c>
      <c r="L2" s="38">
        <f t="shared" si="1"/>
        <v>0.7575757576</v>
      </c>
      <c r="M2" s="38">
        <f t="shared" si="1"/>
        <v>0.4166666667</v>
      </c>
      <c r="N2" s="38">
        <f t="shared" si="1"/>
        <v>0.01893939394</v>
      </c>
      <c r="O2" s="38">
        <f t="shared" si="1"/>
        <v>0.01893939394</v>
      </c>
      <c r="P2" s="38">
        <f t="shared" si="1"/>
        <v>0.01893939394</v>
      </c>
      <c r="Q2" s="38">
        <f t="shared" si="1"/>
        <v>0.01893939394</v>
      </c>
      <c r="R2" s="38">
        <f t="shared" si="1"/>
        <v>0.01893939394</v>
      </c>
      <c r="S2" s="38">
        <f t="shared" si="1"/>
        <v>0.01893939394</v>
      </c>
      <c r="T2" s="38">
        <f t="shared" si="1"/>
        <v>0.01893939394</v>
      </c>
      <c r="U2" s="38">
        <f t="shared" si="1"/>
        <v>0.01893939394</v>
      </c>
      <c r="V2" s="38">
        <f t="shared" si="1"/>
        <v>0.01893939394</v>
      </c>
      <c r="W2" s="38">
        <f t="shared" si="1"/>
        <v>0.01893939394</v>
      </c>
      <c r="X2" s="38">
        <f t="shared" si="1"/>
        <v>0.01893939394</v>
      </c>
      <c r="Y2" s="38">
        <f t="shared" si="1"/>
        <v>0.01893939394</v>
      </c>
      <c r="Z2" s="38">
        <f t="shared" si="1"/>
        <v>0.01893939394</v>
      </c>
      <c r="AA2" s="38">
        <f t="shared" si="1"/>
        <v>0.01893939394</v>
      </c>
      <c r="AB2" s="38">
        <f t="shared" si="1"/>
        <v>0.01893939394</v>
      </c>
    </row>
    <row r="3" ht="15.75" customHeight="1">
      <c r="B3" s="5"/>
      <c r="C3" s="37" t="s">
        <v>51</v>
      </c>
      <c r="D3" s="38">
        <f>D4/4.4</f>
        <v>0.2272727273</v>
      </c>
      <c r="E3" s="5"/>
      <c r="F3" s="37" t="s">
        <v>51</v>
      </c>
      <c r="G3" s="38">
        <f t="shared" ref="G3:AB3" si="2">G4/4.4</f>
        <v>0.4545454545</v>
      </c>
      <c r="H3" s="38">
        <f t="shared" si="2"/>
        <v>6.818181818</v>
      </c>
      <c r="I3" s="38">
        <f t="shared" si="2"/>
        <v>2.272727273</v>
      </c>
      <c r="J3" s="38">
        <f t="shared" si="2"/>
        <v>2.272727273</v>
      </c>
      <c r="K3" s="38">
        <f t="shared" si="2"/>
        <v>11.36363636</v>
      </c>
      <c r="L3" s="38">
        <f t="shared" si="2"/>
        <v>9.090909091</v>
      </c>
      <c r="M3" s="38">
        <f t="shared" si="2"/>
        <v>5</v>
      </c>
      <c r="N3" s="38">
        <f t="shared" si="2"/>
        <v>0.2272727273</v>
      </c>
      <c r="O3" s="38">
        <f t="shared" si="2"/>
        <v>0.2272727273</v>
      </c>
      <c r="P3" s="38">
        <f t="shared" si="2"/>
        <v>0.2272727273</v>
      </c>
      <c r="Q3" s="38">
        <f t="shared" si="2"/>
        <v>0.2272727273</v>
      </c>
      <c r="R3" s="38">
        <f t="shared" si="2"/>
        <v>0.2272727273</v>
      </c>
      <c r="S3" s="38">
        <f t="shared" si="2"/>
        <v>0.2272727273</v>
      </c>
      <c r="T3" s="38">
        <f t="shared" si="2"/>
        <v>0.2272727273</v>
      </c>
      <c r="U3" s="38">
        <f t="shared" si="2"/>
        <v>0.2272727273</v>
      </c>
      <c r="V3" s="38">
        <f t="shared" si="2"/>
        <v>0.2272727273</v>
      </c>
      <c r="W3" s="38">
        <f t="shared" si="2"/>
        <v>0.2272727273</v>
      </c>
      <c r="X3" s="38">
        <f t="shared" si="2"/>
        <v>0.2272727273</v>
      </c>
      <c r="Y3" s="38">
        <f t="shared" si="2"/>
        <v>0.2272727273</v>
      </c>
      <c r="Z3" s="38">
        <f t="shared" si="2"/>
        <v>0.2272727273</v>
      </c>
      <c r="AA3" s="38">
        <f t="shared" si="2"/>
        <v>0.2272727273</v>
      </c>
      <c r="AB3" s="38">
        <f t="shared" si="2"/>
        <v>0.2272727273</v>
      </c>
    </row>
    <row r="4" ht="15.75" customHeight="1">
      <c r="B4" s="5"/>
      <c r="C4" s="37" t="s">
        <v>52</v>
      </c>
      <c r="D4" s="39">
        <v>1.0</v>
      </c>
      <c r="E4" s="5"/>
      <c r="F4" s="37" t="s">
        <v>52</v>
      </c>
      <c r="G4" s="39">
        <v>2.0</v>
      </c>
      <c r="H4" s="39">
        <v>30.0</v>
      </c>
      <c r="I4" s="39">
        <v>10.0</v>
      </c>
      <c r="J4" s="39">
        <v>10.0</v>
      </c>
      <c r="K4" s="39">
        <v>50.0</v>
      </c>
      <c r="L4" s="39">
        <v>40.0</v>
      </c>
      <c r="M4" s="39">
        <v>22.0</v>
      </c>
      <c r="N4" s="39">
        <v>1.0</v>
      </c>
      <c r="O4" s="39">
        <v>1.0</v>
      </c>
      <c r="P4" s="39">
        <v>1.0</v>
      </c>
      <c r="Q4" s="39">
        <v>1.0</v>
      </c>
      <c r="R4" s="39">
        <v>1.0</v>
      </c>
      <c r="S4" s="39">
        <v>1.0</v>
      </c>
      <c r="T4" s="39">
        <v>1.0</v>
      </c>
      <c r="U4" s="39">
        <v>1.0</v>
      </c>
      <c r="V4" s="39">
        <v>1.0</v>
      </c>
      <c r="W4" s="39">
        <v>1.0</v>
      </c>
      <c r="X4" s="39">
        <v>1.0</v>
      </c>
      <c r="Y4" s="39">
        <v>1.0</v>
      </c>
      <c r="Z4" s="39">
        <v>1.0</v>
      </c>
      <c r="AA4" s="39">
        <v>1.0</v>
      </c>
      <c r="AB4" s="39">
        <v>1.0</v>
      </c>
    </row>
    <row r="5" ht="25.5" customHeight="1">
      <c r="B5" s="56"/>
      <c r="C5" s="57" t="s">
        <v>53</v>
      </c>
      <c r="D5" s="58">
        <v>1.0</v>
      </c>
      <c r="E5" s="56"/>
      <c r="F5" s="57" t="s">
        <v>53</v>
      </c>
      <c r="G5" s="39">
        <v>2.0</v>
      </c>
      <c r="H5" s="39">
        <v>5.0</v>
      </c>
      <c r="I5" s="39">
        <v>2.0</v>
      </c>
      <c r="J5" s="39">
        <v>3.0</v>
      </c>
      <c r="K5" s="39">
        <v>4.0</v>
      </c>
      <c r="L5" s="39">
        <v>4.0</v>
      </c>
      <c r="M5" s="39">
        <v>6.0</v>
      </c>
      <c r="N5" s="39">
        <v>1.0</v>
      </c>
      <c r="O5" s="39">
        <v>1.0</v>
      </c>
      <c r="P5" s="39">
        <v>1.0</v>
      </c>
      <c r="Q5" s="39">
        <v>1.0</v>
      </c>
      <c r="R5" s="39">
        <v>1.0</v>
      </c>
      <c r="S5" s="39">
        <v>1.0</v>
      </c>
      <c r="T5" s="39">
        <v>1.0</v>
      </c>
      <c r="U5" s="39">
        <v>1.0</v>
      </c>
      <c r="V5" s="39">
        <v>1.0</v>
      </c>
      <c r="W5" s="39">
        <v>1.0</v>
      </c>
      <c r="X5" s="39">
        <v>1.0</v>
      </c>
      <c r="Y5" s="39">
        <v>1.0</v>
      </c>
      <c r="Z5" s="39">
        <v>1.0</v>
      </c>
      <c r="AA5" s="39">
        <v>1.0</v>
      </c>
      <c r="AB5" s="39">
        <v>1.0</v>
      </c>
    </row>
    <row r="6" ht="15.75" customHeight="1">
      <c r="A6" s="35"/>
      <c r="B6" s="5"/>
      <c r="C6" s="5"/>
      <c r="E6" s="5"/>
      <c r="F6" s="35"/>
      <c r="G6" s="35" t="s">
        <v>54</v>
      </c>
    </row>
    <row r="7" ht="15.75" customHeight="1">
      <c r="A7" s="42" t="s">
        <v>12</v>
      </c>
      <c r="B7" s="5"/>
      <c r="C7" s="10" t="s">
        <v>3</v>
      </c>
      <c r="D7" s="10" t="s">
        <v>55</v>
      </c>
      <c r="E7" s="5"/>
      <c r="F7" s="10" t="s">
        <v>3</v>
      </c>
      <c r="G7" s="10" t="s">
        <v>77</v>
      </c>
      <c r="H7" s="10" t="s">
        <v>78</v>
      </c>
      <c r="I7" s="10" t="s">
        <v>79</v>
      </c>
      <c r="J7" s="10" t="s">
        <v>80</v>
      </c>
      <c r="K7" s="10" t="s">
        <v>81</v>
      </c>
      <c r="L7" s="10" t="s">
        <v>82</v>
      </c>
      <c r="M7" s="10" t="s">
        <v>83</v>
      </c>
      <c r="N7" s="10"/>
      <c r="O7" s="10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ht="15.75" customHeight="1">
      <c r="A8" s="21">
        <f>'Soul Energy Tiers'!K3</f>
        <v>400</v>
      </c>
      <c r="B8" s="5"/>
      <c r="C8" s="15" t="s">
        <v>13</v>
      </c>
      <c r="D8" s="46">
        <f t="shared" ref="D8:D24" si="5">($A8/D$5)/365</f>
        <v>1.095890411</v>
      </c>
      <c r="E8" s="5"/>
      <c r="F8" s="15" t="s">
        <v>13</v>
      </c>
      <c r="G8" s="46">
        <f t="shared" ref="G8:O8" si="3">($A8/G$5)/365</f>
        <v>0.5479452055</v>
      </c>
      <c r="H8" s="46">
        <f t="shared" si="3"/>
        <v>0.2191780822</v>
      </c>
      <c r="I8" s="46">
        <f t="shared" si="3"/>
        <v>0.5479452055</v>
      </c>
      <c r="J8" s="46">
        <f t="shared" si="3"/>
        <v>0.3652968037</v>
      </c>
      <c r="K8" s="46">
        <f t="shared" si="3"/>
        <v>0.2739726027</v>
      </c>
      <c r="L8" s="46">
        <f t="shared" si="3"/>
        <v>0.2739726027</v>
      </c>
      <c r="M8" s="46">
        <f t="shared" si="3"/>
        <v>0.1826484018</v>
      </c>
      <c r="N8" s="46">
        <f t="shared" si="3"/>
        <v>1.095890411</v>
      </c>
      <c r="O8" s="49">
        <f t="shared" si="3"/>
        <v>1.095890411</v>
      </c>
      <c r="P8" s="50">
        <f t="shared" ref="P8:AB8" si="4">($A8/N$5)/365</f>
        <v>1.095890411</v>
      </c>
      <c r="Q8" s="50">
        <f t="shared" si="4"/>
        <v>1.095890411</v>
      </c>
      <c r="R8" s="50">
        <f t="shared" si="4"/>
        <v>1.095890411</v>
      </c>
      <c r="S8" s="50">
        <f t="shared" si="4"/>
        <v>1.095890411</v>
      </c>
      <c r="T8" s="50">
        <f t="shared" si="4"/>
        <v>1.095890411</v>
      </c>
      <c r="U8" s="50">
        <f t="shared" si="4"/>
        <v>1.095890411</v>
      </c>
      <c r="V8" s="50">
        <f t="shared" si="4"/>
        <v>1.095890411</v>
      </c>
      <c r="W8" s="50">
        <f t="shared" si="4"/>
        <v>1.095890411</v>
      </c>
      <c r="X8" s="50">
        <f t="shared" si="4"/>
        <v>1.095890411</v>
      </c>
      <c r="Y8" s="50">
        <f t="shared" si="4"/>
        <v>1.095890411</v>
      </c>
      <c r="Z8" s="50">
        <f t="shared" si="4"/>
        <v>1.095890411</v>
      </c>
      <c r="AA8" s="50">
        <f t="shared" si="4"/>
        <v>1.095890411</v>
      </c>
      <c r="AB8" s="50">
        <f t="shared" si="4"/>
        <v>1.095890411</v>
      </c>
    </row>
    <row r="9" ht="15.75" customHeight="1">
      <c r="A9" s="21">
        <f>'Soul Energy Tiers'!K4</f>
        <v>1200</v>
      </c>
      <c r="B9" s="5"/>
      <c r="C9" s="24" t="s">
        <v>15</v>
      </c>
      <c r="D9" s="46">
        <f t="shared" si="5"/>
        <v>3.287671233</v>
      </c>
      <c r="E9" s="5"/>
      <c r="F9" s="24" t="s">
        <v>15</v>
      </c>
      <c r="G9" s="46">
        <f t="shared" ref="G9:O9" si="6">($A9/G$5)/365</f>
        <v>1.643835616</v>
      </c>
      <c r="H9" s="46">
        <f t="shared" si="6"/>
        <v>0.6575342466</v>
      </c>
      <c r="I9" s="46">
        <f t="shared" si="6"/>
        <v>1.643835616</v>
      </c>
      <c r="J9" s="46">
        <f t="shared" si="6"/>
        <v>1.095890411</v>
      </c>
      <c r="K9" s="46">
        <f t="shared" si="6"/>
        <v>0.8219178082</v>
      </c>
      <c r="L9" s="46">
        <f t="shared" si="6"/>
        <v>0.8219178082</v>
      </c>
      <c r="M9" s="46">
        <f t="shared" si="6"/>
        <v>0.5479452055</v>
      </c>
      <c r="N9" s="46">
        <f t="shared" si="6"/>
        <v>3.287671233</v>
      </c>
      <c r="O9" s="49">
        <f t="shared" si="6"/>
        <v>3.287671233</v>
      </c>
      <c r="P9" s="50">
        <f t="shared" ref="P9:AB9" si="7">($A9/N$5)/365</f>
        <v>3.287671233</v>
      </c>
      <c r="Q9" s="50">
        <f t="shared" si="7"/>
        <v>3.287671233</v>
      </c>
      <c r="R9" s="50">
        <f t="shared" si="7"/>
        <v>3.287671233</v>
      </c>
      <c r="S9" s="50">
        <f t="shared" si="7"/>
        <v>3.287671233</v>
      </c>
      <c r="T9" s="50">
        <f t="shared" si="7"/>
        <v>3.287671233</v>
      </c>
      <c r="U9" s="50">
        <f t="shared" si="7"/>
        <v>3.287671233</v>
      </c>
      <c r="V9" s="50">
        <f t="shared" si="7"/>
        <v>3.287671233</v>
      </c>
      <c r="W9" s="50">
        <f t="shared" si="7"/>
        <v>3.287671233</v>
      </c>
      <c r="X9" s="50">
        <f t="shared" si="7"/>
        <v>3.287671233</v>
      </c>
      <c r="Y9" s="50">
        <f t="shared" si="7"/>
        <v>3.287671233</v>
      </c>
      <c r="Z9" s="50">
        <f t="shared" si="7"/>
        <v>3.287671233</v>
      </c>
      <c r="AA9" s="50">
        <f t="shared" si="7"/>
        <v>3.287671233</v>
      </c>
      <c r="AB9" s="50">
        <f t="shared" si="7"/>
        <v>3.287671233</v>
      </c>
    </row>
    <row r="10" ht="15.75" customHeight="1">
      <c r="A10" s="21">
        <f>'Soul Energy Tiers'!K5</f>
        <v>2800</v>
      </c>
      <c r="B10" s="5"/>
      <c r="C10" s="24" t="s">
        <v>17</v>
      </c>
      <c r="D10" s="46">
        <f t="shared" si="5"/>
        <v>7.671232877</v>
      </c>
      <c r="E10" s="5"/>
      <c r="F10" s="24" t="s">
        <v>17</v>
      </c>
      <c r="G10" s="46">
        <f t="shared" ref="G10:O10" si="8">($A10/G$5)/365</f>
        <v>3.835616438</v>
      </c>
      <c r="H10" s="46">
        <f t="shared" si="8"/>
        <v>1.534246575</v>
      </c>
      <c r="I10" s="46">
        <f t="shared" si="8"/>
        <v>3.835616438</v>
      </c>
      <c r="J10" s="46">
        <f t="shared" si="8"/>
        <v>2.557077626</v>
      </c>
      <c r="K10" s="46">
        <f t="shared" si="8"/>
        <v>1.917808219</v>
      </c>
      <c r="L10" s="46">
        <f t="shared" si="8"/>
        <v>1.917808219</v>
      </c>
      <c r="M10" s="46">
        <f t="shared" si="8"/>
        <v>1.278538813</v>
      </c>
      <c r="N10" s="46">
        <f t="shared" si="8"/>
        <v>7.671232877</v>
      </c>
      <c r="O10" s="49">
        <f t="shared" si="8"/>
        <v>7.671232877</v>
      </c>
      <c r="P10" s="50">
        <f t="shared" ref="P10:AB10" si="9">($A10/N$5)/365</f>
        <v>7.671232877</v>
      </c>
      <c r="Q10" s="50">
        <f t="shared" si="9"/>
        <v>7.671232877</v>
      </c>
      <c r="R10" s="50">
        <f t="shared" si="9"/>
        <v>7.671232877</v>
      </c>
      <c r="S10" s="50">
        <f t="shared" si="9"/>
        <v>7.671232877</v>
      </c>
      <c r="T10" s="50">
        <f t="shared" si="9"/>
        <v>7.671232877</v>
      </c>
      <c r="U10" s="50">
        <f t="shared" si="9"/>
        <v>7.671232877</v>
      </c>
      <c r="V10" s="50">
        <f t="shared" si="9"/>
        <v>7.671232877</v>
      </c>
      <c r="W10" s="50">
        <f t="shared" si="9"/>
        <v>7.671232877</v>
      </c>
      <c r="X10" s="50">
        <f t="shared" si="9"/>
        <v>7.671232877</v>
      </c>
      <c r="Y10" s="50">
        <f t="shared" si="9"/>
        <v>7.671232877</v>
      </c>
      <c r="Z10" s="50">
        <f t="shared" si="9"/>
        <v>7.671232877</v>
      </c>
      <c r="AA10" s="50">
        <f t="shared" si="9"/>
        <v>7.671232877</v>
      </c>
      <c r="AB10" s="50">
        <f t="shared" si="9"/>
        <v>7.671232877</v>
      </c>
    </row>
    <row r="11" ht="15.75" customHeight="1">
      <c r="A11" s="21">
        <f>'Soul Energy Tiers'!K6</f>
        <v>6000</v>
      </c>
      <c r="B11" s="5"/>
      <c r="C11" s="24" t="s">
        <v>19</v>
      </c>
      <c r="D11" s="46">
        <f t="shared" si="5"/>
        <v>16.43835616</v>
      </c>
      <c r="E11" s="5"/>
      <c r="F11" s="24" t="s">
        <v>19</v>
      </c>
      <c r="G11" s="46">
        <f t="shared" ref="G11:O11" si="10">($A11/G$5)/365</f>
        <v>8.219178082</v>
      </c>
      <c r="H11" s="46">
        <f t="shared" si="10"/>
        <v>3.287671233</v>
      </c>
      <c r="I11" s="46">
        <f t="shared" si="10"/>
        <v>8.219178082</v>
      </c>
      <c r="J11" s="46">
        <f t="shared" si="10"/>
        <v>5.479452055</v>
      </c>
      <c r="K11" s="46">
        <f t="shared" si="10"/>
        <v>4.109589041</v>
      </c>
      <c r="L11" s="46">
        <f t="shared" si="10"/>
        <v>4.109589041</v>
      </c>
      <c r="M11" s="46">
        <f t="shared" si="10"/>
        <v>2.739726027</v>
      </c>
      <c r="N11" s="46">
        <f t="shared" si="10"/>
        <v>16.43835616</v>
      </c>
      <c r="O11" s="49">
        <f t="shared" si="10"/>
        <v>16.43835616</v>
      </c>
      <c r="P11" s="50">
        <f t="shared" ref="P11:AB11" si="11">($A11/N$5)/365</f>
        <v>16.43835616</v>
      </c>
      <c r="Q11" s="50">
        <f t="shared" si="11"/>
        <v>16.43835616</v>
      </c>
      <c r="R11" s="50">
        <f t="shared" si="11"/>
        <v>16.43835616</v>
      </c>
      <c r="S11" s="50">
        <f t="shared" si="11"/>
        <v>16.43835616</v>
      </c>
      <c r="T11" s="50">
        <f t="shared" si="11"/>
        <v>16.43835616</v>
      </c>
      <c r="U11" s="50">
        <f t="shared" si="11"/>
        <v>16.43835616</v>
      </c>
      <c r="V11" s="50">
        <f t="shared" si="11"/>
        <v>16.43835616</v>
      </c>
      <c r="W11" s="50">
        <f t="shared" si="11"/>
        <v>16.43835616</v>
      </c>
      <c r="X11" s="50">
        <f t="shared" si="11"/>
        <v>16.43835616</v>
      </c>
      <c r="Y11" s="50">
        <f t="shared" si="11"/>
        <v>16.43835616</v>
      </c>
      <c r="Z11" s="50">
        <f t="shared" si="11"/>
        <v>16.43835616</v>
      </c>
      <c r="AA11" s="50">
        <f t="shared" si="11"/>
        <v>16.43835616</v>
      </c>
      <c r="AB11" s="50">
        <f t="shared" si="11"/>
        <v>16.43835616</v>
      </c>
    </row>
    <row r="12" ht="15.75" customHeight="1">
      <c r="A12" s="21">
        <f>'Soul Energy Tiers'!K7</f>
        <v>12400</v>
      </c>
      <c r="B12" s="5"/>
      <c r="C12" s="24" t="s">
        <v>21</v>
      </c>
      <c r="D12" s="46">
        <f t="shared" si="5"/>
        <v>33.97260274</v>
      </c>
      <c r="E12" s="5"/>
      <c r="F12" s="24" t="s">
        <v>21</v>
      </c>
      <c r="G12" s="46">
        <f t="shared" ref="G12:O12" si="12">($A12/G$5)/365</f>
        <v>16.98630137</v>
      </c>
      <c r="H12" s="46">
        <f t="shared" si="12"/>
        <v>6.794520548</v>
      </c>
      <c r="I12" s="46">
        <f t="shared" si="12"/>
        <v>16.98630137</v>
      </c>
      <c r="J12" s="46">
        <f t="shared" si="12"/>
        <v>11.32420091</v>
      </c>
      <c r="K12" s="46">
        <f t="shared" si="12"/>
        <v>8.493150685</v>
      </c>
      <c r="L12" s="46">
        <f t="shared" si="12"/>
        <v>8.493150685</v>
      </c>
      <c r="M12" s="46">
        <f t="shared" si="12"/>
        <v>5.662100457</v>
      </c>
      <c r="N12" s="46">
        <f t="shared" si="12"/>
        <v>33.97260274</v>
      </c>
      <c r="O12" s="49">
        <f t="shared" si="12"/>
        <v>33.97260274</v>
      </c>
      <c r="P12" s="50">
        <f t="shared" ref="P12:AB12" si="13">($A12/N$5)/365</f>
        <v>33.97260274</v>
      </c>
      <c r="Q12" s="50">
        <f t="shared" si="13"/>
        <v>33.97260274</v>
      </c>
      <c r="R12" s="50">
        <f t="shared" si="13"/>
        <v>33.97260274</v>
      </c>
      <c r="S12" s="50">
        <f t="shared" si="13"/>
        <v>33.97260274</v>
      </c>
      <c r="T12" s="50">
        <f t="shared" si="13"/>
        <v>33.97260274</v>
      </c>
      <c r="U12" s="50">
        <f t="shared" si="13"/>
        <v>33.97260274</v>
      </c>
      <c r="V12" s="50">
        <f t="shared" si="13"/>
        <v>33.97260274</v>
      </c>
      <c r="W12" s="50">
        <f t="shared" si="13"/>
        <v>33.97260274</v>
      </c>
      <c r="X12" s="50">
        <f t="shared" si="13"/>
        <v>33.97260274</v>
      </c>
      <c r="Y12" s="50">
        <f t="shared" si="13"/>
        <v>33.97260274</v>
      </c>
      <c r="Z12" s="50">
        <f t="shared" si="13"/>
        <v>33.97260274</v>
      </c>
      <c r="AA12" s="50">
        <f t="shared" si="13"/>
        <v>33.97260274</v>
      </c>
      <c r="AB12" s="50">
        <f t="shared" si="13"/>
        <v>33.97260274</v>
      </c>
    </row>
    <row r="13" ht="15.75" customHeight="1">
      <c r="A13" s="21">
        <f>'Soul Energy Tiers'!K8</f>
        <v>25200</v>
      </c>
      <c r="B13" s="5"/>
      <c r="C13" s="24" t="s">
        <v>23</v>
      </c>
      <c r="D13" s="46">
        <f t="shared" si="5"/>
        <v>69.04109589</v>
      </c>
      <c r="E13" s="5"/>
      <c r="F13" s="24" t="s">
        <v>23</v>
      </c>
      <c r="G13" s="46">
        <f t="shared" ref="G13:O13" si="14">($A13/G$5)/365</f>
        <v>34.52054795</v>
      </c>
      <c r="H13" s="46">
        <f t="shared" si="14"/>
        <v>13.80821918</v>
      </c>
      <c r="I13" s="46">
        <f t="shared" si="14"/>
        <v>34.52054795</v>
      </c>
      <c r="J13" s="46">
        <f t="shared" si="14"/>
        <v>23.01369863</v>
      </c>
      <c r="K13" s="46">
        <f t="shared" si="14"/>
        <v>17.26027397</v>
      </c>
      <c r="L13" s="46">
        <f t="shared" si="14"/>
        <v>17.26027397</v>
      </c>
      <c r="M13" s="46">
        <f t="shared" si="14"/>
        <v>11.50684932</v>
      </c>
      <c r="N13" s="46">
        <f t="shared" si="14"/>
        <v>69.04109589</v>
      </c>
      <c r="O13" s="49">
        <f t="shared" si="14"/>
        <v>69.04109589</v>
      </c>
      <c r="P13" s="50">
        <f t="shared" ref="P13:AB13" si="15">($A13/N$5)/365</f>
        <v>69.04109589</v>
      </c>
      <c r="Q13" s="50">
        <f t="shared" si="15"/>
        <v>69.04109589</v>
      </c>
      <c r="R13" s="50">
        <f t="shared" si="15"/>
        <v>69.04109589</v>
      </c>
      <c r="S13" s="50">
        <f t="shared" si="15"/>
        <v>69.04109589</v>
      </c>
      <c r="T13" s="50">
        <f t="shared" si="15"/>
        <v>69.04109589</v>
      </c>
      <c r="U13" s="50">
        <f t="shared" si="15"/>
        <v>69.04109589</v>
      </c>
      <c r="V13" s="50">
        <f t="shared" si="15"/>
        <v>69.04109589</v>
      </c>
      <c r="W13" s="50">
        <f t="shared" si="15"/>
        <v>69.04109589</v>
      </c>
      <c r="X13" s="50">
        <f t="shared" si="15"/>
        <v>69.04109589</v>
      </c>
      <c r="Y13" s="50">
        <f t="shared" si="15"/>
        <v>69.04109589</v>
      </c>
      <c r="Z13" s="50">
        <f t="shared" si="15"/>
        <v>69.04109589</v>
      </c>
      <c r="AA13" s="50">
        <f t="shared" si="15"/>
        <v>69.04109589</v>
      </c>
      <c r="AB13" s="50">
        <f t="shared" si="15"/>
        <v>69.04109589</v>
      </c>
    </row>
    <row r="14" ht="15.75" customHeight="1">
      <c r="A14" s="21">
        <f>'Soul Energy Tiers'!K9</f>
        <v>50800</v>
      </c>
      <c r="B14" s="5"/>
      <c r="C14" s="24" t="s">
        <v>25</v>
      </c>
      <c r="D14" s="46">
        <f t="shared" si="5"/>
        <v>139.1780822</v>
      </c>
      <c r="E14" s="5"/>
      <c r="F14" s="24" t="s">
        <v>25</v>
      </c>
      <c r="G14" s="46">
        <f t="shared" ref="G14:O14" si="16">($A14/G$5)/365</f>
        <v>69.5890411</v>
      </c>
      <c r="H14" s="46">
        <f t="shared" si="16"/>
        <v>27.83561644</v>
      </c>
      <c r="I14" s="46">
        <f t="shared" si="16"/>
        <v>69.5890411</v>
      </c>
      <c r="J14" s="46">
        <f t="shared" si="16"/>
        <v>46.39269406</v>
      </c>
      <c r="K14" s="46">
        <f t="shared" si="16"/>
        <v>34.79452055</v>
      </c>
      <c r="L14" s="46">
        <f t="shared" si="16"/>
        <v>34.79452055</v>
      </c>
      <c r="M14" s="46">
        <f t="shared" si="16"/>
        <v>23.19634703</v>
      </c>
      <c r="N14" s="46">
        <f t="shared" si="16"/>
        <v>139.1780822</v>
      </c>
      <c r="O14" s="49">
        <f t="shared" si="16"/>
        <v>139.1780822</v>
      </c>
      <c r="P14" s="50">
        <f t="shared" ref="P14:AB14" si="17">($A14/N$5)/365</f>
        <v>139.1780822</v>
      </c>
      <c r="Q14" s="50">
        <f t="shared" si="17"/>
        <v>139.1780822</v>
      </c>
      <c r="R14" s="50">
        <f t="shared" si="17"/>
        <v>139.1780822</v>
      </c>
      <c r="S14" s="50">
        <f t="shared" si="17"/>
        <v>139.1780822</v>
      </c>
      <c r="T14" s="50">
        <f t="shared" si="17"/>
        <v>139.1780822</v>
      </c>
      <c r="U14" s="50">
        <f t="shared" si="17"/>
        <v>139.1780822</v>
      </c>
      <c r="V14" s="50">
        <f t="shared" si="17"/>
        <v>139.1780822</v>
      </c>
      <c r="W14" s="50">
        <f t="shared" si="17"/>
        <v>139.1780822</v>
      </c>
      <c r="X14" s="50">
        <f t="shared" si="17"/>
        <v>139.1780822</v>
      </c>
      <c r="Y14" s="50">
        <f t="shared" si="17"/>
        <v>139.1780822</v>
      </c>
      <c r="Z14" s="50">
        <f t="shared" si="17"/>
        <v>139.1780822</v>
      </c>
      <c r="AA14" s="50">
        <f t="shared" si="17"/>
        <v>139.1780822</v>
      </c>
      <c r="AB14" s="50">
        <f t="shared" si="17"/>
        <v>139.1780822</v>
      </c>
    </row>
    <row r="15" ht="15.75" customHeight="1">
      <c r="A15" s="21">
        <f>'Soul Energy Tiers'!K10</f>
        <v>102000</v>
      </c>
      <c r="B15" s="5"/>
      <c r="C15" s="24" t="s">
        <v>27</v>
      </c>
      <c r="D15" s="46">
        <f t="shared" si="5"/>
        <v>279.4520548</v>
      </c>
      <c r="E15" s="5"/>
      <c r="F15" s="24" t="s">
        <v>27</v>
      </c>
      <c r="G15" s="46">
        <f t="shared" ref="G15:O15" si="18">($A15/G$5)/365</f>
        <v>139.7260274</v>
      </c>
      <c r="H15" s="46">
        <f t="shared" si="18"/>
        <v>55.89041096</v>
      </c>
      <c r="I15" s="46">
        <f t="shared" si="18"/>
        <v>139.7260274</v>
      </c>
      <c r="J15" s="46">
        <f t="shared" si="18"/>
        <v>93.15068493</v>
      </c>
      <c r="K15" s="46">
        <f t="shared" si="18"/>
        <v>69.8630137</v>
      </c>
      <c r="L15" s="46">
        <f t="shared" si="18"/>
        <v>69.8630137</v>
      </c>
      <c r="M15" s="46">
        <f t="shared" si="18"/>
        <v>46.57534247</v>
      </c>
      <c r="N15" s="46">
        <f t="shared" si="18"/>
        <v>279.4520548</v>
      </c>
      <c r="O15" s="49">
        <f t="shared" si="18"/>
        <v>279.4520548</v>
      </c>
      <c r="P15" s="50">
        <f t="shared" ref="P15:AB15" si="19">($A15/N$5)/365</f>
        <v>279.4520548</v>
      </c>
      <c r="Q15" s="50">
        <f t="shared" si="19"/>
        <v>279.4520548</v>
      </c>
      <c r="R15" s="50">
        <f t="shared" si="19"/>
        <v>279.4520548</v>
      </c>
      <c r="S15" s="50">
        <f t="shared" si="19"/>
        <v>279.4520548</v>
      </c>
      <c r="T15" s="50">
        <f t="shared" si="19"/>
        <v>279.4520548</v>
      </c>
      <c r="U15" s="50">
        <f t="shared" si="19"/>
        <v>279.4520548</v>
      </c>
      <c r="V15" s="50">
        <f t="shared" si="19"/>
        <v>279.4520548</v>
      </c>
      <c r="W15" s="50">
        <f t="shared" si="19"/>
        <v>279.4520548</v>
      </c>
      <c r="X15" s="50">
        <f t="shared" si="19"/>
        <v>279.4520548</v>
      </c>
      <c r="Y15" s="50">
        <f t="shared" si="19"/>
        <v>279.4520548</v>
      </c>
      <c r="Z15" s="50">
        <f t="shared" si="19"/>
        <v>279.4520548</v>
      </c>
      <c r="AA15" s="50">
        <f t="shared" si="19"/>
        <v>279.4520548</v>
      </c>
      <c r="AB15" s="50">
        <f t="shared" si="19"/>
        <v>279.4520548</v>
      </c>
    </row>
    <row r="16" ht="15.75" customHeight="1">
      <c r="A16" s="21">
        <f>'Soul Energy Tiers'!K11</f>
        <v>204400</v>
      </c>
      <c r="B16" s="5"/>
      <c r="C16" s="24" t="s">
        <v>29</v>
      </c>
      <c r="D16" s="46">
        <f t="shared" si="5"/>
        <v>560</v>
      </c>
      <c r="E16" s="5"/>
      <c r="F16" s="24" t="s">
        <v>29</v>
      </c>
      <c r="G16" s="46">
        <f t="shared" ref="G16:O16" si="20">($A16/G$5)/365</f>
        <v>280</v>
      </c>
      <c r="H16" s="46">
        <f t="shared" si="20"/>
        <v>112</v>
      </c>
      <c r="I16" s="46">
        <f t="shared" si="20"/>
        <v>280</v>
      </c>
      <c r="J16" s="46">
        <f t="shared" si="20"/>
        <v>186.6666667</v>
      </c>
      <c r="K16" s="46">
        <f t="shared" si="20"/>
        <v>140</v>
      </c>
      <c r="L16" s="46">
        <f t="shared" si="20"/>
        <v>140</v>
      </c>
      <c r="M16" s="46">
        <f t="shared" si="20"/>
        <v>93.33333333</v>
      </c>
      <c r="N16" s="46">
        <f t="shared" si="20"/>
        <v>560</v>
      </c>
      <c r="O16" s="49">
        <f t="shared" si="20"/>
        <v>560</v>
      </c>
      <c r="P16" s="50">
        <f t="shared" ref="P16:AB16" si="21">($A16/N$5)/365</f>
        <v>560</v>
      </c>
      <c r="Q16" s="50">
        <f t="shared" si="21"/>
        <v>560</v>
      </c>
      <c r="R16" s="50">
        <f t="shared" si="21"/>
        <v>560</v>
      </c>
      <c r="S16" s="50">
        <f t="shared" si="21"/>
        <v>560</v>
      </c>
      <c r="T16" s="50">
        <f t="shared" si="21"/>
        <v>560</v>
      </c>
      <c r="U16" s="50">
        <f t="shared" si="21"/>
        <v>560</v>
      </c>
      <c r="V16" s="50">
        <f t="shared" si="21"/>
        <v>560</v>
      </c>
      <c r="W16" s="50">
        <f t="shared" si="21"/>
        <v>560</v>
      </c>
      <c r="X16" s="50">
        <f t="shared" si="21"/>
        <v>560</v>
      </c>
      <c r="Y16" s="50">
        <f t="shared" si="21"/>
        <v>560</v>
      </c>
      <c r="Z16" s="50">
        <f t="shared" si="21"/>
        <v>560</v>
      </c>
      <c r="AA16" s="50">
        <f t="shared" si="21"/>
        <v>560</v>
      </c>
      <c r="AB16" s="50">
        <f t="shared" si="21"/>
        <v>560</v>
      </c>
    </row>
    <row r="17" ht="15.75" customHeight="1">
      <c r="A17" s="21">
        <f>'Soul Energy Tiers'!K12</f>
        <v>409200</v>
      </c>
      <c r="B17" s="5"/>
      <c r="C17" s="24" t="s">
        <v>31</v>
      </c>
      <c r="D17" s="46">
        <f t="shared" si="5"/>
        <v>1121.09589</v>
      </c>
      <c r="E17" s="5"/>
      <c r="F17" s="24" t="s">
        <v>31</v>
      </c>
      <c r="G17" s="46">
        <f t="shared" ref="G17:O17" si="22">($A17/G$5)/365</f>
        <v>560.5479452</v>
      </c>
      <c r="H17" s="46">
        <f t="shared" si="22"/>
        <v>224.2191781</v>
      </c>
      <c r="I17" s="46">
        <f t="shared" si="22"/>
        <v>560.5479452</v>
      </c>
      <c r="J17" s="46">
        <f t="shared" si="22"/>
        <v>373.6986301</v>
      </c>
      <c r="K17" s="46">
        <f t="shared" si="22"/>
        <v>280.2739726</v>
      </c>
      <c r="L17" s="46">
        <f t="shared" si="22"/>
        <v>280.2739726</v>
      </c>
      <c r="M17" s="46">
        <f t="shared" si="22"/>
        <v>186.8493151</v>
      </c>
      <c r="N17" s="46">
        <f t="shared" si="22"/>
        <v>1121.09589</v>
      </c>
      <c r="O17" s="49">
        <f t="shared" si="22"/>
        <v>1121.09589</v>
      </c>
      <c r="P17" s="50">
        <f t="shared" ref="P17:AB17" si="23">($A17/N$5)/365</f>
        <v>1121.09589</v>
      </c>
      <c r="Q17" s="50">
        <f t="shared" si="23"/>
        <v>1121.09589</v>
      </c>
      <c r="R17" s="50">
        <f t="shared" si="23"/>
        <v>1121.09589</v>
      </c>
      <c r="S17" s="50">
        <f t="shared" si="23"/>
        <v>1121.09589</v>
      </c>
      <c r="T17" s="50">
        <f t="shared" si="23"/>
        <v>1121.09589</v>
      </c>
      <c r="U17" s="50">
        <f t="shared" si="23"/>
        <v>1121.09589</v>
      </c>
      <c r="V17" s="50">
        <f t="shared" si="23"/>
        <v>1121.09589</v>
      </c>
      <c r="W17" s="50">
        <f t="shared" si="23"/>
        <v>1121.09589</v>
      </c>
      <c r="X17" s="50">
        <f t="shared" si="23"/>
        <v>1121.09589</v>
      </c>
      <c r="Y17" s="50">
        <f t="shared" si="23"/>
        <v>1121.09589</v>
      </c>
      <c r="Z17" s="50">
        <f t="shared" si="23"/>
        <v>1121.09589</v>
      </c>
      <c r="AA17" s="50">
        <f t="shared" si="23"/>
        <v>1121.09589</v>
      </c>
      <c r="AB17" s="50">
        <f t="shared" si="23"/>
        <v>1121.09589</v>
      </c>
    </row>
    <row r="18" ht="15.75" customHeight="1">
      <c r="A18" s="21">
        <f>'Soul Energy Tiers'!K13</f>
        <v>818800</v>
      </c>
      <c r="B18" s="5"/>
      <c r="C18" s="24" t="s">
        <v>33</v>
      </c>
      <c r="D18" s="46">
        <f t="shared" si="5"/>
        <v>2243.287671</v>
      </c>
      <c r="E18" s="5"/>
      <c r="F18" s="24" t="s">
        <v>33</v>
      </c>
      <c r="G18" s="46">
        <f t="shared" ref="G18:O18" si="24">($A18/G$5)/365</f>
        <v>1121.643836</v>
      </c>
      <c r="H18" s="46">
        <f t="shared" si="24"/>
        <v>448.6575342</v>
      </c>
      <c r="I18" s="46">
        <f t="shared" si="24"/>
        <v>1121.643836</v>
      </c>
      <c r="J18" s="46">
        <f t="shared" si="24"/>
        <v>747.7625571</v>
      </c>
      <c r="K18" s="46">
        <f t="shared" si="24"/>
        <v>560.8219178</v>
      </c>
      <c r="L18" s="46">
        <f t="shared" si="24"/>
        <v>560.8219178</v>
      </c>
      <c r="M18" s="46">
        <f t="shared" si="24"/>
        <v>373.8812785</v>
      </c>
      <c r="N18" s="46">
        <f t="shared" si="24"/>
        <v>2243.287671</v>
      </c>
      <c r="O18" s="49">
        <f t="shared" si="24"/>
        <v>2243.287671</v>
      </c>
      <c r="P18" s="50">
        <f t="shared" ref="P18:AB18" si="25">($A18/N$5)/365</f>
        <v>2243.287671</v>
      </c>
      <c r="Q18" s="50">
        <f t="shared" si="25"/>
        <v>2243.287671</v>
      </c>
      <c r="R18" s="50">
        <f t="shared" si="25"/>
        <v>2243.287671</v>
      </c>
      <c r="S18" s="50">
        <f t="shared" si="25"/>
        <v>2243.287671</v>
      </c>
      <c r="T18" s="50">
        <f t="shared" si="25"/>
        <v>2243.287671</v>
      </c>
      <c r="U18" s="50">
        <f t="shared" si="25"/>
        <v>2243.287671</v>
      </c>
      <c r="V18" s="50">
        <f t="shared" si="25"/>
        <v>2243.287671</v>
      </c>
      <c r="W18" s="50">
        <f t="shared" si="25"/>
        <v>2243.287671</v>
      </c>
      <c r="X18" s="50">
        <f t="shared" si="25"/>
        <v>2243.287671</v>
      </c>
      <c r="Y18" s="50">
        <f t="shared" si="25"/>
        <v>2243.287671</v>
      </c>
      <c r="Z18" s="50">
        <f t="shared" si="25"/>
        <v>2243.287671</v>
      </c>
      <c r="AA18" s="50">
        <f t="shared" si="25"/>
        <v>2243.287671</v>
      </c>
      <c r="AB18" s="50">
        <f t="shared" si="25"/>
        <v>2243.287671</v>
      </c>
    </row>
    <row r="19" ht="15.75" customHeight="1">
      <c r="A19" s="21">
        <f>'Soul Energy Tiers'!K14</f>
        <v>1638000</v>
      </c>
      <c r="B19" s="5"/>
      <c r="C19" s="24" t="s">
        <v>35</v>
      </c>
      <c r="D19" s="46">
        <f t="shared" si="5"/>
        <v>4487.671233</v>
      </c>
      <c r="E19" s="5"/>
      <c r="F19" s="24" t="s">
        <v>35</v>
      </c>
      <c r="G19" s="46">
        <f t="shared" ref="G19:O19" si="26">($A19/G$5)/365</f>
        <v>2243.835616</v>
      </c>
      <c r="H19" s="46">
        <f t="shared" si="26"/>
        <v>897.5342466</v>
      </c>
      <c r="I19" s="46">
        <f t="shared" si="26"/>
        <v>2243.835616</v>
      </c>
      <c r="J19" s="46">
        <f t="shared" si="26"/>
        <v>1495.890411</v>
      </c>
      <c r="K19" s="46">
        <f t="shared" si="26"/>
        <v>1121.917808</v>
      </c>
      <c r="L19" s="46">
        <f t="shared" si="26"/>
        <v>1121.917808</v>
      </c>
      <c r="M19" s="46">
        <f t="shared" si="26"/>
        <v>747.9452055</v>
      </c>
      <c r="N19" s="46">
        <f t="shared" si="26"/>
        <v>4487.671233</v>
      </c>
      <c r="O19" s="49">
        <f t="shared" si="26"/>
        <v>4487.671233</v>
      </c>
      <c r="P19" s="50">
        <f t="shared" ref="P19:AB19" si="27">($A19/N$5)/365</f>
        <v>4487.671233</v>
      </c>
      <c r="Q19" s="50">
        <f t="shared" si="27"/>
        <v>4487.671233</v>
      </c>
      <c r="R19" s="50">
        <f t="shared" si="27"/>
        <v>4487.671233</v>
      </c>
      <c r="S19" s="50">
        <f t="shared" si="27"/>
        <v>4487.671233</v>
      </c>
      <c r="T19" s="50">
        <f t="shared" si="27"/>
        <v>4487.671233</v>
      </c>
      <c r="U19" s="50">
        <f t="shared" si="27"/>
        <v>4487.671233</v>
      </c>
      <c r="V19" s="50">
        <f t="shared" si="27"/>
        <v>4487.671233</v>
      </c>
      <c r="W19" s="50">
        <f t="shared" si="27"/>
        <v>4487.671233</v>
      </c>
      <c r="X19" s="50">
        <f t="shared" si="27"/>
        <v>4487.671233</v>
      </c>
      <c r="Y19" s="50">
        <f t="shared" si="27"/>
        <v>4487.671233</v>
      </c>
      <c r="Z19" s="50">
        <f t="shared" si="27"/>
        <v>4487.671233</v>
      </c>
      <c r="AA19" s="50">
        <f t="shared" si="27"/>
        <v>4487.671233</v>
      </c>
      <c r="AB19" s="50">
        <f t="shared" si="27"/>
        <v>4487.671233</v>
      </c>
    </row>
    <row r="20" ht="15.75" customHeight="1">
      <c r="A20" s="21">
        <f>'Soul Energy Tiers'!K15</f>
        <v>3276400</v>
      </c>
      <c r="B20" s="5"/>
      <c r="C20" s="24" t="s">
        <v>37</v>
      </c>
      <c r="D20" s="46">
        <f t="shared" si="5"/>
        <v>8976.438356</v>
      </c>
      <c r="E20" s="5"/>
      <c r="F20" s="24" t="s">
        <v>37</v>
      </c>
      <c r="G20" s="46">
        <f t="shared" ref="G20:O20" si="28">($A20/G$5)/365</f>
        <v>4488.219178</v>
      </c>
      <c r="H20" s="46">
        <f t="shared" si="28"/>
        <v>1795.287671</v>
      </c>
      <c r="I20" s="46">
        <f t="shared" si="28"/>
        <v>4488.219178</v>
      </c>
      <c r="J20" s="46">
        <f t="shared" si="28"/>
        <v>2992.146119</v>
      </c>
      <c r="K20" s="46">
        <f t="shared" si="28"/>
        <v>2244.109589</v>
      </c>
      <c r="L20" s="46">
        <f t="shared" si="28"/>
        <v>2244.109589</v>
      </c>
      <c r="M20" s="46">
        <f t="shared" si="28"/>
        <v>1496.073059</v>
      </c>
      <c r="N20" s="46">
        <f t="shared" si="28"/>
        <v>8976.438356</v>
      </c>
      <c r="O20" s="49">
        <f t="shared" si="28"/>
        <v>8976.438356</v>
      </c>
      <c r="P20" s="50">
        <f t="shared" ref="P20:AB20" si="29">($A20/N$5)/365</f>
        <v>8976.438356</v>
      </c>
      <c r="Q20" s="50">
        <f t="shared" si="29"/>
        <v>8976.438356</v>
      </c>
      <c r="R20" s="50">
        <f t="shared" si="29"/>
        <v>8976.438356</v>
      </c>
      <c r="S20" s="50">
        <f t="shared" si="29"/>
        <v>8976.438356</v>
      </c>
      <c r="T20" s="50">
        <f t="shared" si="29"/>
        <v>8976.438356</v>
      </c>
      <c r="U20" s="50">
        <f t="shared" si="29"/>
        <v>8976.438356</v>
      </c>
      <c r="V20" s="50">
        <f t="shared" si="29"/>
        <v>8976.438356</v>
      </c>
      <c r="W20" s="50">
        <f t="shared" si="29"/>
        <v>8976.438356</v>
      </c>
      <c r="X20" s="50">
        <f t="shared" si="29"/>
        <v>8976.438356</v>
      </c>
      <c r="Y20" s="50">
        <f t="shared" si="29"/>
        <v>8976.438356</v>
      </c>
      <c r="Z20" s="50">
        <f t="shared" si="29"/>
        <v>8976.438356</v>
      </c>
      <c r="AA20" s="50">
        <f t="shared" si="29"/>
        <v>8976.438356</v>
      </c>
      <c r="AB20" s="50">
        <f t="shared" si="29"/>
        <v>8976.438356</v>
      </c>
    </row>
    <row r="21" ht="15.75" customHeight="1">
      <c r="A21" s="21">
        <f>'Soul Energy Tiers'!K16</f>
        <v>6553200</v>
      </c>
      <c r="B21" s="5"/>
      <c r="C21" s="24" t="s">
        <v>39</v>
      </c>
      <c r="D21" s="46">
        <f t="shared" si="5"/>
        <v>17953.9726</v>
      </c>
      <c r="E21" s="5"/>
      <c r="F21" s="24" t="s">
        <v>39</v>
      </c>
      <c r="G21" s="46">
        <f t="shared" ref="G21:O21" si="30">($A21/G$5)/365</f>
        <v>8976.986301</v>
      </c>
      <c r="H21" s="46">
        <f t="shared" si="30"/>
        <v>3590.794521</v>
      </c>
      <c r="I21" s="46">
        <f t="shared" si="30"/>
        <v>8976.986301</v>
      </c>
      <c r="J21" s="46">
        <f t="shared" si="30"/>
        <v>5984.657534</v>
      </c>
      <c r="K21" s="46">
        <f t="shared" si="30"/>
        <v>4488.493151</v>
      </c>
      <c r="L21" s="46">
        <f t="shared" si="30"/>
        <v>4488.493151</v>
      </c>
      <c r="M21" s="46">
        <f t="shared" si="30"/>
        <v>2992.328767</v>
      </c>
      <c r="N21" s="46">
        <f t="shared" si="30"/>
        <v>17953.9726</v>
      </c>
      <c r="O21" s="49">
        <f t="shared" si="30"/>
        <v>17953.9726</v>
      </c>
      <c r="P21" s="50">
        <f t="shared" ref="P21:AB21" si="31">($A21/N$5)/365</f>
        <v>17953.9726</v>
      </c>
      <c r="Q21" s="50">
        <f t="shared" si="31"/>
        <v>17953.9726</v>
      </c>
      <c r="R21" s="50">
        <f t="shared" si="31"/>
        <v>17953.9726</v>
      </c>
      <c r="S21" s="50">
        <f t="shared" si="31"/>
        <v>17953.9726</v>
      </c>
      <c r="T21" s="50">
        <f t="shared" si="31"/>
        <v>17953.9726</v>
      </c>
      <c r="U21" s="50">
        <f t="shared" si="31"/>
        <v>17953.9726</v>
      </c>
      <c r="V21" s="50">
        <f t="shared" si="31"/>
        <v>17953.9726</v>
      </c>
      <c r="W21" s="50">
        <f t="shared" si="31"/>
        <v>17953.9726</v>
      </c>
      <c r="X21" s="50">
        <f t="shared" si="31"/>
        <v>17953.9726</v>
      </c>
      <c r="Y21" s="50">
        <f t="shared" si="31"/>
        <v>17953.9726</v>
      </c>
      <c r="Z21" s="50">
        <f t="shared" si="31"/>
        <v>17953.9726</v>
      </c>
      <c r="AA21" s="50">
        <f t="shared" si="31"/>
        <v>17953.9726</v>
      </c>
      <c r="AB21" s="50">
        <f t="shared" si="31"/>
        <v>17953.9726</v>
      </c>
    </row>
    <row r="22" ht="15.75" customHeight="1">
      <c r="A22" s="21">
        <f>'Soul Energy Tiers'!K17</f>
        <v>13106800</v>
      </c>
      <c r="B22" s="5"/>
      <c r="C22" s="24" t="s">
        <v>41</v>
      </c>
      <c r="D22" s="46">
        <f t="shared" si="5"/>
        <v>35909.0411</v>
      </c>
      <c r="E22" s="5"/>
      <c r="F22" s="24" t="s">
        <v>41</v>
      </c>
      <c r="G22" s="46">
        <f t="shared" ref="G22:O22" si="32">($A22/G$5)/365</f>
        <v>17954.52055</v>
      </c>
      <c r="H22" s="46">
        <f t="shared" si="32"/>
        <v>7181.808219</v>
      </c>
      <c r="I22" s="46">
        <f t="shared" si="32"/>
        <v>17954.52055</v>
      </c>
      <c r="J22" s="46">
        <f t="shared" si="32"/>
        <v>11969.68037</v>
      </c>
      <c r="K22" s="46">
        <f t="shared" si="32"/>
        <v>8977.260274</v>
      </c>
      <c r="L22" s="46">
        <f t="shared" si="32"/>
        <v>8977.260274</v>
      </c>
      <c r="M22" s="46">
        <f t="shared" si="32"/>
        <v>5984.840183</v>
      </c>
      <c r="N22" s="46">
        <f t="shared" si="32"/>
        <v>35909.0411</v>
      </c>
      <c r="O22" s="49">
        <f t="shared" si="32"/>
        <v>35909.0411</v>
      </c>
      <c r="P22" s="50">
        <f t="shared" ref="P22:AB22" si="33">($A22/N$5)/365</f>
        <v>35909.0411</v>
      </c>
      <c r="Q22" s="50">
        <f t="shared" si="33"/>
        <v>35909.0411</v>
      </c>
      <c r="R22" s="50">
        <f t="shared" si="33"/>
        <v>35909.0411</v>
      </c>
      <c r="S22" s="50">
        <f t="shared" si="33"/>
        <v>35909.0411</v>
      </c>
      <c r="T22" s="50">
        <f t="shared" si="33"/>
        <v>35909.0411</v>
      </c>
      <c r="U22" s="50">
        <f t="shared" si="33"/>
        <v>35909.0411</v>
      </c>
      <c r="V22" s="50">
        <f t="shared" si="33"/>
        <v>35909.0411</v>
      </c>
      <c r="W22" s="50">
        <f t="shared" si="33"/>
        <v>35909.0411</v>
      </c>
      <c r="X22" s="50">
        <f t="shared" si="33"/>
        <v>35909.0411</v>
      </c>
      <c r="Y22" s="50">
        <f t="shared" si="33"/>
        <v>35909.0411</v>
      </c>
      <c r="Z22" s="50">
        <f t="shared" si="33"/>
        <v>35909.0411</v>
      </c>
      <c r="AA22" s="50">
        <f t="shared" si="33"/>
        <v>35909.0411</v>
      </c>
      <c r="AB22" s="50">
        <f t="shared" si="33"/>
        <v>35909.0411</v>
      </c>
    </row>
    <row r="23" ht="15.75" customHeight="1">
      <c r="A23" s="21">
        <f>'Soul Energy Tiers'!K18</f>
        <v>26214000</v>
      </c>
      <c r="B23" s="5"/>
      <c r="C23" s="24" t="s">
        <v>43</v>
      </c>
      <c r="D23" s="46">
        <f t="shared" si="5"/>
        <v>71819.17808</v>
      </c>
      <c r="E23" s="5"/>
      <c r="F23" s="24" t="s">
        <v>43</v>
      </c>
      <c r="G23" s="46">
        <f t="shared" ref="G23:O23" si="34">($A23/G$5)/365</f>
        <v>35909.58904</v>
      </c>
      <c r="H23" s="46">
        <f t="shared" si="34"/>
        <v>14363.83562</v>
      </c>
      <c r="I23" s="46">
        <f t="shared" si="34"/>
        <v>35909.58904</v>
      </c>
      <c r="J23" s="46">
        <f t="shared" si="34"/>
        <v>23939.72603</v>
      </c>
      <c r="K23" s="46">
        <f t="shared" si="34"/>
        <v>17954.79452</v>
      </c>
      <c r="L23" s="46">
        <f t="shared" si="34"/>
        <v>17954.79452</v>
      </c>
      <c r="M23" s="46">
        <f t="shared" si="34"/>
        <v>11969.86301</v>
      </c>
      <c r="N23" s="46">
        <f t="shared" si="34"/>
        <v>71819.17808</v>
      </c>
      <c r="O23" s="49">
        <f t="shared" si="34"/>
        <v>71819.17808</v>
      </c>
      <c r="P23" s="50">
        <f t="shared" ref="P23:AB23" si="35">($A23/N$5)/365</f>
        <v>71819.17808</v>
      </c>
      <c r="Q23" s="50">
        <f t="shared" si="35"/>
        <v>71819.17808</v>
      </c>
      <c r="R23" s="50">
        <f t="shared" si="35"/>
        <v>71819.17808</v>
      </c>
      <c r="S23" s="50">
        <f t="shared" si="35"/>
        <v>71819.17808</v>
      </c>
      <c r="T23" s="50">
        <f t="shared" si="35"/>
        <v>71819.17808</v>
      </c>
      <c r="U23" s="50">
        <f t="shared" si="35"/>
        <v>71819.17808</v>
      </c>
      <c r="V23" s="50">
        <f t="shared" si="35"/>
        <v>71819.17808</v>
      </c>
      <c r="W23" s="50">
        <f t="shared" si="35"/>
        <v>71819.17808</v>
      </c>
      <c r="X23" s="50">
        <f t="shared" si="35"/>
        <v>71819.17808</v>
      </c>
      <c r="Y23" s="50">
        <f t="shared" si="35"/>
        <v>71819.17808</v>
      </c>
      <c r="Z23" s="50">
        <f t="shared" si="35"/>
        <v>71819.17808</v>
      </c>
      <c r="AA23" s="50">
        <f t="shared" si="35"/>
        <v>71819.17808</v>
      </c>
      <c r="AB23" s="50">
        <f t="shared" si="35"/>
        <v>71819.17808</v>
      </c>
    </row>
    <row r="24" ht="15.75" customHeight="1">
      <c r="A24" s="21">
        <f>'Soul Energy Tiers'!K19</f>
        <v>52428400</v>
      </c>
      <c r="B24" s="5"/>
      <c r="C24" s="24" t="s">
        <v>45</v>
      </c>
      <c r="D24" s="46">
        <f t="shared" si="5"/>
        <v>143639.4521</v>
      </c>
      <c r="E24" s="5"/>
      <c r="F24" s="24" t="s">
        <v>45</v>
      </c>
      <c r="G24" s="46">
        <f t="shared" ref="G24:O24" si="36">($A24/G$5)/365</f>
        <v>71819.72603</v>
      </c>
      <c r="H24" s="46">
        <f t="shared" si="36"/>
        <v>28727.89041</v>
      </c>
      <c r="I24" s="46">
        <f t="shared" si="36"/>
        <v>71819.72603</v>
      </c>
      <c r="J24" s="46">
        <f t="shared" si="36"/>
        <v>47879.81735</v>
      </c>
      <c r="K24" s="46">
        <f t="shared" si="36"/>
        <v>35909.86301</v>
      </c>
      <c r="L24" s="46">
        <f t="shared" si="36"/>
        <v>35909.86301</v>
      </c>
      <c r="M24" s="46">
        <f t="shared" si="36"/>
        <v>23939.90868</v>
      </c>
      <c r="N24" s="46">
        <f t="shared" si="36"/>
        <v>143639.4521</v>
      </c>
      <c r="O24" s="49">
        <f t="shared" si="36"/>
        <v>143639.4521</v>
      </c>
      <c r="P24" s="50">
        <f t="shared" ref="P24:AB24" si="37">($A24/N$5)/365</f>
        <v>143639.4521</v>
      </c>
      <c r="Q24" s="50">
        <f t="shared" si="37"/>
        <v>143639.4521</v>
      </c>
      <c r="R24" s="50">
        <f t="shared" si="37"/>
        <v>143639.4521</v>
      </c>
      <c r="S24" s="50">
        <f t="shared" si="37"/>
        <v>143639.4521</v>
      </c>
      <c r="T24" s="50">
        <f t="shared" si="37"/>
        <v>143639.4521</v>
      </c>
      <c r="U24" s="50">
        <f t="shared" si="37"/>
        <v>143639.4521</v>
      </c>
      <c r="V24" s="50">
        <f t="shared" si="37"/>
        <v>143639.4521</v>
      </c>
      <c r="W24" s="50">
        <f t="shared" si="37"/>
        <v>143639.4521</v>
      </c>
      <c r="X24" s="50">
        <f t="shared" si="37"/>
        <v>143639.4521</v>
      </c>
      <c r="Y24" s="50">
        <f t="shared" si="37"/>
        <v>143639.4521</v>
      </c>
      <c r="Z24" s="50">
        <f t="shared" si="37"/>
        <v>143639.4521</v>
      </c>
      <c r="AA24" s="50">
        <f t="shared" si="37"/>
        <v>143639.4521</v>
      </c>
      <c r="AB24" s="50">
        <f t="shared" si="37"/>
        <v>143639.4521</v>
      </c>
    </row>
    <row r="25" ht="15.75" customHeight="1">
      <c r="A25" s="35"/>
      <c r="B25" s="5"/>
      <c r="C25" s="5"/>
      <c r="E25" s="5"/>
      <c r="F25" s="35"/>
      <c r="G25" s="35" t="s">
        <v>74</v>
      </c>
    </row>
    <row r="26" ht="15.75" customHeight="1">
      <c r="A26" s="52" t="s">
        <v>75</v>
      </c>
      <c r="B26" s="5"/>
      <c r="C26" s="10" t="s">
        <v>3</v>
      </c>
      <c r="D26" s="10" t="s">
        <v>55</v>
      </c>
      <c r="E26" s="5"/>
      <c r="F26" s="53" t="s">
        <v>3</v>
      </c>
      <c r="G26" s="45" t="str">
        <f t="shared" ref="G26:AB26" si="38">G7</f>
        <v>Cinika</v>
      </c>
      <c r="H26" s="45" t="str">
        <f t="shared" si="38"/>
        <v>Egua</v>
      </c>
      <c r="I26" s="45" t="str">
        <f t="shared" si="38"/>
        <v>Legunia</v>
      </c>
      <c r="J26" s="45" t="str">
        <f t="shared" si="38"/>
        <v>Koalin</v>
      </c>
      <c r="K26" s="45" t="str">
        <f t="shared" si="38"/>
        <v>Monica</v>
      </c>
      <c r="L26" s="45" t="str">
        <f t="shared" si="38"/>
        <v>Winga</v>
      </c>
      <c r="M26" s="45" t="str">
        <f t="shared" si="38"/>
        <v>Wooly</v>
      </c>
      <c r="N26" s="45" t="str">
        <f t="shared" si="38"/>
        <v/>
      </c>
      <c r="O26" s="45" t="str">
        <f t="shared" si="38"/>
        <v/>
      </c>
      <c r="P26" s="45" t="str">
        <f t="shared" si="38"/>
        <v/>
      </c>
      <c r="Q26" s="45" t="str">
        <f t="shared" si="38"/>
        <v/>
      </c>
      <c r="R26" s="45" t="str">
        <f t="shared" si="38"/>
        <v/>
      </c>
      <c r="S26" s="45" t="str">
        <f t="shared" si="38"/>
        <v/>
      </c>
      <c r="T26" s="45" t="str">
        <f t="shared" si="38"/>
        <v/>
      </c>
      <c r="U26" s="45" t="str">
        <f t="shared" si="38"/>
        <v/>
      </c>
      <c r="V26" s="45" t="str">
        <f t="shared" si="38"/>
        <v/>
      </c>
      <c r="W26" s="45" t="str">
        <f t="shared" si="38"/>
        <v/>
      </c>
      <c r="X26" s="45" t="str">
        <f t="shared" si="38"/>
        <v/>
      </c>
      <c r="Y26" s="45" t="str">
        <f t="shared" si="38"/>
        <v/>
      </c>
      <c r="Z26" s="45" t="str">
        <f t="shared" si="38"/>
        <v/>
      </c>
      <c r="AA26" s="45" t="str">
        <f t="shared" si="38"/>
        <v/>
      </c>
      <c r="AB26" s="45" t="str">
        <f t="shared" si="38"/>
        <v/>
      </c>
    </row>
    <row r="27" ht="15.75" customHeight="1">
      <c r="A27" s="21">
        <f>'Soul Energy Tiers'!J3</f>
        <v>20</v>
      </c>
      <c r="B27" s="5"/>
      <c r="C27" s="54" t="s">
        <v>13</v>
      </c>
      <c r="D27" s="23">
        <f t="shared" ref="D27:D43" si="40">$A27/D$5</f>
        <v>20</v>
      </c>
      <c r="E27" s="5"/>
      <c r="F27" s="54" t="s">
        <v>13</v>
      </c>
      <c r="G27" s="32">
        <f t="shared" ref="G27:AB27" si="39">$A27/G$5</f>
        <v>10</v>
      </c>
      <c r="H27" s="32">
        <f t="shared" si="39"/>
        <v>4</v>
      </c>
      <c r="I27" s="32">
        <f t="shared" si="39"/>
        <v>10</v>
      </c>
      <c r="J27" s="32">
        <f t="shared" si="39"/>
        <v>6.666666667</v>
      </c>
      <c r="K27" s="32">
        <f t="shared" si="39"/>
        <v>5</v>
      </c>
      <c r="L27" s="32">
        <f t="shared" si="39"/>
        <v>5</v>
      </c>
      <c r="M27" s="32">
        <f t="shared" si="39"/>
        <v>3.333333333</v>
      </c>
      <c r="N27" s="32">
        <f t="shared" si="39"/>
        <v>20</v>
      </c>
      <c r="O27" s="32">
        <f t="shared" si="39"/>
        <v>20</v>
      </c>
      <c r="P27" s="32">
        <f t="shared" si="39"/>
        <v>20</v>
      </c>
      <c r="Q27" s="32">
        <f t="shared" si="39"/>
        <v>20</v>
      </c>
      <c r="R27" s="32">
        <f t="shared" si="39"/>
        <v>20</v>
      </c>
      <c r="S27" s="32">
        <f t="shared" si="39"/>
        <v>20</v>
      </c>
      <c r="T27" s="32">
        <f t="shared" si="39"/>
        <v>20</v>
      </c>
      <c r="U27" s="32">
        <f t="shared" si="39"/>
        <v>20</v>
      </c>
      <c r="V27" s="32">
        <f t="shared" si="39"/>
        <v>20</v>
      </c>
      <c r="W27" s="32">
        <f t="shared" si="39"/>
        <v>20</v>
      </c>
      <c r="X27" s="32">
        <f t="shared" si="39"/>
        <v>20</v>
      </c>
      <c r="Y27" s="32">
        <f t="shared" si="39"/>
        <v>20</v>
      </c>
      <c r="Z27" s="32">
        <f t="shared" si="39"/>
        <v>20</v>
      </c>
      <c r="AA27" s="32">
        <f t="shared" si="39"/>
        <v>20</v>
      </c>
      <c r="AB27" s="32">
        <f t="shared" si="39"/>
        <v>20</v>
      </c>
    </row>
    <row r="28" ht="15.75" customHeight="1">
      <c r="A28" s="21">
        <f>'Soul Energy Tiers'!J4</f>
        <v>40</v>
      </c>
      <c r="B28" s="5"/>
      <c r="C28" s="55" t="s">
        <v>15</v>
      </c>
      <c r="D28" s="32">
        <f t="shared" si="40"/>
        <v>40</v>
      </c>
      <c r="E28" s="5"/>
      <c r="F28" s="55" t="s">
        <v>15</v>
      </c>
      <c r="G28" s="32">
        <f t="shared" ref="G28:AB28" si="41">$A28/G$5</f>
        <v>20</v>
      </c>
      <c r="H28" s="32">
        <f t="shared" si="41"/>
        <v>8</v>
      </c>
      <c r="I28" s="32">
        <f t="shared" si="41"/>
        <v>20</v>
      </c>
      <c r="J28" s="32">
        <f t="shared" si="41"/>
        <v>13.33333333</v>
      </c>
      <c r="K28" s="32">
        <f t="shared" si="41"/>
        <v>10</v>
      </c>
      <c r="L28" s="32">
        <f t="shared" si="41"/>
        <v>10</v>
      </c>
      <c r="M28" s="32">
        <f t="shared" si="41"/>
        <v>6.666666667</v>
      </c>
      <c r="N28" s="32">
        <f t="shared" si="41"/>
        <v>40</v>
      </c>
      <c r="O28" s="32">
        <f t="shared" si="41"/>
        <v>40</v>
      </c>
      <c r="P28" s="32">
        <f t="shared" si="41"/>
        <v>40</v>
      </c>
      <c r="Q28" s="32">
        <f t="shared" si="41"/>
        <v>40</v>
      </c>
      <c r="R28" s="32">
        <f t="shared" si="41"/>
        <v>40</v>
      </c>
      <c r="S28" s="32">
        <f t="shared" si="41"/>
        <v>40</v>
      </c>
      <c r="T28" s="32">
        <f t="shared" si="41"/>
        <v>40</v>
      </c>
      <c r="U28" s="32">
        <f t="shared" si="41"/>
        <v>40</v>
      </c>
      <c r="V28" s="32">
        <f t="shared" si="41"/>
        <v>40</v>
      </c>
      <c r="W28" s="32">
        <f t="shared" si="41"/>
        <v>40</v>
      </c>
      <c r="X28" s="32">
        <f t="shared" si="41"/>
        <v>40</v>
      </c>
      <c r="Y28" s="32">
        <f t="shared" si="41"/>
        <v>40</v>
      </c>
      <c r="Z28" s="32">
        <f t="shared" si="41"/>
        <v>40</v>
      </c>
      <c r="AA28" s="32">
        <f t="shared" si="41"/>
        <v>40</v>
      </c>
      <c r="AB28" s="32">
        <f t="shared" si="41"/>
        <v>40</v>
      </c>
    </row>
    <row r="29" ht="15.75" customHeight="1">
      <c r="A29" s="21">
        <f>'Soul Energy Tiers'!J5</f>
        <v>80</v>
      </c>
      <c r="B29" s="5"/>
      <c r="C29" s="55" t="s">
        <v>17</v>
      </c>
      <c r="D29" s="32">
        <f t="shared" si="40"/>
        <v>80</v>
      </c>
      <c r="E29" s="5"/>
      <c r="F29" s="55" t="s">
        <v>17</v>
      </c>
      <c r="G29" s="32">
        <f t="shared" ref="G29:AB29" si="42">$A29/G$5</f>
        <v>40</v>
      </c>
      <c r="H29" s="32">
        <f t="shared" si="42"/>
        <v>16</v>
      </c>
      <c r="I29" s="32">
        <f t="shared" si="42"/>
        <v>40</v>
      </c>
      <c r="J29" s="32">
        <f t="shared" si="42"/>
        <v>26.66666667</v>
      </c>
      <c r="K29" s="32">
        <f t="shared" si="42"/>
        <v>20</v>
      </c>
      <c r="L29" s="32">
        <f t="shared" si="42"/>
        <v>20</v>
      </c>
      <c r="M29" s="32">
        <f t="shared" si="42"/>
        <v>13.33333333</v>
      </c>
      <c r="N29" s="32">
        <f t="shared" si="42"/>
        <v>80</v>
      </c>
      <c r="O29" s="32">
        <f t="shared" si="42"/>
        <v>80</v>
      </c>
      <c r="P29" s="32">
        <f t="shared" si="42"/>
        <v>80</v>
      </c>
      <c r="Q29" s="32">
        <f t="shared" si="42"/>
        <v>80</v>
      </c>
      <c r="R29" s="32">
        <f t="shared" si="42"/>
        <v>80</v>
      </c>
      <c r="S29" s="32">
        <f t="shared" si="42"/>
        <v>80</v>
      </c>
      <c r="T29" s="32">
        <f t="shared" si="42"/>
        <v>80</v>
      </c>
      <c r="U29" s="32">
        <f t="shared" si="42"/>
        <v>80</v>
      </c>
      <c r="V29" s="32">
        <f t="shared" si="42"/>
        <v>80</v>
      </c>
      <c r="W29" s="32">
        <f t="shared" si="42"/>
        <v>80</v>
      </c>
      <c r="X29" s="32">
        <f t="shared" si="42"/>
        <v>80</v>
      </c>
      <c r="Y29" s="32">
        <f t="shared" si="42"/>
        <v>80</v>
      </c>
      <c r="Z29" s="32">
        <f t="shared" si="42"/>
        <v>80</v>
      </c>
      <c r="AA29" s="32">
        <f t="shared" si="42"/>
        <v>80</v>
      </c>
      <c r="AB29" s="32">
        <f t="shared" si="42"/>
        <v>80</v>
      </c>
    </row>
    <row r="30" ht="15.75" customHeight="1">
      <c r="A30" s="21">
        <f>'Soul Energy Tiers'!J6</f>
        <v>160</v>
      </c>
      <c r="B30" s="5"/>
      <c r="C30" s="55" t="s">
        <v>19</v>
      </c>
      <c r="D30" s="32">
        <f t="shared" si="40"/>
        <v>160</v>
      </c>
      <c r="E30" s="5"/>
      <c r="F30" s="55" t="s">
        <v>19</v>
      </c>
      <c r="G30" s="32">
        <f t="shared" ref="G30:AB30" si="43">$A30/G$5</f>
        <v>80</v>
      </c>
      <c r="H30" s="32">
        <f t="shared" si="43"/>
        <v>32</v>
      </c>
      <c r="I30" s="32">
        <f t="shared" si="43"/>
        <v>80</v>
      </c>
      <c r="J30" s="32">
        <f t="shared" si="43"/>
        <v>53.33333333</v>
      </c>
      <c r="K30" s="32">
        <f t="shared" si="43"/>
        <v>40</v>
      </c>
      <c r="L30" s="32">
        <f t="shared" si="43"/>
        <v>40</v>
      </c>
      <c r="M30" s="32">
        <f t="shared" si="43"/>
        <v>26.66666667</v>
      </c>
      <c r="N30" s="32">
        <f t="shared" si="43"/>
        <v>160</v>
      </c>
      <c r="O30" s="32">
        <f t="shared" si="43"/>
        <v>160</v>
      </c>
      <c r="P30" s="32">
        <f t="shared" si="43"/>
        <v>160</v>
      </c>
      <c r="Q30" s="32">
        <f t="shared" si="43"/>
        <v>160</v>
      </c>
      <c r="R30" s="32">
        <f t="shared" si="43"/>
        <v>160</v>
      </c>
      <c r="S30" s="32">
        <f t="shared" si="43"/>
        <v>160</v>
      </c>
      <c r="T30" s="32">
        <f t="shared" si="43"/>
        <v>160</v>
      </c>
      <c r="U30" s="32">
        <f t="shared" si="43"/>
        <v>160</v>
      </c>
      <c r="V30" s="32">
        <f t="shared" si="43"/>
        <v>160</v>
      </c>
      <c r="W30" s="32">
        <f t="shared" si="43"/>
        <v>160</v>
      </c>
      <c r="X30" s="32">
        <f t="shared" si="43"/>
        <v>160</v>
      </c>
      <c r="Y30" s="32">
        <f t="shared" si="43"/>
        <v>160</v>
      </c>
      <c r="Z30" s="32">
        <f t="shared" si="43"/>
        <v>160</v>
      </c>
      <c r="AA30" s="32">
        <f t="shared" si="43"/>
        <v>160</v>
      </c>
      <c r="AB30" s="32">
        <f t="shared" si="43"/>
        <v>160</v>
      </c>
    </row>
    <row r="31" ht="15.75" customHeight="1">
      <c r="A31" s="21">
        <f>'Soul Energy Tiers'!J7</f>
        <v>320</v>
      </c>
      <c r="B31" s="5"/>
      <c r="C31" s="55" t="s">
        <v>21</v>
      </c>
      <c r="D31" s="32">
        <f t="shared" si="40"/>
        <v>320</v>
      </c>
      <c r="E31" s="5"/>
      <c r="F31" s="55" t="s">
        <v>21</v>
      </c>
      <c r="G31" s="32">
        <f t="shared" ref="G31:AB31" si="44">$A31/G$5</f>
        <v>160</v>
      </c>
      <c r="H31" s="32">
        <f t="shared" si="44"/>
        <v>64</v>
      </c>
      <c r="I31" s="32">
        <f t="shared" si="44"/>
        <v>160</v>
      </c>
      <c r="J31" s="32">
        <f t="shared" si="44"/>
        <v>106.6666667</v>
      </c>
      <c r="K31" s="32">
        <f t="shared" si="44"/>
        <v>80</v>
      </c>
      <c r="L31" s="32">
        <f t="shared" si="44"/>
        <v>80</v>
      </c>
      <c r="M31" s="32">
        <f t="shared" si="44"/>
        <v>53.33333333</v>
      </c>
      <c r="N31" s="32">
        <f t="shared" si="44"/>
        <v>320</v>
      </c>
      <c r="O31" s="32">
        <f t="shared" si="44"/>
        <v>320</v>
      </c>
      <c r="P31" s="32">
        <f t="shared" si="44"/>
        <v>320</v>
      </c>
      <c r="Q31" s="32">
        <f t="shared" si="44"/>
        <v>320</v>
      </c>
      <c r="R31" s="32">
        <f t="shared" si="44"/>
        <v>320</v>
      </c>
      <c r="S31" s="32">
        <f t="shared" si="44"/>
        <v>320</v>
      </c>
      <c r="T31" s="32">
        <f t="shared" si="44"/>
        <v>320</v>
      </c>
      <c r="U31" s="32">
        <f t="shared" si="44"/>
        <v>320</v>
      </c>
      <c r="V31" s="32">
        <f t="shared" si="44"/>
        <v>320</v>
      </c>
      <c r="W31" s="32">
        <f t="shared" si="44"/>
        <v>320</v>
      </c>
      <c r="X31" s="32">
        <f t="shared" si="44"/>
        <v>320</v>
      </c>
      <c r="Y31" s="32">
        <f t="shared" si="44"/>
        <v>320</v>
      </c>
      <c r="Z31" s="32">
        <f t="shared" si="44"/>
        <v>320</v>
      </c>
      <c r="AA31" s="32">
        <f t="shared" si="44"/>
        <v>320</v>
      </c>
      <c r="AB31" s="32">
        <f t="shared" si="44"/>
        <v>320</v>
      </c>
    </row>
    <row r="32" ht="15.75" customHeight="1">
      <c r="A32" s="21">
        <f>'Soul Energy Tiers'!J8</f>
        <v>640</v>
      </c>
      <c r="B32" s="5"/>
      <c r="C32" s="55" t="s">
        <v>23</v>
      </c>
      <c r="D32" s="32">
        <f t="shared" si="40"/>
        <v>640</v>
      </c>
      <c r="E32" s="5"/>
      <c r="F32" s="55" t="s">
        <v>23</v>
      </c>
      <c r="G32" s="32">
        <f t="shared" ref="G32:AB32" si="45">$A32/G$5</f>
        <v>320</v>
      </c>
      <c r="H32" s="32">
        <f t="shared" si="45"/>
        <v>128</v>
      </c>
      <c r="I32" s="32">
        <f t="shared" si="45"/>
        <v>320</v>
      </c>
      <c r="J32" s="32">
        <f t="shared" si="45"/>
        <v>213.3333333</v>
      </c>
      <c r="K32" s="32">
        <f t="shared" si="45"/>
        <v>160</v>
      </c>
      <c r="L32" s="32">
        <f t="shared" si="45"/>
        <v>160</v>
      </c>
      <c r="M32" s="32">
        <f t="shared" si="45"/>
        <v>106.6666667</v>
      </c>
      <c r="N32" s="32">
        <f t="shared" si="45"/>
        <v>640</v>
      </c>
      <c r="O32" s="32">
        <f t="shared" si="45"/>
        <v>640</v>
      </c>
      <c r="P32" s="32">
        <f t="shared" si="45"/>
        <v>640</v>
      </c>
      <c r="Q32" s="32">
        <f t="shared" si="45"/>
        <v>640</v>
      </c>
      <c r="R32" s="32">
        <f t="shared" si="45"/>
        <v>640</v>
      </c>
      <c r="S32" s="32">
        <f t="shared" si="45"/>
        <v>640</v>
      </c>
      <c r="T32" s="32">
        <f t="shared" si="45"/>
        <v>640</v>
      </c>
      <c r="U32" s="32">
        <f t="shared" si="45"/>
        <v>640</v>
      </c>
      <c r="V32" s="32">
        <f t="shared" si="45"/>
        <v>640</v>
      </c>
      <c r="W32" s="32">
        <f t="shared" si="45"/>
        <v>640</v>
      </c>
      <c r="X32" s="32">
        <f t="shared" si="45"/>
        <v>640</v>
      </c>
      <c r="Y32" s="32">
        <f t="shared" si="45"/>
        <v>640</v>
      </c>
      <c r="Z32" s="32">
        <f t="shared" si="45"/>
        <v>640</v>
      </c>
      <c r="AA32" s="32">
        <f t="shared" si="45"/>
        <v>640</v>
      </c>
      <c r="AB32" s="32">
        <f t="shared" si="45"/>
        <v>640</v>
      </c>
    </row>
    <row r="33" ht="15.75" customHeight="1">
      <c r="A33" s="21">
        <f>'Soul Energy Tiers'!J9</f>
        <v>1280</v>
      </c>
      <c r="B33" s="5"/>
      <c r="C33" s="55" t="s">
        <v>25</v>
      </c>
      <c r="D33" s="32">
        <f t="shared" si="40"/>
        <v>1280</v>
      </c>
      <c r="E33" s="5"/>
      <c r="F33" s="55" t="s">
        <v>25</v>
      </c>
      <c r="G33" s="32">
        <f t="shared" ref="G33:AB33" si="46">$A33/G$5</f>
        <v>640</v>
      </c>
      <c r="H33" s="32">
        <f t="shared" si="46"/>
        <v>256</v>
      </c>
      <c r="I33" s="32">
        <f t="shared" si="46"/>
        <v>640</v>
      </c>
      <c r="J33" s="32">
        <f t="shared" si="46"/>
        <v>426.6666667</v>
      </c>
      <c r="K33" s="32">
        <f t="shared" si="46"/>
        <v>320</v>
      </c>
      <c r="L33" s="32">
        <f t="shared" si="46"/>
        <v>320</v>
      </c>
      <c r="M33" s="32">
        <f t="shared" si="46"/>
        <v>213.3333333</v>
      </c>
      <c r="N33" s="32">
        <f t="shared" si="46"/>
        <v>1280</v>
      </c>
      <c r="O33" s="32">
        <f t="shared" si="46"/>
        <v>1280</v>
      </c>
      <c r="P33" s="32">
        <f t="shared" si="46"/>
        <v>1280</v>
      </c>
      <c r="Q33" s="32">
        <f t="shared" si="46"/>
        <v>1280</v>
      </c>
      <c r="R33" s="32">
        <f t="shared" si="46"/>
        <v>1280</v>
      </c>
      <c r="S33" s="32">
        <f t="shared" si="46"/>
        <v>1280</v>
      </c>
      <c r="T33" s="32">
        <f t="shared" si="46"/>
        <v>1280</v>
      </c>
      <c r="U33" s="32">
        <f t="shared" si="46"/>
        <v>1280</v>
      </c>
      <c r="V33" s="32">
        <f t="shared" si="46"/>
        <v>1280</v>
      </c>
      <c r="W33" s="32">
        <f t="shared" si="46"/>
        <v>1280</v>
      </c>
      <c r="X33" s="32">
        <f t="shared" si="46"/>
        <v>1280</v>
      </c>
      <c r="Y33" s="32">
        <f t="shared" si="46"/>
        <v>1280</v>
      </c>
      <c r="Z33" s="32">
        <f t="shared" si="46"/>
        <v>1280</v>
      </c>
      <c r="AA33" s="32">
        <f t="shared" si="46"/>
        <v>1280</v>
      </c>
      <c r="AB33" s="32">
        <f t="shared" si="46"/>
        <v>1280</v>
      </c>
    </row>
    <row r="34" ht="15.75" customHeight="1">
      <c r="A34" s="21">
        <f>'Soul Energy Tiers'!J10</f>
        <v>2560</v>
      </c>
      <c r="B34" s="5"/>
      <c r="C34" s="55" t="s">
        <v>27</v>
      </c>
      <c r="D34" s="32">
        <f t="shared" si="40"/>
        <v>2560</v>
      </c>
      <c r="E34" s="5"/>
      <c r="F34" s="55" t="s">
        <v>27</v>
      </c>
      <c r="G34" s="32">
        <f t="shared" ref="G34:AB34" si="47">$A34/G$5</f>
        <v>1280</v>
      </c>
      <c r="H34" s="32">
        <f t="shared" si="47"/>
        <v>512</v>
      </c>
      <c r="I34" s="32">
        <f t="shared" si="47"/>
        <v>1280</v>
      </c>
      <c r="J34" s="32">
        <f t="shared" si="47"/>
        <v>853.3333333</v>
      </c>
      <c r="K34" s="32">
        <f t="shared" si="47"/>
        <v>640</v>
      </c>
      <c r="L34" s="32">
        <f t="shared" si="47"/>
        <v>640</v>
      </c>
      <c r="M34" s="32">
        <f t="shared" si="47"/>
        <v>426.6666667</v>
      </c>
      <c r="N34" s="32">
        <f t="shared" si="47"/>
        <v>2560</v>
      </c>
      <c r="O34" s="32">
        <f t="shared" si="47"/>
        <v>2560</v>
      </c>
      <c r="P34" s="32">
        <f t="shared" si="47"/>
        <v>2560</v>
      </c>
      <c r="Q34" s="32">
        <f t="shared" si="47"/>
        <v>2560</v>
      </c>
      <c r="R34" s="32">
        <f t="shared" si="47"/>
        <v>2560</v>
      </c>
      <c r="S34" s="32">
        <f t="shared" si="47"/>
        <v>2560</v>
      </c>
      <c r="T34" s="32">
        <f t="shared" si="47"/>
        <v>2560</v>
      </c>
      <c r="U34" s="32">
        <f t="shared" si="47"/>
        <v>2560</v>
      </c>
      <c r="V34" s="32">
        <f t="shared" si="47"/>
        <v>2560</v>
      </c>
      <c r="W34" s="32">
        <f t="shared" si="47"/>
        <v>2560</v>
      </c>
      <c r="X34" s="32">
        <f t="shared" si="47"/>
        <v>2560</v>
      </c>
      <c r="Y34" s="32">
        <f t="shared" si="47"/>
        <v>2560</v>
      </c>
      <c r="Z34" s="32">
        <f t="shared" si="47"/>
        <v>2560</v>
      </c>
      <c r="AA34" s="32">
        <f t="shared" si="47"/>
        <v>2560</v>
      </c>
      <c r="AB34" s="32">
        <f t="shared" si="47"/>
        <v>2560</v>
      </c>
    </row>
    <row r="35" ht="15.75" customHeight="1">
      <c r="A35" s="21">
        <f>'Soul Energy Tiers'!J11</f>
        <v>5120</v>
      </c>
      <c r="B35" s="5"/>
      <c r="C35" s="55" t="s">
        <v>29</v>
      </c>
      <c r="D35" s="32">
        <f t="shared" si="40"/>
        <v>5120</v>
      </c>
      <c r="E35" s="5"/>
      <c r="F35" s="55" t="s">
        <v>29</v>
      </c>
      <c r="G35" s="32">
        <f t="shared" ref="G35:AB35" si="48">$A35/G$5</f>
        <v>2560</v>
      </c>
      <c r="H35" s="32">
        <f t="shared" si="48"/>
        <v>1024</v>
      </c>
      <c r="I35" s="32">
        <f t="shared" si="48"/>
        <v>2560</v>
      </c>
      <c r="J35" s="32">
        <f t="shared" si="48"/>
        <v>1706.666667</v>
      </c>
      <c r="K35" s="32">
        <f t="shared" si="48"/>
        <v>1280</v>
      </c>
      <c r="L35" s="32">
        <f t="shared" si="48"/>
        <v>1280</v>
      </c>
      <c r="M35" s="32">
        <f t="shared" si="48"/>
        <v>853.3333333</v>
      </c>
      <c r="N35" s="32">
        <f t="shared" si="48"/>
        <v>5120</v>
      </c>
      <c r="O35" s="32">
        <f t="shared" si="48"/>
        <v>5120</v>
      </c>
      <c r="P35" s="32">
        <f t="shared" si="48"/>
        <v>5120</v>
      </c>
      <c r="Q35" s="32">
        <f t="shared" si="48"/>
        <v>5120</v>
      </c>
      <c r="R35" s="32">
        <f t="shared" si="48"/>
        <v>5120</v>
      </c>
      <c r="S35" s="32">
        <f t="shared" si="48"/>
        <v>5120</v>
      </c>
      <c r="T35" s="32">
        <f t="shared" si="48"/>
        <v>5120</v>
      </c>
      <c r="U35" s="32">
        <f t="shared" si="48"/>
        <v>5120</v>
      </c>
      <c r="V35" s="32">
        <f t="shared" si="48"/>
        <v>5120</v>
      </c>
      <c r="W35" s="32">
        <f t="shared" si="48"/>
        <v>5120</v>
      </c>
      <c r="X35" s="32">
        <f t="shared" si="48"/>
        <v>5120</v>
      </c>
      <c r="Y35" s="32">
        <f t="shared" si="48"/>
        <v>5120</v>
      </c>
      <c r="Z35" s="32">
        <f t="shared" si="48"/>
        <v>5120</v>
      </c>
      <c r="AA35" s="32">
        <f t="shared" si="48"/>
        <v>5120</v>
      </c>
      <c r="AB35" s="32">
        <f t="shared" si="48"/>
        <v>5120</v>
      </c>
    </row>
    <row r="36" ht="15.75" customHeight="1">
      <c r="A36" s="21">
        <f>'Soul Energy Tiers'!J12</f>
        <v>10240</v>
      </c>
      <c r="B36" s="5"/>
      <c r="C36" s="55" t="s">
        <v>31</v>
      </c>
      <c r="D36" s="32">
        <f t="shared" si="40"/>
        <v>10240</v>
      </c>
      <c r="E36" s="5"/>
      <c r="F36" s="55" t="s">
        <v>31</v>
      </c>
      <c r="G36" s="32">
        <f t="shared" ref="G36:AB36" si="49">$A36/G$5</f>
        <v>5120</v>
      </c>
      <c r="H36" s="32">
        <f t="shared" si="49"/>
        <v>2048</v>
      </c>
      <c r="I36" s="32">
        <f t="shared" si="49"/>
        <v>5120</v>
      </c>
      <c r="J36" s="32">
        <f t="shared" si="49"/>
        <v>3413.333333</v>
      </c>
      <c r="K36" s="32">
        <f t="shared" si="49"/>
        <v>2560</v>
      </c>
      <c r="L36" s="32">
        <f t="shared" si="49"/>
        <v>2560</v>
      </c>
      <c r="M36" s="32">
        <f t="shared" si="49"/>
        <v>1706.666667</v>
      </c>
      <c r="N36" s="32">
        <f t="shared" si="49"/>
        <v>10240</v>
      </c>
      <c r="O36" s="32">
        <f t="shared" si="49"/>
        <v>10240</v>
      </c>
      <c r="P36" s="32">
        <f t="shared" si="49"/>
        <v>10240</v>
      </c>
      <c r="Q36" s="32">
        <f t="shared" si="49"/>
        <v>10240</v>
      </c>
      <c r="R36" s="32">
        <f t="shared" si="49"/>
        <v>10240</v>
      </c>
      <c r="S36" s="32">
        <f t="shared" si="49"/>
        <v>10240</v>
      </c>
      <c r="T36" s="32">
        <f t="shared" si="49"/>
        <v>10240</v>
      </c>
      <c r="U36" s="32">
        <f t="shared" si="49"/>
        <v>10240</v>
      </c>
      <c r="V36" s="32">
        <f t="shared" si="49"/>
        <v>10240</v>
      </c>
      <c r="W36" s="32">
        <f t="shared" si="49"/>
        <v>10240</v>
      </c>
      <c r="X36" s="32">
        <f t="shared" si="49"/>
        <v>10240</v>
      </c>
      <c r="Y36" s="32">
        <f t="shared" si="49"/>
        <v>10240</v>
      </c>
      <c r="Z36" s="32">
        <f t="shared" si="49"/>
        <v>10240</v>
      </c>
      <c r="AA36" s="32">
        <f t="shared" si="49"/>
        <v>10240</v>
      </c>
      <c r="AB36" s="32">
        <f t="shared" si="49"/>
        <v>10240</v>
      </c>
    </row>
    <row r="37" ht="15.75" customHeight="1">
      <c r="A37" s="21">
        <f>'Soul Energy Tiers'!J13</f>
        <v>20480</v>
      </c>
      <c r="B37" s="5"/>
      <c r="C37" s="55" t="s">
        <v>33</v>
      </c>
      <c r="D37" s="32">
        <f t="shared" si="40"/>
        <v>20480</v>
      </c>
      <c r="E37" s="5"/>
      <c r="F37" s="55" t="s">
        <v>33</v>
      </c>
      <c r="G37" s="32">
        <f t="shared" ref="G37:AB37" si="50">$A37/G$5</f>
        <v>10240</v>
      </c>
      <c r="H37" s="32">
        <f t="shared" si="50"/>
        <v>4096</v>
      </c>
      <c r="I37" s="32">
        <f t="shared" si="50"/>
        <v>10240</v>
      </c>
      <c r="J37" s="32">
        <f t="shared" si="50"/>
        <v>6826.666667</v>
      </c>
      <c r="K37" s="32">
        <f t="shared" si="50"/>
        <v>5120</v>
      </c>
      <c r="L37" s="32">
        <f t="shared" si="50"/>
        <v>5120</v>
      </c>
      <c r="M37" s="32">
        <f t="shared" si="50"/>
        <v>3413.333333</v>
      </c>
      <c r="N37" s="32">
        <f t="shared" si="50"/>
        <v>20480</v>
      </c>
      <c r="O37" s="32">
        <f t="shared" si="50"/>
        <v>20480</v>
      </c>
      <c r="P37" s="32">
        <f t="shared" si="50"/>
        <v>20480</v>
      </c>
      <c r="Q37" s="32">
        <f t="shared" si="50"/>
        <v>20480</v>
      </c>
      <c r="R37" s="32">
        <f t="shared" si="50"/>
        <v>20480</v>
      </c>
      <c r="S37" s="32">
        <f t="shared" si="50"/>
        <v>20480</v>
      </c>
      <c r="T37" s="32">
        <f t="shared" si="50"/>
        <v>20480</v>
      </c>
      <c r="U37" s="32">
        <f t="shared" si="50"/>
        <v>20480</v>
      </c>
      <c r="V37" s="32">
        <f t="shared" si="50"/>
        <v>20480</v>
      </c>
      <c r="W37" s="32">
        <f t="shared" si="50"/>
        <v>20480</v>
      </c>
      <c r="X37" s="32">
        <f t="shared" si="50"/>
        <v>20480</v>
      </c>
      <c r="Y37" s="32">
        <f t="shared" si="50"/>
        <v>20480</v>
      </c>
      <c r="Z37" s="32">
        <f t="shared" si="50"/>
        <v>20480</v>
      </c>
      <c r="AA37" s="32">
        <f t="shared" si="50"/>
        <v>20480</v>
      </c>
      <c r="AB37" s="32">
        <f t="shared" si="50"/>
        <v>20480</v>
      </c>
    </row>
    <row r="38" ht="15.75" customHeight="1">
      <c r="A38" s="21">
        <f>'Soul Energy Tiers'!J14</f>
        <v>40960</v>
      </c>
      <c r="B38" s="5"/>
      <c r="C38" s="55" t="s">
        <v>35</v>
      </c>
      <c r="D38" s="32">
        <f t="shared" si="40"/>
        <v>40960</v>
      </c>
      <c r="E38" s="5"/>
      <c r="F38" s="55" t="s">
        <v>35</v>
      </c>
      <c r="G38" s="32">
        <f t="shared" ref="G38:AB38" si="51">$A38/G$5</f>
        <v>20480</v>
      </c>
      <c r="H38" s="32">
        <f t="shared" si="51"/>
        <v>8192</v>
      </c>
      <c r="I38" s="32">
        <f t="shared" si="51"/>
        <v>20480</v>
      </c>
      <c r="J38" s="32">
        <f t="shared" si="51"/>
        <v>13653.33333</v>
      </c>
      <c r="K38" s="32">
        <f t="shared" si="51"/>
        <v>10240</v>
      </c>
      <c r="L38" s="32">
        <f t="shared" si="51"/>
        <v>10240</v>
      </c>
      <c r="M38" s="32">
        <f t="shared" si="51"/>
        <v>6826.666667</v>
      </c>
      <c r="N38" s="32">
        <f t="shared" si="51"/>
        <v>40960</v>
      </c>
      <c r="O38" s="32">
        <f t="shared" si="51"/>
        <v>40960</v>
      </c>
      <c r="P38" s="32">
        <f t="shared" si="51"/>
        <v>40960</v>
      </c>
      <c r="Q38" s="32">
        <f t="shared" si="51"/>
        <v>40960</v>
      </c>
      <c r="R38" s="32">
        <f t="shared" si="51"/>
        <v>40960</v>
      </c>
      <c r="S38" s="32">
        <f t="shared" si="51"/>
        <v>40960</v>
      </c>
      <c r="T38" s="32">
        <f t="shared" si="51"/>
        <v>40960</v>
      </c>
      <c r="U38" s="32">
        <f t="shared" si="51"/>
        <v>40960</v>
      </c>
      <c r="V38" s="32">
        <f t="shared" si="51"/>
        <v>40960</v>
      </c>
      <c r="W38" s="32">
        <f t="shared" si="51"/>
        <v>40960</v>
      </c>
      <c r="X38" s="32">
        <f t="shared" si="51"/>
        <v>40960</v>
      </c>
      <c r="Y38" s="32">
        <f t="shared" si="51"/>
        <v>40960</v>
      </c>
      <c r="Z38" s="32">
        <f t="shared" si="51"/>
        <v>40960</v>
      </c>
      <c r="AA38" s="32">
        <f t="shared" si="51"/>
        <v>40960</v>
      </c>
      <c r="AB38" s="32">
        <f t="shared" si="51"/>
        <v>40960</v>
      </c>
    </row>
    <row r="39" ht="15.75" customHeight="1">
      <c r="A39" s="21">
        <f>'Soul Energy Tiers'!J15</f>
        <v>81920</v>
      </c>
      <c r="B39" s="5"/>
      <c r="C39" s="55" t="s">
        <v>37</v>
      </c>
      <c r="D39" s="32">
        <f t="shared" si="40"/>
        <v>81920</v>
      </c>
      <c r="E39" s="5"/>
      <c r="F39" s="55" t="s">
        <v>37</v>
      </c>
      <c r="G39" s="32">
        <f t="shared" ref="G39:AB39" si="52">$A39/G$5</f>
        <v>40960</v>
      </c>
      <c r="H39" s="32">
        <f t="shared" si="52"/>
        <v>16384</v>
      </c>
      <c r="I39" s="32">
        <f t="shared" si="52"/>
        <v>40960</v>
      </c>
      <c r="J39" s="32">
        <f t="shared" si="52"/>
        <v>27306.66667</v>
      </c>
      <c r="K39" s="32">
        <f t="shared" si="52"/>
        <v>20480</v>
      </c>
      <c r="L39" s="32">
        <f t="shared" si="52"/>
        <v>20480</v>
      </c>
      <c r="M39" s="32">
        <f t="shared" si="52"/>
        <v>13653.33333</v>
      </c>
      <c r="N39" s="32">
        <f t="shared" si="52"/>
        <v>81920</v>
      </c>
      <c r="O39" s="32">
        <f t="shared" si="52"/>
        <v>81920</v>
      </c>
      <c r="P39" s="32">
        <f t="shared" si="52"/>
        <v>81920</v>
      </c>
      <c r="Q39" s="32">
        <f t="shared" si="52"/>
        <v>81920</v>
      </c>
      <c r="R39" s="32">
        <f t="shared" si="52"/>
        <v>81920</v>
      </c>
      <c r="S39" s="32">
        <f t="shared" si="52"/>
        <v>81920</v>
      </c>
      <c r="T39" s="32">
        <f t="shared" si="52"/>
        <v>81920</v>
      </c>
      <c r="U39" s="32">
        <f t="shared" si="52"/>
        <v>81920</v>
      </c>
      <c r="V39" s="32">
        <f t="shared" si="52"/>
        <v>81920</v>
      </c>
      <c r="W39" s="32">
        <f t="shared" si="52"/>
        <v>81920</v>
      </c>
      <c r="X39" s="32">
        <f t="shared" si="52"/>
        <v>81920</v>
      </c>
      <c r="Y39" s="32">
        <f t="shared" si="52"/>
        <v>81920</v>
      </c>
      <c r="Z39" s="32">
        <f t="shared" si="52"/>
        <v>81920</v>
      </c>
      <c r="AA39" s="32">
        <f t="shared" si="52"/>
        <v>81920</v>
      </c>
      <c r="AB39" s="32">
        <f t="shared" si="52"/>
        <v>81920</v>
      </c>
    </row>
    <row r="40" ht="15.75" customHeight="1">
      <c r="A40" s="21">
        <f>'Soul Energy Tiers'!J16</f>
        <v>163840</v>
      </c>
      <c r="B40" s="5"/>
      <c r="C40" s="55" t="s">
        <v>39</v>
      </c>
      <c r="D40" s="32">
        <f t="shared" si="40"/>
        <v>163840</v>
      </c>
      <c r="E40" s="5"/>
      <c r="F40" s="55" t="s">
        <v>39</v>
      </c>
      <c r="G40" s="32">
        <f t="shared" ref="G40:AB40" si="53">$A40/G$5</f>
        <v>81920</v>
      </c>
      <c r="H40" s="32">
        <f t="shared" si="53"/>
        <v>32768</v>
      </c>
      <c r="I40" s="32">
        <f t="shared" si="53"/>
        <v>81920</v>
      </c>
      <c r="J40" s="32">
        <f t="shared" si="53"/>
        <v>54613.33333</v>
      </c>
      <c r="K40" s="32">
        <f t="shared" si="53"/>
        <v>40960</v>
      </c>
      <c r="L40" s="32">
        <f t="shared" si="53"/>
        <v>40960</v>
      </c>
      <c r="M40" s="32">
        <f t="shared" si="53"/>
        <v>27306.66667</v>
      </c>
      <c r="N40" s="32">
        <f t="shared" si="53"/>
        <v>163840</v>
      </c>
      <c r="O40" s="32">
        <f t="shared" si="53"/>
        <v>163840</v>
      </c>
      <c r="P40" s="32">
        <f t="shared" si="53"/>
        <v>163840</v>
      </c>
      <c r="Q40" s="32">
        <f t="shared" si="53"/>
        <v>163840</v>
      </c>
      <c r="R40" s="32">
        <f t="shared" si="53"/>
        <v>163840</v>
      </c>
      <c r="S40" s="32">
        <f t="shared" si="53"/>
        <v>163840</v>
      </c>
      <c r="T40" s="32">
        <f t="shared" si="53"/>
        <v>163840</v>
      </c>
      <c r="U40" s="32">
        <f t="shared" si="53"/>
        <v>163840</v>
      </c>
      <c r="V40" s="32">
        <f t="shared" si="53"/>
        <v>163840</v>
      </c>
      <c r="W40" s="32">
        <f t="shared" si="53"/>
        <v>163840</v>
      </c>
      <c r="X40" s="32">
        <f t="shared" si="53"/>
        <v>163840</v>
      </c>
      <c r="Y40" s="32">
        <f t="shared" si="53"/>
        <v>163840</v>
      </c>
      <c r="Z40" s="32">
        <f t="shared" si="53"/>
        <v>163840</v>
      </c>
      <c r="AA40" s="32">
        <f t="shared" si="53"/>
        <v>163840</v>
      </c>
      <c r="AB40" s="32">
        <f t="shared" si="53"/>
        <v>163840</v>
      </c>
    </row>
    <row r="41" ht="15.75" customHeight="1">
      <c r="A41" s="21">
        <f>'Soul Energy Tiers'!J17</f>
        <v>327680</v>
      </c>
      <c r="B41" s="5"/>
      <c r="C41" s="55" t="s">
        <v>41</v>
      </c>
      <c r="D41" s="32">
        <f t="shared" si="40"/>
        <v>327680</v>
      </c>
      <c r="E41" s="5"/>
      <c r="F41" s="55" t="s">
        <v>41</v>
      </c>
      <c r="G41" s="32">
        <f t="shared" ref="G41:AB41" si="54">$A41/G$5</f>
        <v>163840</v>
      </c>
      <c r="H41" s="32">
        <f t="shared" si="54"/>
        <v>65536</v>
      </c>
      <c r="I41" s="32">
        <f t="shared" si="54"/>
        <v>163840</v>
      </c>
      <c r="J41" s="32">
        <f t="shared" si="54"/>
        <v>109226.6667</v>
      </c>
      <c r="K41" s="32">
        <f t="shared" si="54"/>
        <v>81920</v>
      </c>
      <c r="L41" s="32">
        <f t="shared" si="54"/>
        <v>81920</v>
      </c>
      <c r="M41" s="32">
        <f t="shared" si="54"/>
        <v>54613.33333</v>
      </c>
      <c r="N41" s="32">
        <f t="shared" si="54"/>
        <v>327680</v>
      </c>
      <c r="O41" s="32">
        <f t="shared" si="54"/>
        <v>327680</v>
      </c>
      <c r="P41" s="32">
        <f t="shared" si="54"/>
        <v>327680</v>
      </c>
      <c r="Q41" s="32">
        <f t="shared" si="54"/>
        <v>327680</v>
      </c>
      <c r="R41" s="32">
        <f t="shared" si="54"/>
        <v>327680</v>
      </c>
      <c r="S41" s="32">
        <f t="shared" si="54"/>
        <v>327680</v>
      </c>
      <c r="T41" s="32">
        <f t="shared" si="54"/>
        <v>327680</v>
      </c>
      <c r="U41" s="32">
        <f t="shared" si="54"/>
        <v>327680</v>
      </c>
      <c r="V41" s="32">
        <f t="shared" si="54"/>
        <v>327680</v>
      </c>
      <c r="W41" s="32">
        <f t="shared" si="54"/>
        <v>327680</v>
      </c>
      <c r="X41" s="32">
        <f t="shared" si="54"/>
        <v>327680</v>
      </c>
      <c r="Y41" s="32">
        <f t="shared" si="54"/>
        <v>327680</v>
      </c>
      <c r="Z41" s="32">
        <f t="shared" si="54"/>
        <v>327680</v>
      </c>
      <c r="AA41" s="32">
        <f t="shared" si="54"/>
        <v>327680</v>
      </c>
      <c r="AB41" s="32">
        <f t="shared" si="54"/>
        <v>327680</v>
      </c>
    </row>
    <row r="42" ht="15.75" customHeight="1">
      <c r="A42" s="21">
        <f>'Soul Energy Tiers'!J18</f>
        <v>655360</v>
      </c>
      <c r="B42" s="5"/>
      <c r="C42" s="55" t="s">
        <v>43</v>
      </c>
      <c r="D42" s="32">
        <f t="shared" si="40"/>
        <v>655360</v>
      </c>
      <c r="E42" s="5"/>
      <c r="F42" s="55" t="s">
        <v>43</v>
      </c>
      <c r="G42" s="32">
        <f t="shared" ref="G42:AB42" si="55">$A42/G$5</f>
        <v>327680</v>
      </c>
      <c r="H42" s="32">
        <f t="shared" si="55"/>
        <v>131072</v>
      </c>
      <c r="I42" s="32">
        <f t="shared" si="55"/>
        <v>327680</v>
      </c>
      <c r="J42" s="32">
        <f t="shared" si="55"/>
        <v>218453.3333</v>
      </c>
      <c r="K42" s="32">
        <f t="shared" si="55"/>
        <v>163840</v>
      </c>
      <c r="L42" s="32">
        <f t="shared" si="55"/>
        <v>163840</v>
      </c>
      <c r="M42" s="32">
        <f t="shared" si="55"/>
        <v>109226.6667</v>
      </c>
      <c r="N42" s="32">
        <f t="shared" si="55"/>
        <v>655360</v>
      </c>
      <c r="O42" s="32">
        <f t="shared" si="55"/>
        <v>655360</v>
      </c>
      <c r="P42" s="32">
        <f t="shared" si="55"/>
        <v>655360</v>
      </c>
      <c r="Q42" s="32">
        <f t="shared" si="55"/>
        <v>655360</v>
      </c>
      <c r="R42" s="32">
        <f t="shared" si="55"/>
        <v>655360</v>
      </c>
      <c r="S42" s="32">
        <f t="shared" si="55"/>
        <v>655360</v>
      </c>
      <c r="T42" s="32">
        <f t="shared" si="55"/>
        <v>655360</v>
      </c>
      <c r="U42" s="32">
        <f t="shared" si="55"/>
        <v>655360</v>
      </c>
      <c r="V42" s="32">
        <f t="shared" si="55"/>
        <v>655360</v>
      </c>
      <c r="W42" s="32">
        <f t="shared" si="55"/>
        <v>655360</v>
      </c>
      <c r="X42" s="32">
        <f t="shared" si="55"/>
        <v>655360</v>
      </c>
      <c r="Y42" s="32">
        <f t="shared" si="55"/>
        <v>655360</v>
      </c>
      <c r="Z42" s="32">
        <f t="shared" si="55"/>
        <v>655360</v>
      </c>
      <c r="AA42" s="32">
        <f t="shared" si="55"/>
        <v>655360</v>
      </c>
      <c r="AB42" s="32">
        <f t="shared" si="55"/>
        <v>655360</v>
      </c>
    </row>
    <row r="43" ht="15.75" customHeight="1">
      <c r="A43" s="21">
        <f>'Soul Energy Tiers'!J19</f>
        <v>1310720</v>
      </c>
      <c r="B43" s="5"/>
      <c r="C43" s="55" t="s">
        <v>45</v>
      </c>
      <c r="D43" s="32">
        <f t="shared" si="40"/>
        <v>1310720</v>
      </c>
      <c r="E43" s="5"/>
      <c r="F43" s="55" t="s">
        <v>45</v>
      </c>
      <c r="G43" s="32">
        <f t="shared" ref="G43:AB43" si="56">$A43/G$5</f>
        <v>655360</v>
      </c>
      <c r="H43" s="32">
        <f t="shared" si="56"/>
        <v>262144</v>
      </c>
      <c r="I43" s="32">
        <f t="shared" si="56"/>
        <v>655360</v>
      </c>
      <c r="J43" s="32">
        <f t="shared" si="56"/>
        <v>436906.6667</v>
      </c>
      <c r="K43" s="32">
        <f t="shared" si="56"/>
        <v>327680</v>
      </c>
      <c r="L43" s="32">
        <f t="shared" si="56"/>
        <v>327680</v>
      </c>
      <c r="M43" s="32">
        <f t="shared" si="56"/>
        <v>218453.3333</v>
      </c>
      <c r="N43" s="32">
        <f t="shared" si="56"/>
        <v>1310720</v>
      </c>
      <c r="O43" s="32">
        <f t="shared" si="56"/>
        <v>1310720</v>
      </c>
      <c r="P43" s="32">
        <f t="shared" si="56"/>
        <v>1310720</v>
      </c>
      <c r="Q43" s="32">
        <f t="shared" si="56"/>
        <v>1310720</v>
      </c>
      <c r="R43" s="32">
        <f t="shared" si="56"/>
        <v>1310720</v>
      </c>
      <c r="S43" s="32">
        <f t="shared" si="56"/>
        <v>1310720</v>
      </c>
      <c r="T43" s="32">
        <f t="shared" si="56"/>
        <v>1310720</v>
      </c>
      <c r="U43" s="32">
        <f t="shared" si="56"/>
        <v>1310720</v>
      </c>
      <c r="V43" s="32">
        <f t="shared" si="56"/>
        <v>1310720</v>
      </c>
      <c r="W43" s="32">
        <f t="shared" si="56"/>
        <v>1310720</v>
      </c>
      <c r="X43" s="32">
        <f t="shared" si="56"/>
        <v>1310720</v>
      </c>
      <c r="Y43" s="32">
        <f t="shared" si="56"/>
        <v>1310720</v>
      </c>
      <c r="Z43" s="32">
        <f t="shared" si="56"/>
        <v>1310720</v>
      </c>
      <c r="AA43" s="32">
        <f t="shared" si="56"/>
        <v>1310720</v>
      </c>
      <c r="AB43" s="32">
        <f t="shared" si="56"/>
        <v>1310720</v>
      </c>
    </row>
    <row r="44" ht="15.75" customHeight="1">
      <c r="A44" s="35"/>
      <c r="B44" s="5"/>
      <c r="C44" s="5"/>
      <c r="E44" s="5"/>
      <c r="F44" s="35"/>
      <c r="G44" s="35" t="s">
        <v>76</v>
      </c>
    </row>
    <row r="45" ht="15.75" customHeight="1">
      <c r="A45" s="52" t="s">
        <v>75</v>
      </c>
      <c r="B45" s="5"/>
      <c r="C45" s="10" t="s">
        <v>3</v>
      </c>
      <c r="D45" s="10" t="s">
        <v>55</v>
      </c>
      <c r="E45" s="5"/>
      <c r="F45" s="53" t="s">
        <v>3</v>
      </c>
      <c r="G45" s="45" t="str">
        <f t="shared" ref="G45:AB45" si="57">G26</f>
        <v>Cinika</v>
      </c>
      <c r="H45" s="45" t="str">
        <f t="shared" si="57"/>
        <v>Egua</v>
      </c>
      <c r="I45" s="45" t="str">
        <f t="shared" si="57"/>
        <v>Legunia</v>
      </c>
      <c r="J45" s="45" t="str">
        <f t="shared" si="57"/>
        <v>Koalin</v>
      </c>
      <c r="K45" s="45" t="str">
        <f t="shared" si="57"/>
        <v>Monica</v>
      </c>
      <c r="L45" s="45" t="str">
        <f t="shared" si="57"/>
        <v>Winga</v>
      </c>
      <c r="M45" s="45" t="str">
        <f t="shared" si="57"/>
        <v>Wooly</v>
      </c>
      <c r="N45" s="45" t="str">
        <f t="shared" si="57"/>
        <v/>
      </c>
      <c r="O45" s="45" t="str">
        <f t="shared" si="57"/>
        <v/>
      </c>
      <c r="P45" s="45" t="str">
        <f t="shared" si="57"/>
        <v/>
      </c>
      <c r="Q45" s="45" t="str">
        <f t="shared" si="57"/>
        <v/>
      </c>
      <c r="R45" s="45" t="str">
        <f t="shared" si="57"/>
        <v/>
      </c>
      <c r="S45" s="45" t="str">
        <f t="shared" si="57"/>
        <v/>
      </c>
      <c r="T45" s="45" t="str">
        <f t="shared" si="57"/>
        <v/>
      </c>
      <c r="U45" s="45" t="str">
        <f t="shared" si="57"/>
        <v/>
      </c>
      <c r="V45" s="45" t="str">
        <f t="shared" si="57"/>
        <v/>
      </c>
      <c r="W45" s="45" t="str">
        <f t="shared" si="57"/>
        <v/>
      </c>
      <c r="X45" s="45" t="str">
        <f t="shared" si="57"/>
        <v/>
      </c>
      <c r="Y45" s="45" t="str">
        <f t="shared" si="57"/>
        <v/>
      </c>
      <c r="Z45" s="45" t="str">
        <f t="shared" si="57"/>
        <v/>
      </c>
      <c r="AA45" s="45" t="str">
        <f t="shared" si="57"/>
        <v/>
      </c>
      <c r="AB45" s="45" t="str">
        <f t="shared" si="57"/>
        <v/>
      </c>
    </row>
    <row r="46" ht="15.75" customHeight="1">
      <c r="A46" s="21">
        <f>'Soul Energy Tiers'!J3</f>
        <v>20</v>
      </c>
      <c r="B46" s="5"/>
      <c r="C46" s="54" t="s">
        <v>13</v>
      </c>
      <c r="D46" s="23">
        <f t="shared" ref="D46:D62" si="59">($A46/D$5)/365</f>
        <v>0.05479452055</v>
      </c>
      <c r="E46" s="5"/>
      <c r="F46" s="54" t="s">
        <v>13</v>
      </c>
      <c r="G46" s="32">
        <f t="shared" ref="G46:AB46" si="58">($A46/G$5)/365</f>
        <v>0.02739726027</v>
      </c>
      <c r="H46" s="32">
        <f t="shared" si="58"/>
        <v>0.01095890411</v>
      </c>
      <c r="I46" s="32">
        <f t="shared" si="58"/>
        <v>0.02739726027</v>
      </c>
      <c r="J46" s="32">
        <f t="shared" si="58"/>
        <v>0.01826484018</v>
      </c>
      <c r="K46" s="32">
        <f t="shared" si="58"/>
        <v>0.01369863014</v>
      </c>
      <c r="L46" s="32">
        <f t="shared" si="58"/>
        <v>0.01369863014</v>
      </c>
      <c r="M46" s="32">
        <f t="shared" si="58"/>
        <v>0.009132420091</v>
      </c>
      <c r="N46" s="32">
        <f t="shared" si="58"/>
        <v>0.05479452055</v>
      </c>
      <c r="O46" s="32">
        <f t="shared" si="58"/>
        <v>0.05479452055</v>
      </c>
      <c r="P46" s="32">
        <f t="shared" si="58"/>
        <v>0.05479452055</v>
      </c>
      <c r="Q46" s="32">
        <f t="shared" si="58"/>
        <v>0.05479452055</v>
      </c>
      <c r="R46" s="32">
        <f t="shared" si="58"/>
        <v>0.05479452055</v>
      </c>
      <c r="S46" s="32">
        <f t="shared" si="58"/>
        <v>0.05479452055</v>
      </c>
      <c r="T46" s="32">
        <f t="shared" si="58"/>
        <v>0.05479452055</v>
      </c>
      <c r="U46" s="32">
        <f t="shared" si="58"/>
        <v>0.05479452055</v>
      </c>
      <c r="V46" s="32">
        <f t="shared" si="58"/>
        <v>0.05479452055</v>
      </c>
      <c r="W46" s="32">
        <f t="shared" si="58"/>
        <v>0.05479452055</v>
      </c>
      <c r="X46" s="32">
        <f t="shared" si="58"/>
        <v>0.05479452055</v>
      </c>
      <c r="Y46" s="32">
        <f t="shared" si="58"/>
        <v>0.05479452055</v>
      </c>
      <c r="Z46" s="32">
        <f t="shared" si="58"/>
        <v>0.05479452055</v>
      </c>
      <c r="AA46" s="32">
        <f t="shared" si="58"/>
        <v>0.05479452055</v>
      </c>
      <c r="AB46" s="32">
        <f t="shared" si="58"/>
        <v>0.05479452055</v>
      </c>
    </row>
    <row r="47" ht="15.75" customHeight="1">
      <c r="A47" s="21">
        <f>'Soul Energy Tiers'!J4</f>
        <v>40</v>
      </c>
      <c r="B47" s="5"/>
      <c r="C47" s="55" t="s">
        <v>15</v>
      </c>
      <c r="D47" s="32">
        <f t="shared" si="59"/>
        <v>0.1095890411</v>
      </c>
      <c r="E47" s="5"/>
      <c r="F47" s="55" t="s">
        <v>15</v>
      </c>
      <c r="G47" s="32">
        <f t="shared" ref="G47:AB47" si="60">($A47/G$5)/365</f>
        <v>0.05479452055</v>
      </c>
      <c r="H47" s="32">
        <f t="shared" si="60"/>
        <v>0.02191780822</v>
      </c>
      <c r="I47" s="32">
        <f t="shared" si="60"/>
        <v>0.05479452055</v>
      </c>
      <c r="J47" s="32">
        <f t="shared" si="60"/>
        <v>0.03652968037</v>
      </c>
      <c r="K47" s="32">
        <f t="shared" si="60"/>
        <v>0.02739726027</v>
      </c>
      <c r="L47" s="32">
        <f t="shared" si="60"/>
        <v>0.02739726027</v>
      </c>
      <c r="M47" s="32">
        <f t="shared" si="60"/>
        <v>0.01826484018</v>
      </c>
      <c r="N47" s="32">
        <f t="shared" si="60"/>
        <v>0.1095890411</v>
      </c>
      <c r="O47" s="32">
        <f t="shared" si="60"/>
        <v>0.1095890411</v>
      </c>
      <c r="P47" s="32">
        <f t="shared" si="60"/>
        <v>0.1095890411</v>
      </c>
      <c r="Q47" s="32">
        <f t="shared" si="60"/>
        <v>0.1095890411</v>
      </c>
      <c r="R47" s="32">
        <f t="shared" si="60"/>
        <v>0.1095890411</v>
      </c>
      <c r="S47" s="32">
        <f t="shared" si="60"/>
        <v>0.1095890411</v>
      </c>
      <c r="T47" s="32">
        <f t="shared" si="60"/>
        <v>0.1095890411</v>
      </c>
      <c r="U47" s="32">
        <f t="shared" si="60"/>
        <v>0.1095890411</v>
      </c>
      <c r="V47" s="32">
        <f t="shared" si="60"/>
        <v>0.1095890411</v>
      </c>
      <c r="W47" s="32">
        <f t="shared" si="60"/>
        <v>0.1095890411</v>
      </c>
      <c r="X47" s="32">
        <f t="shared" si="60"/>
        <v>0.1095890411</v>
      </c>
      <c r="Y47" s="32">
        <f t="shared" si="60"/>
        <v>0.1095890411</v>
      </c>
      <c r="Z47" s="32">
        <f t="shared" si="60"/>
        <v>0.1095890411</v>
      </c>
      <c r="AA47" s="32">
        <f t="shared" si="60"/>
        <v>0.1095890411</v>
      </c>
      <c r="AB47" s="32">
        <f t="shared" si="60"/>
        <v>0.1095890411</v>
      </c>
    </row>
    <row r="48" ht="15.75" customHeight="1">
      <c r="A48" s="21">
        <f>'Soul Energy Tiers'!J5</f>
        <v>80</v>
      </c>
      <c r="B48" s="5"/>
      <c r="C48" s="55" t="s">
        <v>17</v>
      </c>
      <c r="D48" s="32">
        <f t="shared" si="59"/>
        <v>0.2191780822</v>
      </c>
      <c r="E48" s="5"/>
      <c r="F48" s="55" t="s">
        <v>17</v>
      </c>
      <c r="G48" s="32">
        <f t="shared" ref="G48:AB48" si="61">($A48/G$5)/365</f>
        <v>0.1095890411</v>
      </c>
      <c r="H48" s="32">
        <f t="shared" si="61"/>
        <v>0.04383561644</v>
      </c>
      <c r="I48" s="32">
        <f t="shared" si="61"/>
        <v>0.1095890411</v>
      </c>
      <c r="J48" s="32">
        <f t="shared" si="61"/>
        <v>0.07305936073</v>
      </c>
      <c r="K48" s="32">
        <f t="shared" si="61"/>
        <v>0.05479452055</v>
      </c>
      <c r="L48" s="32">
        <f t="shared" si="61"/>
        <v>0.05479452055</v>
      </c>
      <c r="M48" s="32">
        <f t="shared" si="61"/>
        <v>0.03652968037</v>
      </c>
      <c r="N48" s="32">
        <f t="shared" si="61"/>
        <v>0.2191780822</v>
      </c>
      <c r="O48" s="32">
        <f t="shared" si="61"/>
        <v>0.2191780822</v>
      </c>
      <c r="P48" s="32">
        <f t="shared" si="61"/>
        <v>0.2191780822</v>
      </c>
      <c r="Q48" s="32">
        <f t="shared" si="61"/>
        <v>0.2191780822</v>
      </c>
      <c r="R48" s="32">
        <f t="shared" si="61"/>
        <v>0.2191780822</v>
      </c>
      <c r="S48" s="32">
        <f t="shared" si="61"/>
        <v>0.2191780822</v>
      </c>
      <c r="T48" s="32">
        <f t="shared" si="61"/>
        <v>0.2191780822</v>
      </c>
      <c r="U48" s="32">
        <f t="shared" si="61"/>
        <v>0.2191780822</v>
      </c>
      <c r="V48" s="32">
        <f t="shared" si="61"/>
        <v>0.2191780822</v>
      </c>
      <c r="W48" s="32">
        <f t="shared" si="61"/>
        <v>0.2191780822</v>
      </c>
      <c r="X48" s="32">
        <f t="shared" si="61"/>
        <v>0.2191780822</v>
      </c>
      <c r="Y48" s="32">
        <f t="shared" si="61"/>
        <v>0.2191780822</v>
      </c>
      <c r="Z48" s="32">
        <f t="shared" si="61"/>
        <v>0.2191780822</v>
      </c>
      <c r="AA48" s="32">
        <f t="shared" si="61"/>
        <v>0.2191780822</v>
      </c>
      <c r="AB48" s="32">
        <f t="shared" si="61"/>
        <v>0.2191780822</v>
      </c>
    </row>
    <row r="49" ht="15.75" customHeight="1">
      <c r="A49" s="21">
        <f>'Soul Energy Tiers'!J6</f>
        <v>160</v>
      </c>
      <c r="B49" s="5"/>
      <c r="C49" s="55" t="s">
        <v>19</v>
      </c>
      <c r="D49" s="32">
        <f t="shared" si="59"/>
        <v>0.4383561644</v>
      </c>
      <c r="E49" s="5"/>
      <c r="F49" s="55" t="s">
        <v>19</v>
      </c>
      <c r="G49" s="32">
        <f t="shared" ref="G49:AB49" si="62">($A49/G$5)/365</f>
        <v>0.2191780822</v>
      </c>
      <c r="H49" s="32">
        <f t="shared" si="62"/>
        <v>0.08767123288</v>
      </c>
      <c r="I49" s="32">
        <f t="shared" si="62"/>
        <v>0.2191780822</v>
      </c>
      <c r="J49" s="32">
        <f t="shared" si="62"/>
        <v>0.1461187215</v>
      </c>
      <c r="K49" s="32">
        <f t="shared" si="62"/>
        <v>0.1095890411</v>
      </c>
      <c r="L49" s="32">
        <f t="shared" si="62"/>
        <v>0.1095890411</v>
      </c>
      <c r="M49" s="32">
        <f t="shared" si="62"/>
        <v>0.07305936073</v>
      </c>
      <c r="N49" s="32">
        <f t="shared" si="62"/>
        <v>0.4383561644</v>
      </c>
      <c r="O49" s="32">
        <f t="shared" si="62"/>
        <v>0.4383561644</v>
      </c>
      <c r="P49" s="32">
        <f t="shared" si="62"/>
        <v>0.4383561644</v>
      </c>
      <c r="Q49" s="32">
        <f t="shared" si="62"/>
        <v>0.4383561644</v>
      </c>
      <c r="R49" s="32">
        <f t="shared" si="62"/>
        <v>0.4383561644</v>
      </c>
      <c r="S49" s="32">
        <f t="shared" si="62"/>
        <v>0.4383561644</v>
      </c>
      <c r="T49" s="32">
        <f t="shared" si="62"/>
        <v>0.4383561644</v>
      </c>
      <c r="U49" s="32">
        <f t="shared" si="62"/>
        <v>0.4383561644</v>
      </c>
      <c r="V49" s="32">
        <f t="shared" si="62"/>
        <v>0.4383561644</v>
      </c>
      <c r="W49" s="32">
        <f t="shared" si="62"/>
        <v>0.4383561644</v>
      </c>
      <c r="X49" s="32">
        <f t="shared" si="62"/>
        <v>0.4383561644</v>
      </c>
      <c r="Y49" s="32">
        <f t="shared" si="62"/>
        <v>0.4383561644</v>
      </c>
      <c r="Z49" s="32">
        <f t="shared" si="62"/>
        <v>0.4383561644</v>
      </c>
      <c r="AA49" s="32">
        <f t="shared" si="62"/>
        <v>0.4383561644</v>
      </c>
      <c r="AB49" s="32">
        <f t="shared" si="62"/>
        <v>0.4383561644</v>
      </c>
    </row>
    <row r="50" ht="15.75" customHeight="1">
      <c r="A50" s="21">
        <f>'Soul Energy Tiers'!J7</f>
        <v>320</v>
      </c>
      <c r="B50" s="5"/>
      <c r="C50" s="55" t="s">
        <v>21</v>
      </c>
      <c r="D50" s="32">
        <f t="shared" si="59"/>
        <v>0.8767123288</v>
      </c>
      <c r="E50" s="5"/>
      <c r="F50" s="55" t="s">
        <v>21</v>
      </c>
      <c r="G50" s="32">
        <f t="shared" ref="G50:AB50" si="63">($A50/G$5)/365</f>
        <v>0.4383561644</v>
      </c>
      <c r="H50" s="32">
        <f t="shared" si="63"/>
        <v>0.1753424658</v>
      </c>
      <c r="I50" s="32">
        <f t="shared" si="63"/>
        <v>0.4383561644</v>
      </c>
      <c r="J50" s="32">
        <f t="shared" si="63"/>
        <v>0.2922374429</v>
      </c>
      <c r="K50" s="32">
        <f t="shared" si="63"/>
        <v>0.2191780822</v>
      </c>
      <c r="L50" s="32">
        <f t="shared" si="63"/>
        <v>0.2191780822</v>
      </c>
      <c r="M50" s="32">
        <f t="shared" si="63"/>
        <v>0.1461187215</v>
      </c>
      <c r="N50" s="32">
        <f t="shared" si="63"/>
        <v>0.8767123288</v>
      </c>
      <c r="O50" s="32">
        <f t="shared" si="63"/>
        <v>0.8767123288</v>
      </c>
      <c r="P50" s="32">
        <f t="shared" si="63"/>
        <v>0.8767123288</v>
      </c>
      <c r="Q50" s="32">
        <f t="shared" si="63"/>
        <v>0.8767123288</v>
      </c>
      <c r="R50" s="32">
        <f t="shared" si="63"/>
        <v>0.8767123288</v>
      </c>
      <c r="S50" s="32">
        <f t="shared" si="63"/>
        <v>0.8767123288</v>
      </c>
      <c r="T50" s="32">
        <f t="shared" si="63"/>
        <v>0.8767123288</v>
      </c>
      <c r="U50" s="32">
        <f t="shared" si="63"/>
        <v>0.8767123288</v>
      </c>
      <c r="V50" s="32">
        <f t="shared" si="63"/>
        <v>0.8767123288</v>
      </c>
      <c r="W50" s="32">
        <f t="shared" si="63"/>
        <v>0.8767123288</v>
      </c>
      <c r="X50" s="32">
        <f t="shared" si="63"/>
        <v>0.8767123288</v>
      </c>
      <c r="Y50" s="32">
        <f t="shared" si="63"/>
        <v>0.8767123288</v>
      </c>
      <c r="Z50" s="32">
        <f t="shared" si="63"/>
        <v>0.8767123288</v>
      </c>
      <c r="AA50" s="32">
        <f t="shared" si="63"/>
        <v>0.8767123288</v>
      </c>
      <c r="AB50" s="32">
        <f t="shared" si="63"/>
        <v>0.8767123288</v>
      </c>
    </row>
    <row r="51" ht="15.75" customHeight="1">
      <c r="A51" s="21">
        <f>'Soul Energy Tiers'!J8</f>
        <v>640</v>
      </c>
      <c r="B51" s="5"/>
      <c r="C51" s="55" t="s">
        <v>23</v>
      </c>
      <c r="D51" s="32">
        <f t="shared" si="59"/>
        <v>1.753424658</v>
      </c>
      <c r="E51" s="5"/>
      <c r="F51" s="55" t="s">
        <v>23</v>
      </c>
      <c r="G51" s="32">
        <f t="shared" ref="G51:AB51" si="64">($A51/G$5)/365</f>
        <v>0.8767123288</v>
      </c>
      <c r="H51" s="32">
        <f t="shared" si="64"/>
        <v>0.3506849315</v>
      </c>
      <c r="I51" s="32">
        <f t="shared" si="64"/>
        <v>0.8767123288</v>
      </c>
      <c r="J51" s="32">
        <f t="shared" si="64"/>
        <v>0.5844748858</v>
      </c>
      <c r="K51" s="32">
        <f t="shared" si="64"/>
        <v>0.4383561644</v>
      </c>
      <c r="L51" s="32">
        <f t="shared" si="64"/>
        <v>0.4383561644</v>
      </c>
      <c r="M51" s="32">
        <f t="shared" si="64"/>
        <v>0.2922374429</v>
      </c>
      <c r="N51" s="32">
        <f t="shared" si="64"/>
        <v>1.753424658</v>
      </c>
      <c r="O51" s="32">
        <f t="shared" si="64"/>
        <v>1.753424658</v>
      </c>
      <c r="P51" s="32">
        <f t="shared" si="64"/>
        <v>1.753424658</v>
      </c>
      <c r="Q51" s="32">
        <f t="shared" si="64"/>
        <v>1.753424658</v>
      </c>
      <c r="R51" s="32">
        <f t="shared" si="64"/>
        <v>1.753424658</v>
      </c>
      <c r="S51" s="32">
        <f t="shared" si="64"/>
        <v>1.753424658</v>
      </c>
      <c r="T51" s="32">
        <f t="shared" si="64"/>
        <v>1.753424658</v>
      </c>
      <c r="U51" s="32">
        <f t="shared" si="64"/>
        <v>1.753424658</v>
      </c>
      <c r="V51" s="32">
        <f t="shared" si="64"/>
        <v>1.753424658</v>
      </c>
      <c r="W51" s="32">
        <f t="shared" si="64"/>
        <v>1.753424658</v>
      </c>
      <c r="X51" s="32">
        <f t="shared" si="64"/>
        <v>1.753424658</v>
      </c>
      <c r="Y51" s="32">
        <f t="shared" si="64"/>
        <v>1.753424658</v>
      </c>
      <c r="Z51" s="32">
        <f t="shared" si="64"/>
        <v>1.753424658</v>
      </c>
      <c r="AA51" s="32">
        <f t="shared" si="64"/>
        <v>1.753424658</v>
      </c>
      <c r="AB51" s="32">
        <f t="shared" si="64"/>
        <v>1.753424658</v>
      </c>
    </row>
    <row r="52" ht="15.75" customHeight="1">
      <c r="A52" s="21">
        <f>'Soul Energy Tiers'!J9</f>
        <v>1280</v>
      </c>
      <c r="B52" s="5"/>
      <c r="C52" s="55" t="s">
        <v>25</v>
      </c>
      <c r="D52" s="32">
        <f t="shared" si="59"/>
        <v>3.506849315</v>
      </c>
      <c r="E52" s="5"/>
      <c r="F52" s="55" t="s">
        <v>25</v>
      </c>
      <c r="G52" s="32">
        <f t="shared" ref="G52:AB52" si="65">($A52/G$5)/365</f>
        <v>1.753424658</v>
      </c>
      <c r="H52" s="32">
        <f t="shared" si="65"/>
        <v>0.701369863</v>
      </c>
      <c r="I52" s="32">
        <f t="shared" si="65"/>
        <v>1.753424658</v>
      </c>
      <c r="J52" s="32">
        <f t="shared" si="65"/>
        <v>1.168949772</v>
      </c>
      <c r="K52" s="32">
        <f t="shared" si="65"/>
        <v>0.8767123288</v>
      </c>
      <c r="L52" s="32">
        <f t="shared" si="65"/>
        <v>0.8767123288</v>
      </c>
      <c r="M52" s="32">
        <f t="shared" si="65"/>
        <v>0.5844748858</v>
      </c>
      <c r="N52" s="32">
        <f t="shared" si="65"/>
        <v>3.506849315</v>
      </c>
      <c r="O52" s="32">
        <f t="shared" si="65"/>
        <v>3.506849315</v>
      </c>
      <c r="P52" s="32">
        <f t="shared" si="65"/>
        <v>3.506849315</v>
      </c>
      <c r="Q52" s="32">
        <f t="shared" si="65"/>
        <v>3.506849315</v>
      </c>
      <c r="R52" s="32">
        <f t="shared" si="65"/>
        <v>3.506849315</v>
      </c>
      <c r="S52" s="32">
        <f t="shared" si="65"/>
        <v>3.506849315</v>
      </c>
      <c r="T52" s="32">
        <f t="shared" si="65"/>
        <v>3.506849315</v>
      </c>
      <c r="U52" s="32">
        <f t="shared" si="65"/>
        <v>3.506849315</v>
      </c>
      <c r="V52" s="32">
        <f t="shared" si="65"/>
        <v>3.506849315</v>
      </c>
      <c r="W52" s="32">
        <f t="shared" si="65"/>
        <v>3.506849315</v>
      </c>
      <c r="X52" s="32">
        <f t="shared" si="65"/>
        <v>3.506849315</v>
      </c>
      <c r="Y52" s="32">
        <f t="shared" si="65"/>
        <v>3.506849315</v>
      </c>
      <c r="Z52" s="32">
        <f t="shared" si="65"/>
        <v>3.506849315</v>
      </c>
      <c r="AA52" s="32">
        <f t="shared" si="65"/>
        <v>3.506849315</v>
      </c>
      <c r="AB52" s="32">
        <f t="shared" si="65"/>
        <v>3.506849315</v>
      </c>
    </row>
    <row r="53" ht="15.75" customHeight="1">
      <c r="A53" s="21">
        <f>'Soul Energy Tiers'!J10</f>
        <v>2560</v>
      </c>
      <c r="B53" s="5"/>
      <c r="C53" s="55" t="s">
        <v>27</v>
      </c>
      <c r="D53" s="32">
        <f t="shared" si="59"/>
        <v>7.01369863</v>
      </c>
      <c r="E53" s="5"/>
      <c r="F53" s="55" t="s">
        <v>27</v>
      </c>
      <c r="G53" s="32">
        <f t="shared" ref="G53:AB53" si="66">($A53/G$5)/365</f>
        <v>3.506849315</v>
      </c>
      <c r="H53" s="32">
        <f t="shared" si="66"/>
        <v>1.402739726</v>
      </c>
      <c r="I53" s="32">
        <f t="shared" si="66"/>
        <v>3.506849315</v>
      </c>
      <c r="J53" s="32">
        <f t="shared" si="66"/>
        <v>2.337899543</v>
      </c>
      <c r="K53" s="32">
        <f t="shared" si="66"/>
        <v>1.753424658</v>
      </c>
      <c r="L53" s="32">
        <f t="shared" si="66"/>
        <v>1.753424658</v>
      </c>
      <c r="M53" s="32">
        <f t="shared" si="66"/>
        <v>1.168949772</v>
      </c>
      <c r="N53" s="32">
        <f t="shared" si="66"/>
        <v>7.01369863</v>
      </c>
      <c r="O53" s="32">
        <f t="shared" si="66"/>
        <v>7.01369863</v>
      </c>
      <c r="P53" s="32">
        <f t="shared" si="66"/>
        <v>7.01369863</v>
      </c>
      <c r="Q53" s="32">
        <f t="shared" si="66"/>
        <v>7.01369863</v>
      </c>
      <c r="R53" s="32">
        <f t="shared" si="66"/>
        <v>7.01369863</v>
      </c>
      <c r="S53" s="32">
        <f t="shared" si="66"/>
        <v>7.01369863</v>
      </c>
      <c r="T53" s="32">
        <f t="shared" si="66"/>
        <v>7.01369863</v>
      </c>
      <c r="U53" s="32">
        <f t="shared" si="66"/>
        <v>7.01369863</v>
      </c>
      <c r="V53" s="32">
        <f t="shared" si="66"/>
        <v>7.01369863</v>
      </c>
      <c r="W53" s="32">
        <f t="shared" si="66"/>
        <v>7.01369863</v>
      </c>
      <c r="X53" s="32">
        <f t="shared" si="66"/>
        <v>7.01369863</v>
      </c>
      <c r="Y53" s="32">
        <f t="shared" si="66"/>
        <v>7.01369863</v>
      </c>
      <c r="Z53" s="32">
        <f t="shared" si="66"/>
        <v>7.01369863</v>
      </c>
      <c r="AA53" s="32">
        <f t="shared" si="66"/>
        <v>7.01369863</v>
      </c>
      <c r="AB53" s="32">
        <f t="shared" si="66"/>
        <v>7.01369863</v>
      </c>
    </row>
    <row r="54" ht="15.75" customHeight="1">
      <c r="A54" s="21">
        <f>'Soul Energy Tiers'!J11</f>
        <v>5120</v>
      </c>
      <c r="B54" s="5"/>
      <c r="C54" s="55" t="s">
        <v>29</v>
      </c>
      <c r="D54" s="32">
        <f t="shared" si="59"/>
        <v>14.02739726</v>
      </c>
      <c r="E54" s="5"/>
      <c r="F54" s="55" t="s">
        <v>29</v>
      </c>
      <c r="G54" s="32">
        <f t="shared" ref="G54:AB54" si="67">($A54/G$5)/365</f>
        <v>7.01369863</v>
      </c>
      <c r="H54" s="32">
        <f t="shared" si="67"/>
        <v>2.805479452</v>
      </c>
      <c r="I54" s="32">
        <f t="shared" si="67"/>
        <v>7.01369863</v>
      </c>
      <c r="J54" s="32">
        <f t="shared" si="67"/>
        <v>4.675799087</v>
      </c>
      <c r="K54" s="32">
        <f t="shared" si="67"/>
        <v>3.506849315</v>
      </c>
      <c r="L54" s="32">
        <f t="shared" si="67"/>
        <v>3.506849315</v>
      </c>
      <c r="M54" s="32">
        <f t="shared" si="67"/>
        <v>2.337899543</v>
      </c>
      <c r="N54" s="32">
        <f t="shared" si="67"/>
        <v>14.02739726</v>
      </c>
      <c r="O54" s="32">
        <f t="shared" si="67"/>
        <v>14.02739726</v>
      </c>
      <c r="P54" s="32">
        <f t="shared" si="67"/>
        <v>14.02739726</v>
      </c>
      <c r="Q54" s="32">
        <f t="shared" si="67"/>
        <v>14.02739726</v>
      </c>
      <c r="R54" s="32">
        <f t="shared" si="67"/>
        <v>14.02739726</v>
      </c>
      <c r="S54" s="32">
        <f t="shared" si="67"/>
        <v>14.02739726</v>
      </c>
      <c r="T54" s="32">
        <f t="shared" si="67"/>
        <v>14.02739726</v>
      </c>
      <c r="U54" s="32">
        <f t="shared" si="67"/>
        <v>14.02739726</v>
      </c>
      <c r="V54" s="32">
        <f t="shared" si="67"/>
        <v>14.02739726</v>
      </c>
      <c r="W54" s="32">
        <f t="shared" si="67"/>
        <v>14.02739726</v>
      </c>
      <c r="X54" s="32">
        <f t="shared" si="67"/>
        <v>14.02739726</v>
      </c>
      <c r="Y54" s="32">
        <f t="shared" si="67"/>
        <v>14.02739726</v>
      </c>
      <c r="Z54" s="32">
        <f t="shared" si="67"/>
        <v>14.02739726</v>
      </c>
      <c r="AA54" s="32">
        <f t="shared" si="67"/>
        <v>14.02739726</v>
      </c>
      <c r="AB54" s="32">
        <f t="shared" si="67"/>
        <v>14.02739726</v>
      </c>
    </row>
    <row r="55" ht="15.75" customHeight="1">
      <c r="A55" s="21">
        <f>'Soul Energy Tiers'!J12</f>
        <v>10240</v>
      </c>
      <c r="B55" s="5"/>
      <c r="C55" s="55" t="s">
        <v>31</v>
      </c>
      <c r="D55" s="32">
        <f t="shared" si="59"/>
        <v>28.05479452</v>
      </c>
      <c r="E55" s="5"/>
      <c r="F55" s="55" t="s">
        <v>31</v>
      </c>
      <c r="G55" s="32">
        <f t="shared" ref="G55:AB55" si="68">($A55/G$5)/365</f>
        <v>14.02739726</v>
      </c>
      <c r="H55" s="32">
        <f t="shared" si="68"/>
        <v>5.610958904</v>
      </c>
      <c r="I55" s="32">
        <f t="shared" si="68"/>
        <v>14.02739726</v>
      </c>
      <c r="J55" s="32">
        <f t="shared" si="68"/>
        <v>9.351598174</v>
      </c>
      <c r="K55" s="32">
        <f t="shared" si="68"/>
        <v>7.01369863</v>
      </c>
      <c r="L55" s="32">
        <f t="shared" si="68"/>
        <v>7.01369863</v>
      </c>
      <c r="M55" s="32">
        <f t="shared" si="68"/>
        <v>4.675799087</v>
      </c>
      <c r="N55" s="32">
        <f t="shared" si="68"/>
        <v>28.05479452</v>
      </c>
      <c r="O55" s="32">
        <f t="shared" si="68"/>
        <v>28.05479452</v>
      </c>
      <c r="P55" s="32">
        <f t="shared" si="68"/>
        <v>28.05479452</v>
      </c>
      <c r="Q55" s="32">
        <f t="shared" si="68"/>
        <v>28.05479452</v>
      </c>
      <c r="R55" s="32">
        <f t="shared" si="68"/>
        <v>28.05479452</v>
      </c>
      <c r="S55" s="32">
        <f t="shared" si="68"/>
        <v>28.05479452</v>
      </c>
      <c r="T55" s="32">
        <f t="shared" si="68"/>
        <v>28.05479452</v>
      </c>
      <c r="U55" s="32">
        <f t="shared" si="68"/>
        <v>28.05479452</v>
      </c>
      <c r="V55" s="32">
        <f t="shared" si="68"/>
        <v>28.05479452</v>
      </c>
      <c r="W55" s="32">
        <f t="shared" si="68"/>
        <v>28.05479452</v>
      </c>
      <c r="X55" s="32">
        <f t="shared" si="68"/>
        <v>28.05479452</v>
      </c>
      <c r="Y55" s="32">
        <f t="shared" si="68"/>
        <v>28.05479452</v>
      </c>
      <c r="Z55" s="32">
        <f t="shared" si="68"/>
        <v>28.05479452</v>
      </c>
      <c r="AA55" s="32">
        <f t="shared" si="68"/>
        <v>28.05479452</v>
      </c>
      <c r="AB55" s="32">
        <f t="shared" si="68"/>
        <v>28.05479452</v>
      </c>
    </row>
    <row r="56" ht="15.75" customHeight="1">
      <c r="A56" s="21">
        <f>'Soul Energy Tiers'!J13</f>
        <v>20480</v>
      </c>
      <c r="B56" s="5"/>
      <c r="C56" s="55" t="s">
        <v>33</v>
      </c>
      <c r="D56" s="32">
        <f t="shared" si="59"/>
        <v>56.10958904</v>
      </c>
      <c r="E56" s="5"/>
      <c r="F56" s="55" t="s">
        <v>33</v>
      </c>
      <c r="G56" s="32">
        <f t="shared" ref="G56:AB56" si="69">($A56/G$5)/365</f>
        <v>28.05479452</v>
      </c>
      <c r="H56" s="32">
        <f t="shared" si="69"/>
        <v>11.22191781</v>
      </c>
      <c r="I56" s="32">
        <f t="shared" si="69"/>
        <v>28.05479452</v>
      </c>
      <c r="J56" s="32">
        <f t="shared" si="69"/>
        <v>18.70319635</v>
      </c>
      <c r="K56" s="32">
        <f t="shared" si="69"/>
        <v>14.02739726</v>
      </c>
      <c r="L56" s="32">
        <f t="shared" si="69"/>
        <v>14.02739726</v>
      </c>
      <c r="M56" s="32">
        <f t="shared" si="69"/>
        <v>9.351598174</v>
      </c>
      <c r="N56" s="32">
        <f t="shared" si="69"/>
        <v>56.10958904</v>
      </c>
      <c r="O56" s="32">
        <f t="shared" si="69"/>
        <v>56.10958904</v>
      </c>
      <c r="P56" s="32">
        <f t="shared" si="69"/>
        <v>56.10958904</v>
      </c>
      <c r="Q56" s="32">
        <f t="shared" si="69"/>
        <v>56.10958904</v>
      </c>
      <c r="R56" s="32">
        <f t="shared" si="69"/>
        <v>56.10958904</v>
      </c>
      <c r="S56" s="32">
        <f t="shared" si="69"/>
        <v>56.10958904</v>
      </c>
      <c r="T56" s="32">
        <f t="shared" si="69"/>
        <v>56.10958904</v>
      </c>
      <c r="U56" s="32">
        <f t="shared" si="69"/>
        <v>56.10958904</v>
      </c>
      <c r="V56" s="32">
        <f t="shared" si="69"/>
        <v>56.10958904</v>
      </c>
      <c r="W56" s="32">
        <f t="shared" si="69"/>
        <v>56.10958904</v>
      </c>
      <c r="X56" s="32">
        <f t="shared" si="69"/>
        <v>56.10958904</v>
      </c>
      <c r="Y56" s="32">
        <f t="shared" si="69"/>
        <v>56.10958904</v>
      </c>
      <c r="Z56" s="32">
        <f t="shared" si="69"/>
        <v>56.10958904</v>
      </c>
      <c r="AA56" s="32">
        <f t="shared" si="69"/>
        <v>56.10958904</v>
      </c>
      <c r="AB56" s="32">
        <f t="shared" si="69"/>
        <v>56.10958904</v>
      </c>
    </row>
    <row r="57" ht="15.75" customHeight="1">
      <c r="A57" s="21">
        <f>'Soul Energy Tiers'!J14</f>
        <v>40960</v>
      </c>
      <c r="B57" s="5"/>
      <c r="C57" s="55" t="s">
        <v>35</v>
      </c>
      <c r="D57" s="32">
        <f t="shared" si="59"/>
        <v>112.2191781</v>
      </c>
      <c r="E57" s="5"/>
      <c r="F57" s="55" t="s">
        <v>35</v>
      </c>
      <c r="G57" s="32">
        <f t="shared" ref="G57:AB57" si="70">($A57/G$5)/365</f>
        <v>56.10958904</v>
      </c>
      <c r="H57" s="32">
        <f t="shared" si="70"/>
        <v>22.44383562</v>
      </c>
      <c r="I57" s="32">
        <f t="shared" si="70"/>
        <v>56.10958904</v>
      </c>
      <c r="J57" s="32">
        <f t="shared" si="70"/>
        <v>37.40639269</v>
      </c>
      <c r="K57" s="32">
        <f t="shared" si="70"/>
        <v>28.05479452</v>
      </c>
      <c r="L57" s="32">
        <f t="shared" si="70"/>
        <v>28.05479452</v>
      </c>
      <c r="M57" s="32">
        <f t="shared" si="70"/>
        <v>18.70319635</v>
      </c>
      <c r="N57" s="32">
        <f t="shared" si="70"/>
        <v>112.2191781</v>
      </c>
      <c r="O57" s="32">
        <f t="shared" si="70"/>
        <v>112.2191781</v>
      </c>
      <c r="P57" s="32">
        <f t="shared" si="70"/>
        <v>112.2191781</v>
      </c>
      <c r="Q57" s="32">
        <f t="shared" si="70"/>
        <v>112.2191781</v>
      </c>
      <c r="R57" s="32">
        <f t="shared" si="70"/>
        <v>112.2191781</v>
      </c>
      <c r="S57" s="32">
        <f t="shared" si="70"/>
        <v>112.2191781</v>
      </c>
      <c r="T57" s="32">
        <f t="shared" si="70"/>
        <v>112.2191781</v>
      </c>
      <c r="U57" s="32">
        <f t="shared" si="70"/>
        <v>112.2191781</v>
      </c>
      <c r="V57" s="32">
        <f t="shared" si="70"/>
        <v>112.2191781</v>
      </c>
      <c r="W57" s="32">
        <f t="shared" si="70"/>
        <v>112.2191781</v>
      </c>
      <c r="X57" s="32">
        <f t="shared" si="70"/>
        <v>112.2191781</v>
      </c>
      <c r="Y57" s="32">
        <f t="shared" si="70"/>
        <v>112.2191781</v>
      </c>
      <c r="Z57" s="32">
        <f t="shared" si="70"/>
        <v>112.2191781</v>
      </c>
      <c r="AA57" s="32">
        <f t="shared" si="70"/>
        <v>112.2191781</v>
      </c>
      <c r="AB57" s="32">
        <f t="shared" si="70"/>
        <v>112.2191781</v>
      </c>
    </row>
    <row r="58" ht="15.75" customHeight="1">
      <c r="A58" s="21">
        <f>'Soul Energy Tiers'!J15</f>
        <v>81920</v>
      </c>
      <c r="B58" s="5"/>
      <c r="C58" s="55" t="s">
        <v>37</v>
      </c>
      <c r="D58" s="32">
        <f t="shared" si="59"/>
        <v>224.4383562</v>
      </c>
      <c r="E58" s="5"/>
      <c r="F58" s="55" t="s">
        <v>37</v>
      </c>
      <c r="G58" s="32">
        <f t="shared" ref="G58:AB58" si="71">($A58/G$5)/365</f>
        <v>112.2191781</v>
      </c>
      <c r="H58" s="32">
        <f t="shared" si="71"/>
        <v>44.88767123</v>
      </c>
      <c r="I58" s="32">
        <f t="shared" si="71"/>
        <v>112.2191781</v>
      </c>
      <c r="J58" s="32">
        <f t="shared" si="71"/>
        <v>74.81278539</v>
      </c>
      <c r="K58" s="32">
        <f t="shared" si="71"/>
        <v>56.10958904</v>
      </c>
      <c r="L58" s="32">
        <f t="shared" si="71"/>
        <v>56.10958904</v>
      </c>
      <c r="M58" s="32">
        <f t="shared" si="71"/>
        <v>37.40639269</v>
      </c>
      <c r="N58" s="32">
        <f t="shared" si="71"/>
        <v>224.4383562</v>
      </c>
      <c r="O58" s="32">
        <f t="shared" si="71"/>
        <v>224.4383562</v>
      </c>
      <c r="P58" s="32">
        <f t="shared" si="71"/>
        <v>224.4383562</v>
      </c>
      <c r="Q58" s="32">
        <f t="shared" si="71"/>
        <v>224.4383562</v>
      </c>
      <c r="R58" s="32">
        <f t="shared" si="71"/>
        <v>224.4383562</v>
      </c>
      <c r="S58" s="32">
        <f t="shared" si="71"/>
        <v>224.4383562</v>
      </c>
      <c r="T58" s="32">
        <f t="shared" si="71"/>
        <v>224.4383562</v>
      </c>
      <c r="U58" s="32">
        <f t="shared" si="71"/>
        <v>224.4383562</v>
      </c>
      <c r="V58" s="32">
        <f t="shared" si="71"/>
        <v>224.4383562</v>
      </c>
      <c r="W58" s="32">
        <f t="shared" si="71"/>
        <v>224.4383562</v>
      </c>
      <c r="X58" s="32">
        <f t="shared" si="71"/>
        <v>224.4383562</v>
      </c>
      <c r="Y58" s="32">
        <f t="shared" si="71"/>
        <v>224.4383562</v>
      </c>
      <c r="Z58" s="32">
        <f t="shared" si="71"/>
        <v>224.4383562</v>
      </c>
      <c r="AA58" s="32">
        <f t="shared" si="71"/>
        <v>224.4383562</v>
      </c>
      <c r="AB58" s="32">
        <f t="shared" si="71"/>
        <v>224.4383562</v>
      </c>
    </row>
    <row r="59" ht="15.75" customHeight="1">
      <c r="A59" s="21">
        <f>'Soul Energy Tiers'!J16</f>
        <v>163840</v>
      </c>
      <c r="B59" s="5"/>
      <c r="C59" s="55" t="s">
        <v>39</v>
      </c>
      <c r="D59" s="32">
        <f t="shared" si="59"/>
        <v>448.8767123</v>
      </c>
      <c r="E59" s="5"/>
      <c r="F59" s="55" t="s">
        <v>39</v>
      </c>
      <c r="G59" s="32">
        <f t="shared" ref="G59:AB59" si="72">($A59/G$5)/365</f>
        <v>224.4383562</v>
      </c>
      <c r="H59" s="32">
        <f t="shared" si="72"/>
        <v>89.77534247</v>
      </c>
      <c r="I59" s="32">
        <f t="shared" si="72"/>
        <v>224.4383562</v>
      </c>
      <c r="J59" s="32">
        <f t="shared" si="72"/>
        <v>149.6255708</v>
      </c>
      <c r="K59" s="32">
        <f t="shared" si="72"/>
        <v>112.2191781</v>
      </c>
      <c r="L59" s="32">
        <f t="shared" si="72"/>
        <v>112.2191781</v>
      </c>
      <c r="M59" s="32">
        <f t="shared" si="72"/>
        <v>74.81278539</v>
      </c>
      <c r="N59" s="32">
        <f t="shared" si="72"/>
        <v>448.8767123</v>
      </c>
      <c r="O59" s="32">
        <f t="shared" si="72"/>
        <v>448.8767123</v>
      </c>
      <c r="P59" s="32">
        <f t="shared" si="72"/>
        <v>448.8767123</v>
      </c>
      <c r="Q59" s="32">
        <f t="shared" si="72"/>
        <v>448.8767123</v>
      </c>
      <c r="R59" s="32">
        <f t="shared" si="72"/>
        <v>448.8767123</v>
      </c>
      <c r="S59" s="32">
        <f t="shared" si="72"/>
        <v>448.8767123</v>
      </c>
      <c r="T59" s="32">
        <f t="shared" si="72"/>
        <v>448.8767123</v>
      </c>
      <c r="U59" s="32">
        <f t="shared" si="72"/>
        <v>448.8767123</v>
      </c>
      <c r="V59" s="32">
        <f t="shared" si="72"/>
        <v>448.8767123</v>
      </c>
      <c r="W59" s="32">
        <f t="shared" si="72"/>
        <v>448.8767123</v>
      </c>
      <c r="X59" s="32">
        <f t="shared" si="72"/>
        <v>448.8767123</v>
      </c>
      <c r="Y59" s="32">
        <f t="shared" si="72"/>
        <v>448.8767123</v>
      </c>
      <c r="Z59" s="32">
        <f t="shared" si="72"/>
        <v>448.8767123</v>
      </c>
      <c r="AA59" s="32">
        <f t="shared" si="72"/>
        <v>448.8767123</v>
      </c>
      <c r="AB59" s="32">
        <f t="shared" si="72"/>
        <v>448.8767123</v>
      </c>
    </row>
    <row r="60" ht="15.75" customHeight="1">
      <c r="A60" s="21">
        <f>'Soul Energy Tiers'!J17</f>
        <v>327680</v>
      </c>
      <c r="B60" s="5"/>
      <c r="C60" s="55" t="s">
        <v>41</v>
      </c>
      <c r="D60" s="32">
        <f t="shared" si="59"/>
        <v>897.7534247</v>
      </c>
      <c r="E60" s="5"/>
      <c r="F60" s="55" t="s">
        <v>41</v>
      </c>
      <c r="G60" s="32">
        <f t="shared" ref="G60:AB60" si="73">($A60/G$5)/365</f>
        <v>448.8767123</v>
      </c>
      <c r="H60" s="32">
        <f t="shared" si="73"/>
        <v>179.5506849</v>
      </c>
      <c r="I60" s="32">
        <f t="shared" si="73"/>
        <v>448.8767123</v>
      </c>
      <c r="J60" s="32">
        <f t="shared" si="73"/>
        <v>299.2511416</v>
      </c>
      <c r="K60" s="32">
        <f t="shared" si="73"/>
        <v>224.4383562</v>
      </c>
      <c r="L60" s="32">
        <f t="shared" si="73"/>
        <v>224.4383562</v>
      </c>
      <c r="M60" s="32">
        <f t="shared" si="73"/>
        <v>149.6255708</v>
      </c>
      <c r="N60" s="32">
        <f t="shared" si="73"/>
        <v>897.7534247</v>
      </c>
      <c r="O60" s="32">
        <f t="shared" si="73"/>
        <v>897.7534247</v>
      </c>
      <c r="P60" s="32">
        <f t="shared" si="73"/>
        <v>897.7534247</v>
      </c>
      <c r="Q60" s="32">
        <f t="shared" si="73"/>
        <v>897.7534247</v>
      </c>
      <c r="R60" s="32">
        <f t="shared" si="73"/>
        <v>897.7534247</v>
      </c>
      <c r="S60" s="32">
        <f t="shared" si="73"/>
        <v>897.7534247</v>
      </c>
      <c r="T60" s="32">
        <f t="shared" si="73"/>
        <v>897.7534247</v>
      </c>
      <c r="U60" s="32">
        <f t="shared" si="73"/>
        <v>897.7534247</v>
      </c>
      <c r="V60" s="32">
        <f t="shared" si="73"/>
        <v>897.7534247</v>
      </c>
      <c r="W60" s="32">
        <f t="shared" si="73"/>
        <v>897.7534247</v>
      </c>
      <c r="X60" s="32">
        <f t="shared" si="73"/>
        <v>897.7534247</v>
      </c>
      <c r="Y60" s="32">
        <f t="shared" si="73"/>
        <v>897.7534247</v>
      </c>
      <c r="Z60" s="32">
        <f t="shared" si="73"/>
        <v>897.7534247</v>
      </c>
      <c r="AA60" s="32">
        <f t="shared" si="73"/>
        <v>897.7534247</v>
      </c>
      <c r="AB60" s="32">
        <f t="shared" si="73"/>
        <v>897.7534247</v>
      </c>
    </row>
    <row r="61" ht="15.75" customHeight="1">
      <c r="A61" s="21">
        <f>'Soul Energy Tiers'!J18</f>
        <v>655360</v>
      </c>
      <c r="B61" s="5"/>
      <c r="C61" s="55" t="s">
        <v>43</v>
      </c>
      <c r="D61" s="32">
        <f t="shared" si="59"/>
        <v>1795.506849</v>
      </c>
      <c r="E61" s="5"/>
      <c r="F61" s="55" t="s">
        <v>43</v>
      </c>
      <c r="G61" s="32">
        <f t="shared" ref="G61:AB61" si="74">($A61/G$5)/365</f>
        <v>897.7534247</v>
      </c>
      <c r="H61" s="32">
        <f t="shared" si="74"/>
        <v>359.1013699</v>
      </c>
      <c r="I61" s="32">
        <f t="shared" si="74"/>
        <v>897.7534247</v>
      </c>
      <c r="J61" s="32">
        <f t="shared" si="74"/>
        <v>598.5022831</v>
      </c>
      <c r="K61" s="32">
        <f t="shared" si="74"/>
        <v>448.8767123</v>
      </c>
      <c r="L61" s="32">
        <f t="shared" si="74"/>
        <v>448.8767123</v>
      </c>
      <c r="M61" s="32">
        <f t="shared" si="74"/>
        <v>299.2511416</v>
      </c>
      <c r="N61" s="32">
        <f t="shared" si="74"/>
        <v>1795.506849</v>
      </c>
      <c r="O61" s="32">
        <f t="shared" si="74"/>
        <v>1795.506849</v>
      </c>
      <c r="P61" s="32">
        <f t="shared" si="74"/>
        <v>1795.506849</v>
      </c>
      <c r="Q61" s="32">
        <f t="shared" si="74"/>
        <v>1795.506849</v>
      </c>
      <c r="R61" s="32">
        <f t="shared" si="74"/>
        <v>1795.506849</v>
      </c>
      <c r="S61" s="32">
        <f t="shared" si="74"/>
        <v>1795.506849</v>
      </c>
      <c r="T61" s="32">
        <f t="shared" si="74"/>
        <v>1795.506849</v>
      </c>
      <c r="U61" s="32">
        <f t="shared" si="74"/>
        <v>1795.506849</v>
      </c>
      <c r="V61" s="32">
        <f t="shared" si="74"/>
        <v>1795.506849</v>
      </c>
      <c r="W61" s="32">
        <f t="shared" si="74"/>
        <v>1795.506849</v>
      </c>
      <c r="X61" s="32">
        <f t="shared" si="74"/>
        <v>1795.506849</v>
      </c>
      <c r="Y61" s="32">
        <f t="shared" si="74"/>
        <v>1795.506849</v>
      </c>
      <c r="Z61" s="32">
        <f t="shared" si="74"/>
        <v>1795.506849</v>
      </c>
      <c r="AA61" s="32">
        <f t="shared" si="74"/>
        <v>1795.506849</v>
      </c>
      <c r="AB61" s="32">
        <f t="shared" si="74"/>
        <v>1795.506849</v>
      </c>
    </row>
    <row r="62" ht="15.75" customHeight="1">
      <c r="A62" s="21">
        <f>'Soul Energy Tiers'!J19</f>
        <v>1310720</v>
      </c>
      <c r="B62" s="5"/>
      <c r="C62" s="55" t="s">
        <v>45</v>
      </c>
      <c r="D62" s="32">
        <f t="shared" si="59"/>
        <v>3591.013699</v>
      </c>
      <c r="E62" s="5"/>
      <c r="F62" s="55" t="s">
        <v>45</v>
      </c>
      <c r="G62" s="32">
        <f t="shared" ref="G62:AB62" si="75">($A62/G$5)/365</f>
        <v>1795.506849</v>
      </c>
      <c r="H62" s="32">
        <f t="shared" si="75"/>
        <v>718.2027397</v>
      </c>
      <c r="I62" s="32">
        <f t="shared" si="75"/>
        <v>1795.506849</v>
      </c>
      <c r="J62" s="32">
        <f t="shared" si="75"/>
        <v>1197.004566</v>
      </c>
      <c r="K62" s="32">
        <f t="shared" si="75"/>
        <v>897.7534247</v>
      </c>
      <c r="L62" s="32">
        <f t="shared" si="75"/>
        <v>897.7534247</v>
      </c>
      <c r="M62" s="32">
        <f t="shared" si="75"/>
        <v>598.5022831</v>
      </c>
      <c r="N62" s="32">
        <f t="shared" si="75"/>
        <v>3591.013699</v>
      </c>
      <c r="O62" s="32">
        <f t="shared" si="75"/>
        <v>3591.013699</v>
      </c>
      <c r="P62" s="32">
        <f t="shared" si="75"/>
        <v>3591.013699</v>
      </c>
      <c r="Q62" s="32">
        <f t="shared" si="75"/>
        <v>3591.013699</v>
      </c>
      <c r="R62" s="32">
        <f t="shared" si="75"/>
        <v>3591.013699</v>
      </c>
      <c r="S62" s="32">
        <f t="shared" si="75"/>
        <v>3591.013699</v>
      </c>
      <c r="T62" s="32">
        <f t="shared" si="75"/>
        <v>3591.013699</v>
      </c>
      <c r="U62" s="32">
        <f t="shared" si="75"/>
        <v>3591.013699</v>
      </c>
      <c r="V62" s="32">
        <f t="shared" si="75"/>
        <v>3591.013699</v>
      </c>
      <c r="W62" s="32">
        <f t="shared" si="75"/>
        <v>3591.013699</v>
      </c>
      <c r="X62" s="32">
        <f t="shared" si="75"/>
        <v>3591.013699</v>
      </c>
      <c r="Y62" s="32">
        <f t="shared" si="75"/>
        <v>3591.013699</v>
      </c>
      <c r="Z62" s="32">
        <f t="shared" si="75"/>
        <v>3591.013699</v>
      </c>
      <c r="AA62" s="32">
        <f t="shared" si="75"/>
        <v>3591.013699</v>
      </c>
      <c r="AB62" s="32">
        <f t="shared" si="75"/>
        <v>3591.013699</v>
      </c>
    </row>
    <row r="63" ht="15.75" customHeight="1">
      <c r="B63" s="5"/>
      <c r="E63" s="5"/>
    </row>
    <row r="64" ht="15.75" customHeight="1">
      <c r="B64" s="5"/>
      <c r="E64" s="5"/>
    </row>
    <row r="65" ht="15.75" customHeight="1">
      <c r="B65" s="5"/>
      <c r="E65" s="5"/>
    </row>
    <row r="66" ht="15.75" customHeight="1">
      <c r="B66" s="5"/>
      <c r="E66" s="5"/>
    </row>
    <row r="67" ht="15.75" customHeight="1">
      <c r="B67" s="5"/>
      <c r="E67" s="5"/>
    </row>
    <row r="68" ht="15.75" customHeight="1">
      <c r="B68" s="5"/>
      <c r="E68" s="5"/>
    </row>
    <row r="69" ht="15.75" customHeight="1">
      <c r="B69" s="5"/>
      <c r="E69" s="5"/>
    </row>
    <row r="70" ht="15.75" customHeight="1">
      <c r="B70" s="5"/>
      <c r="E70" s="5"/>
    </row>
    <row r="71" ht="15.75" customHeight="1">
      <c r="B71" s="5"/>
      <c r="E71" s="5"/>
    </row>
    <row r="72" ht="15.75" customHeight="1">
      <c r="B72" s="5"/>
      <c r="E72" s="5"/>
    </row>
    <row r="73" ht="15.75" customHeight="1">
      <c r="B73" s="5"/>
      <c r="E73" s="5"/>
    </row>
    <row r="74" ht="15.75" customHeight="1">
      <c r="B74" s="5"/>
      <c r="E74" s="5"/>
    </row>
    <row r="75" ht="15.75" customHeight="1">
      <c r="B75" s="5"/>
      <c r="E75" s="5"/>
    </row>
    <row r="76" ht="15.75" customHeight="1">
      <c r="B76" s="5"/>
      <c r="E76" s="5"/>
    </row>
    <row r="77" ht="15.75" customHeight="1">
      <c r="B77" s="5"/>
      <c r="E77" s="5"/>
    </row>
    <row r="78" ht="15.75" customHeight="1">
      <c r="B78" s="5"/>
      <c r="E78" s="5"/>
    </row>
    <row r="79" ht="15.75" customHeight="1">
      <c r="B79" s="5"/>
      <c r="E79" s="5"/>
    </row>
    <row r="80" ht="15.75" customHeight="1">
      <c r="B80" s="5"/>
      <c r="E80" s="5"/>
    </row>
    <row r="81" ht="15.75" customHeight="1">
      <c r="B81" s="5"/>
      <c r="E81" s="5"/>
    </row>
    <row r="82" ht="15.75" customHeight="1">
      <c r="B82" s="5"/>
      <c r="E82" s="5"/>
    </row>
    <row r="83" ht="15.75" customHeight="1">
      <c r="B83" s="5"/>
      <c r="E83" s="5"/>
    </row>
    <row r="84" ht="15.75" customHeight="1">
      <c r="B84" s="5"/>
      <c r="E84" s="5"/>
    </row>
    <row r="85" ht="15.75" customHeight="1">
      <c r="B85" s="5"/>
      <c r="E85" s="5"/>
    </row>
    <row r="86" ht="15.75" customHeight="1">
      <c r="B86" s="5"/>
      <c r="E86" s="5"/>
    </row>
    <row r="87" ht="15.75" customHeight="1">
      <c r="B87" s="5"/>
      <c r="E87" s="5"/>
    </row>
    <row r="88" ht="15.75" customHeight="1">
      <c r="B88" s="5"/>
      <c r="E88" s="5"/>
    </row>
    <row r="89" ht="15.75" customHeight="1">
      <c r="B89" s="5"/>
      <c r="E89" s="5"/>
    </row>
    <row r="90" ht="15.75" customHeight="1">
      <c r="B90" s="5"/>
      <c r="E90" s="5"/>
    </row>
    <row r="91" ht="15.75" customHeight="1">
      <c r="B91" s="5"/>
      <c r="E91" s="5"/>
    </row>
    <row r="92" ht="15.75" customHeight="1">
      <c r="B92" s="5"/>
      <c r="E92" s="5"/>
    </row>
    <row r="93" ht="15.75" customHeight="1">
      <c r="B93" s="5"/>
      <c r="E93" s="5"/>
    </row>
    <row r="94" ht="15.75" customHeight="1">
      <c r="B94" s="5"/>
      <c r="E94" s="5"/>
    </row>
    <row r="95" ht="15.75" customHeight="1">
      <c r="B95" s="5"/>
      <c r="E95" s="5"/>
    </row>
    <row r="96" ht="15.75" customHeight="1">
      <c r="B96" s="5"/>
      <c r="E96" s="5"/>
    </row>
    <row r="97" ht="15.75" customHeight="1">
      <c r="B97" s="5"/>
      <c r="E97" s="5"/>
    </row>
    <row r="98" ht="15.75" customHeight="1">
      <c r="B98" s="5"/>
      <c r="E98" s="5"/>
    </row>
    <row r="99" ht="15.75" customHeight="1">
      <c r="B99" s="5"/>
      <c r="E99" s="5"/>
    </row>
    <row r="100" ht="15.75" customHeight="1">
      <c r="B100" s="5"/>
      <c r="E100" s="5"/>
    </row>
    <row r="101" ht="15.75" customHeight="1">
      <c r="B101" s="5"/>
      <c r="E101" s="5"/>
    </row>
    <row r="102" ht="15.75" customHeight="1">
      <c r="B102" s="5"/>
      <c r="E102" s="5"/>
    </row>
    <row r="103" ht="15.75" customHeight="1">
      <c r="B103" s="5"/>
      <c r="E103" s="5"/>
    </row>
    <row r="104" ht="15.75" customHeight="1">
      <c r="B104" s="5"/>
      <c r="E104" s="5"/>
    </row>
    <row r="105" ht="15.75" customHeight="1">
      <c r="B105" s="5"/>
      <c r="E105" s="5"/>
    </row>
    <row r="106" ht="15.75" customHeight="1">
      <c r="B106" s="5"/>
      <c r="E106" s="5"/>
    </row>
    <row r="107" ht="15.75" customHeight="1">
      <c r="B107" s="5"/>
      <c r="E107" s="5"/>
    </row>
    <row r="108" ht="15.75" customHeight="1">
      <c r="B108" s="5"/>
      <c r="E108" s="5"/>
    </row>
    <row r="109" ht="15.75" customHeight="1">
      <c r="B109" s="5"/>
      <c r="E109" s="5"/>
    </row>
    <row r="110" ht="15.75" customHeight="1">
      <c r="B110" s="5"/>
      <c r="E110" s="5"/>
    </row>
    <row r="111" ht="15.75" customHeight="1">
      <c r="B111" s="5"/>
      <c r="E111" s="5"/>
    </row>
    <row r="112" ht="15.75" customHeight="1">
      <c r="B112" s="5"/>
      <c r="E112" s="5"/>
    </row>
    <row r="113" ht="15.75" customHeight="1">
      <c r="B113" s="5"/>
      <c r="E113" s="5"/>
    </row>
    <row r="114" ht="15.75" customHeight="1">
      <c r="B114" s="5"/>
      <c r="E114" s="5"/>
    </row>
    <row r="115" ht="15.75" customHeight="1">
      <c r="B115" s="5"/>
      <c r="E115" s="5"/>
    </row>
    <row r="116" ht="15.75" customHeight="1">
      <c r="B116" s="5"/>
      <c r="E116" s="5"/>
    </row>
    <row r="117" ht="15.75" customHeight="1">
      <c r="B117" s="5"/>
      <c r="E117" s="5"/>
    </row>
    <row r="118" ht="15.75" customHeight="1">
      <c r="B118" s="5"/>
      <c r="E118" s="5"/>
    </row>
    <row r="119" ht="15.75" customHeight="1">
      <c r="B119" s="5"/>
      <c r="E119" s="5"/>
    </row>
    <row r="120" ht="15.75" customHeight="1">
      <c r="B120" s="5"/>
      <c r="E120" s="5"/>
    </row>
    <row r="121" ht="15.75" customHeight="1">
      <c r="B121" s="5"/>
      <c r="E121" s="5"/>
    </row>
    <row r="122" ht="15.75" customHeight="1">
      <c r="B122" s="5"/>
      <c r="E122" s="5"/>
    </row>
    <row r="123" ht="15.75" customHeight="1">
      <c r="B123" s="5"/>
      <c r="E123" s="5"/>
    </row>
    <row r="124" ht="15.75" customHeight="1">
      <c r="B124" s="5"/>
      <c r="E124" s="5"/>
    </row>
    <row r="125" ht="15.75" customHeight="1">
      <c r="B125" s="5"/>
      <c r="E125" s="5"/>
    </row>
    <row r="126" ht="15.75" customHeight="1">
      <c r="B126" s="5"/>
      <c r="E126" s="5"/>
    </row>
    <row r="127" ht="15.75" customHeight="1">
      <c r="B127" s="5"/>
      <c r="E127" s="5"/>
    </row>
    <row r="128" ht="15.75" customHeight="1">
      <c r="B128" s="5"/>
      <c r="E128" s="5"/>
    </row>
    <row r="129" ht="15.75" customHeight="1">
      <c r="B129" s="5"/>
      <c r="E129" s="5"/>
    </row>
    <row r="130" ht="15.75" customHeight="1">
      <c r="B130" s="5"/>
      <c r="E130" s="5"/>
    </row>
    <row r="131" ht="15.75" customHeight="1">
      <c r="B131" s="5"/>
      <c r="E131" s="5"/>
    </row>
    <row r="132" ht="15.75" customHeight="1">
      <c r="B132" s="5"/>
      <c r="E132" s="5"/>
    </row>
    <row r="133" ht="15.75" customHeight="1">
      <c r="B133" s="5"/>
      <c r="E133" s="5"/>
    </row>
    <row r="134" ht="15.75" customHeight="1">
      <c r="B134" s="5"/>
      <c r="E134" s="5"/>
    </row>
    <row r="135" ht="15.75" customHeight="1">
      <c r="B135" s="5"/>
      <c r="E135" s="5"/>
    </row>
    <row r="136" ht="15.75" customHeight="1">
      <c r="B136" s="5"/>
      <c r="E136" s="5"/>
    </row>
    <row r="137" ht="15.75" customHeight="1">
      <c r="B137" s="5"/>
      <c r="E137" s="5"/>
    </row>
    <row r="138" ht="15.75" customHeight="1">
      <c r="B138" s="5"/>
      <c r="E138" s="5"/>
    </row>
    <row r="139" ht="15.75" customHeight="1">
      <c r="B139" s="5"/>
      <c r="E139" s="5"/>
    </row>
    <row r="140" ht="15.75" customHeight="1">
      <c r="B140" s="5"/>
      <c r="E140" s="5"/>
    </row>
    <row r="141" ht="15.75" customHeight="1">
      <c r="B141" s="5"/>
      <c r="E141" s="5"/>
    </row>
    <row r="142" ht="15.75" customHeight="1">
      <c r="B142" s="5"/>
      <c r="E142" s="5"/>
    </row>
    <row r="143" ht="15.75" customHeight="1">
      <c r="B143" s="5"/>
      <c r="E143" s="5"/>
    </row>
    <row r="144" ht="15.75" customHeight="1">
      <c r="B144" s="5"/>
      <c r="E144" s="5"/>
    </row>
    <row r="145" ht="15.75" customHeight="1">
      <c r="B145" s="5"/>
      <c r="E145" s="5"/>
    </row>
    <row r="146" ht="15.75" customHeight="1">
      <c r="B146" s="5"/>
      <c r="E146" s="5"/>
    </row>
    <row r="147" ht="15.75" customHeight="1">
      <c r="B147" s="5"/>
      <c r="E147" s="5"/>
    </row>
    <row r="148" ht="15.75" customHeight="1">
      <c r="B148" s="5"/>
      <c r="E148" s="5"/>
    </row>
    <row r="149" ht="15.75" customHeight="1">
      <c r="B149" s="5"/>
      <c r="E149" s="5"/>
    </row>
    <row r="150" ht="15.75" customHeight="1">
      <c r="B150" s="5"/>
      <c r="E150" s="5"/>
    </row>
    <row r="151" ht="15.75" customHeight="1">
      <c r="B151" s="5"/>
      <c r="E151" s="5"/>
    </row>
    <row r="152" ht="15.75" customHeight="1">
      <c r="B152" s="5"/>
      <c r="E152" s="5"/>
    </row>
    <row r="153" ht="15.75" customHeight="1">
      <c r="B153" s="5"/>
      <c r="E153" s="5"/>
    </row>
    <row r="154" ht="15.75" customHeight="1">
      <c r="B154" s="5"/>
      <c r="E154" s="5"/>
    </row>
    <row r="155" ht="15.75" customHeight="1">
      <c r="B155" s="5"/>
      <c r="E155" s="5"/>
    </row>
    <row r="156" ht="15.75" customHeight="1">
      <c r="B156" s="5"/>
      <c r="E156" s="5"/>
    </row>
    <row r="157" ht="15.75" customHeight="1">
      <c r="B157" s="5"/>
      <c r="E157" s="5"/>
    </row>
    <row r="158" ht="15.75" customHeight="1">
      <c r="B158" s="5"/>
      <c r="E158" s="5"/>
    </row>
    <row r="159" ht="15.75" customHeight="1">
      <c r="B159" s="5"/>
      <c r="E159" s="5"/>
    </row>
    <row r="160" ht="15.75" customHeight="1">
      <c r="B160" s="5"/>
      <c r="E160" s="5"/>
    </row>
    <row r="161" ht="15.75" customHeight="1">
      <c r="B161" s="5"/>
      <c r="E161" s="5"/>
    </row>
    <row r="162" ht="15.75" customHeight="1">
      <c r="B162" s="5"/>
      <c r="E162" s="5"/>
    </row>
    <row r="163" ht="15.75" customHeight="1">
      <c r="B163" s="5"/>
      <c r="E163" s="5"/>
    </row>
    <row r="164" ht="15.75" customHeight="1">
      <c r="B164" s="5"/>
      <c r="E164" s="5"/>
    </row>
    <row r="165" ht="15.75" customHeight="1">
      <c r="B165" s="5"/>
      <c r="E165" s="5"/>
    </row>
    <row r="166" ht="15.75" customHeight="1">
      <c r="B166" s="5"/>
      <c r="E166" s="5"/>
    </row>
    <row r="167" ht="15.75" customHeight="1">
      <c r="B167" s="5"/>
      <c r="E167" s="5"/>
    </row>
    <row r="168" ht="15.75" customHeight="1">
      <c r="B168" s="5"/>
      <c r="E168" s="5"/>
    </row>
    <row r="169" ht="15.75" customHeight="1">
      <c r="B169" s="5"/>
      <c r="E169" s="5"/>
    </row>
    <row r="170" ht="15.75" customHeight="1">
      <c r="B170" s="5"/>
      <c r="E170" s="5"/>
    </row>
    <row r="171" ht="15.75" customHeight="1">
      <c r="B171" s="5"/>
      <c r="E171" s="5"/>
    </row>
    <row r="172" ht="15.75" customHeight="1">
      <c r="B172" s="5"/>
      <c r="E172" s="5"/>
    </row>
    <row r="173" ht="15.75" customHeight="1">
      <c r="B173" s="5"/>
      <c r="E173" s="5"/>
    </row>
    <row r="174" ht="15.75" customHeight="1">
      <c r="B174" s="5"/>
      <c r="E174" s="5"/>
    </row>
    <row r="175" ht="15.75" customHeight="1">
      <c r="B175" s="5"/>
      <c r="E175" s="5"/>
    </row>
    <row r="176" ht="15.75" customHeight="1">
      <c r="B176" s="5"/>
      <c r="E176" s="5"/>
    </row>
    <row r="177" ht="15.75" customHeight="1">
      <c r="B177" s="5"/>
      <c r="E177" s="5"/>
    </row>
    <row r="178" ht="15.75" customHeight="1">
      <c r="B178" s="5"/>
      <c r="E178" s="5"/>
    </row>
    <row r="179" ht="15.75" customHeight="1">
      <c r="B179" s="5"/>
      <c r="E179" s="5"/>
    </row>
    <row r="180" ht="15.75" customHeight="1">
      <c r="B180" s="5"/>
      <c r="E180" s="5"/>
    </row>
    <row r="181" ht="15.75" customHeight="1">
      <c r="B181" s="5"/>
      <c r="E181" s="5"/>
    </row>
    <row r="182" ht="15.75" customHeight="1">
      <c r="B182" s="5"/>
      <c r="E182" s="5"/>
    </row>
    <row r="183" ht="15.75" customHeight="1">
      <c r="B183" s="5"/>
      <c r="E183" s="5"/>
    </row>
    <row r="184" ht="15.75" customHeight="1">
      <c r="B184" s="5"/>
      <c r="E184" s="5"/>
    </row>
    <row r="185" ht="15.75" customHeight="1">
      <c r="B185" s="5"/>
      <c r="E185" s="5"/>
    </row>
    <row r="186" ht="15.75" customHeight="1">
      <c r="B186" s="5"/>
      <c r="E186" s="5"/>
    </row>
    <row r="187" ht="15.75" customHeight="1">
      <c r="B187" s="5"/>
      <c r="E187" s="5"/>
    </row>
    <row r="188" ht="15.75" customHeight="1">
      <c r="B188" s="5"/>
      <c r="E188" s="5"/>
    </row>
    <row r="189" ht="15.75" customHeight="1">
      <c r="B189" s="5"/>
      <c r="E189" s="5"/>
    </row>
    <row r="190" ht="15.75" customHeight="1">
      <c r="B190" s="5"/>
      <c r="E190" s="5"/>
    </row>
    <row r="191" ht="15.75" customHeight="1">
      <c r="B191" s="5"/>
      <c r="E191" s="5"/>
    </row>
    <row r="192" ht="15.75" customHeight="1">
      <c r="B192" s="5"/>
      <c r="E192" s="5"/>
    </row>
    <row r="193" ht="15.75" customHeight="1">
      <c r="B193" s="5"/>
      <c r="E193" s="5"/>
    </row>
    <row r="194" ht="15.75" customHeight="1">
      <c r="B194" s="5"/>
      <c r="E194" s="5"/>
    </row>
    <row r="195" ht="15.75" customHeight="1">
      <c r="B195" s="5"/>
      <c r="E195" s="5"/>
    </row>
    <row r="196" ht="15.75" customHeight="1">
      <c r="B196" s="5"/>
      <c r="E196" s="5"/>
    </row>
    <row r="197" ht="15.75" customHeight="1">
      <c r="B197" s="5"/>
      <c r="E197" s="5"/>
    </row>
    <row r="198" ht="15.75" customHeight="1">
      <c r="B198" s="5"/>
      <c r="E198" s="5"/>
    </row>
    <row r="199" ht="15.75" customHeight="1">
      <c r="B199" s="5"/>
      <c r="E199" s="5"/>
    </row>
    <row r="200" ht="15.75" customHeight="1">
      <c r="B200" s="5"/>
      <c r="E200" s="5"/>
    </row>
    <row r="201" ht="15.75" customHeight="1">
      <c r="B201" s="5"/>
      <c r="E201" s="5"/>
    </row>
    <row r="202" ht="15.75" customHeight="1">
      <c r="B202" s="5"/>
      <c r="E202" s="5"/>
    </row>
    <row r="203" ht="15.75" customHeight="1">
      <c r="B203" s="5"/>
      <c r="E203" s="5"/>
    </row>
    <row r="204" ht="15.75" customHeight="1">
      <c r="B204" s="5"/>
      <c r="E204" s="5"/>
    </row>
    <row r="205" ht="15.75" customHeight="1">
      <c r="B205" s="5"/>
      <c r="E205" s="5"/>
    </row>
    <row r="206" ht="15.75" customHeight="1">
      <c r="B206" s="5"/>
      <c r="E206" s="5"/>
    </row>
    <row r="207" ht="15.75" customHeight="1">
      <c r="B207" s="5"/>
      <c r="E207" s="5"/>
    </row>
    <row r="208" ht="15.75" customHeight="1">
      <c r="B208" s="5"/>
      <c r="E208" s="5"/>
    </row>
    <row r="209" ht="15.75" customHeight="1">
      <c r="B209" s="5"/>
      <c r="E209" s="5"/>
    </row>
    <row r="210" ht="15.75" customHeight="1">
      <c r="B210" s="5"/>
      <c r="E210" s="5"/>
    </row>
    <row r="211" ht="15.75" customHeight="1">
      <c r="B211" s="5"/>
      <c r="E211" s="5"/>
    </row>
    <row r="212" ht="15.75" customHeight="1">
      <c r="B212" s="5"/>
      <c r="E212" s="5"/>
    </row>
    <row r="213" ht="15.75" customHeight="1">
      <c r="B213" s="5"/>
      <c r="E213" s="5"/>
    </row>
    <row r="214" ht="15.75" customHeight="1">
      <c r="B214" s="5"/>
      <c r="E214" s="5"/>
    </row>
    <row r="215" ht="15.75" customHeight="1">
      <c r="B215" s="5"/>
      <c r="E215" s="5"/>
    </row>
    <row r="216" ht="15.75" customHeight="1">
      <c r="B216" s="5"/>
      <c r="E216" s="5"/>
    </row>
    <row r="217" ht="15.75" customHeight="1">
      <c r="B217" s="5"/>
      <c r="E217" s="5"/>
    </row>
    <row r="218" ht="15.75" customHeight="1">
      <c r="B218" s="5"/>
      <c r="E218" s="5"/>
    </row>
    <row r="219" ht="15.75" customHeight="1">
      <c r="B219" s="5"/>
      <c r="E219" s="5"/>
    </row>
    <row r="220" ht="15.75" customHeight="1">
      <c r="B220" s="5"/>
      <c r="E220" s="5"/>
    </row>
    <row r="221" ht="15.75" customHeight="1">
      <c r="B221" s="5"/>
      <c r="E221" s="5"/>
    </row>
    <row r="222" ht="15.75" customHeight="1">
      <c r="B222" s="5"/>
      <c r="E222" s="5"/>
    </row>
    <row r="223" ht="15.75" customHeight="1">
      <c r="B223" s="5"/>
      <c r="E223" s="5"/>
    </row>
    <row r="224" ht="15.75" customHeight="1">
      <c r="B224" s="5"/>
      <c r="E224" s="5"/>
    </row>
    <row r="225" ht="15.75" customHeight="1">
      <c r="B225" s="5"/>
      <c r="E225" s="5"/>
    </row>
    <row r="226" ht="15.75" customHeight="1">
      <c r="B226" s="5"/>
      <c r="E226" s="5"/>
    </row>
    <row r="227" ht="15.75" customHeight="1">
      <c r="B227" s="5"/>
      <c r="E227" s="5"/>
    </row>
    <row r="228" ht="15.75" customHeight="1">
      <c r="B228" s="5"/>
      <c r="E228" s="5"/>
    </row>
    <row r="229" ht="15.75" customHeight="1">
      <c r="B229" s="5"/>
      <c r="E229" s="5"/>
    </row>
    <row r="230" ht="15.75" customHeight="1">
      <c r="B230" s="5"/>
      <c r="E230" s="5"/>
    </row>
    <row r="231" ht="15.75" customHeight="1">
      <c r="B231" s="5"/>
      <c r="E231" s="5"/>
    </row>
    <row r="232" ht="15.75" customHeight="1">
      <c r="B232" s="5"/>
      <c r="E232" s="5"/>
    </row>
    <row r="233" ht="15.75" customHeight="1">
      <c r="B233" s="5"/>
      <c r="E233" s="5"/>
    </row>
    <row r="234" ht="15.75" customHeight="1">
      <c r="B234" s="5"/>
      <c r="E234" s="5"/>
    </row>
    <row r="235" ht="15.75" customHeight="1">
      <c r="B235" s="5"/>
      <c r="E235" s="5"/>
    </row>
    <row r="236" ht="15.75" customHeight="1">
      <c r="B236" s="5"/>
      <c r="E236" s="5"/>
    </row>
    <row r="237" ht="15.75" customHeight="1">
      <c r="B237" s="5"/>
      <c r="E237" s="5"/>
    </row>
    <row r="238" ht="15.75" customHeight="1">
      <c r="B238" s="5"/>
      <c r="E238" s="5"/>
    </row>
    <row r="239" ht="15.75" customHeight="1">
      <c r="B239" s="5"/>
      <c r="E239" s="5"/>
    </row>
    <row r="240" ht="15.75" customHeight="1">
      <c r="B240" s="5"/>
      <c r="E240" s="5"/>
    </row>
    <row r="241" ht="15.75" customHeight="1">
      <c r="B241" s="5"/>
      <c r="E241" s="5"/>
    </row>
    <row r="242" ht="15.75" customHeight="1">
      <c r="B242" s="5"/>
      <c r="E242" s="5"/>
    </row>
    <row r="243" ht="15.75" customHeight="1">
      <c r="B243" s="5"/>
      <c r="E243" s="5"/>
    </row>
    <row r="244" ht="15.75" customHeight="1">
      <c r="B244" s="5"/>
      <c r="E244" s="5"/>
    </row>
    <row r="245" ht="15.75" customHeight="1">
      <c r="B245" s="5"/>
      <c r="E245" s="5"/>
    </row>
    <row r="246" ht="15.75" customHeight="1">
      <c r="B246" s="5"/>
      <c r="E246" s="5"/>
    </row>
    <row r="247" ht="15.75" customHeight="1">
      <c r="B247" s="5"/>
      <c r="E247" s="5"/>
    </row>
    <row r="248" ht="15.75" customHeight="1">
      <c r="B248" s="5"/>
      <c r="E248" s="5"/>
    </row>
    <row r="249" ht="15.75" customHeight="1">
      <c r="B249" s="5"/>
      <c r="E249" s="5"/>
    </row>
    <row r="250" ht="15.75" customHeight="1">
      <c r="B250" s="5"/>
      <c r="E250" s="5"/>
    </row>
    <row r="251" ht="15.75" customHeight="1">
      <c r="B251" s="5"/>
      <c r="E251" s="5"/>
    </row>
    <row r="252" ht="15.75" customHeight="1">
      <c r="B252" s="5"/>
      <c r="E252" s="5"/>
    </row>
    <row r="253" ht="15.75" customHeight="1">
      <c r="B253" s="5"/>
      <c r="E253" s="5"/>
    </row>
    <row r="254" ht="15.75" customHeight="1">
      <c r="B254" s="5"/>
      <c r="E254" s="5"/>
    </row>
    <row r="255" ht="15.75" customHeight="1">
      <c r="B255" s="5"/>
      <c r="E255" s="5"/>
    </row>
    <row r="256" ht="15.75" customHeight="1">
      <c r="B256" s="5"/>
      <c r="E256" s="5"/>
    </row>
    <row r="257" ht="15.75" customHeight="1">
      <c r="B257" s="5"/>
      <c r="E257" s="5"/>
    </row>
    <row r="258" ht="15.75" customHeight="1">
      <c r="B258" s="5"/>
      <c r="E258" s="5"/>
    </row>
    <row r="259" ht="15.75" customHeight="1">
      <c r="B259" s="5"/>
      <c r="E259" s="5"/>
    </row>
    <row r="260" ht="15.75" customHeight="1">
      <c r="B260" s="5"/>
      <c r="E260" s="5"/>
    </row>
    <row r="261" ht="15.75" customHeight="1">
      <c r="B261" s="5"/>
      <c r="E261" s="5"/>
    </row>
    <row r="262" ht="15.75" customHeight="1">
      <c r="B262" s="5"/>
      <c r="E262" s="5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G8:G24">
    <cfRule type="cellIs" dxfId="0" priority="1" operator="greaterThanOrEqual">
      <formula>$G$4</formula>
    </cfRule>
  </conditionalFormatting>
  <conditionalFormatting sqref="H8:H24">
    <cfRule type="cellIs" dxfId="0" priority="2" operator="greaterThanOrEqual">
      <formula>$H$4</formula>
    </cfRule>
  </conditionalFormatting>
  <conditionalFormatting sqref="I8:I24">
    <cfRule type="cellIs" dxfId="0" priority="3" operator="greaterThanOrEqual">
      <formula>$I$4</formula>
    </cfRule>
  </conditionalFormatting>
  <conditionalFormatting sqref="J8:J24">
    <cfRule type="cellIs" dxfId="0" priority="4" operator="greaterThanOrEqual">
      <formula>$J$4</formula>
    </cfRule>
  </conditionalFormatting>
  <conditionalFormatting sqref="K8:K24">
    <cfRule type="cellIs" dxfId="0" priority="5" operator="greaterThanOrEqual">
      <formula>$K$4</formula>
    </cfRule>
  </conditionalFormatting>
  <conditionalFormatting sqref="L8:L24">
    <cfRule type="cellIs" dxfId="0" priority="6" operator="greaterThanOrEqual">
      <formula>$L$4</formula>
    </cfRule>
  </conditionalFormatting>
  <conditionalFormatting sqref="M8:M24">
    <cfRule type="cellIs" dxfId="0" priority="7" operator="greaterThanOrEqual">
      <formula>$M$4</formula>
    </cfRule>
  </conditionalFormatting>
  <conditionalFormatting sqref="N8:N24">
    <cfRule type="cellIs" dxfId="0" priority="8" operator="greaterThanOrEqual">
      <formula>$N$4</formula>
    </cfRule>
  </conditionalFormatting>
  <conditionalFormatting sqref="O8:O24">
    <cfRule type="cellIs" dxfId="0" priority="9" operator="greaterThanOrEqual">
      <formula>$O$4</formula>
    </cfRule>
  </conditionalFormatting>
  <conditionalFormatting sqref="G8:G24">
    <cfRule type="cellIs" dxfId="1" priority="10" operator="between">
      <formula>$G$3</formula>
      <formula>$G$4</formula>
    </cfRule>
  </conditionalFormatting>
  <conditionalFormatting sqref="H8:H24">
    <cfRule type="cellIs" dxfId="1" priority="11" operator="between">
      <formula>$H$3</formula>
      <formula>$H$4</formula>
    </cfRule>
  </conditionalFormatting>
  <conditionalFormatting sqref="I8:I24">
    <cfRule type="cellIs" dxfId="1" priority="12" operator="between">
      <formula>I$3</formula>
      <formula>I$4</formula>
    </cfRule>
  </conditionalFormatting>
  <conditionalFormatting sqref="J8:J24">
    <cfRule type="cellIs" dxfId="1" priority="13" operator="between">
      <formula>$J$3</formula>
      <formula>$J$4</formula>
    </cfRule>
  </conditionalFormatting>
  <conditionalFormatting sqref="K8:K24">
    <cfRule type="cellIs" dxfId="1" priority="14" operator="between">
      <formula>$K$3</formula>
      <formula>$K$4</formula>
    </cfRule>
  </conditionalFormatting>
  <conditionalFormatting sqref="L8:L24">
    <cfRule type="cellIs" dxfId="1" priority="15" operator="between">
      <formula>$L$3</formula>
      <formula>$L$4</formula>
    </cfRule>
  </conditionalFormatting>
  <conditionalFormatting sqref="M8:M24">
    <cfRule type="cellIs" dxfId="1" priority="16" operator="between">
      <formula>$M$3</formula>
      <formula>$M$4</formula>
    </cfRule>
  </conditionalFormatting>
  <conditionalFormatting sqref="N8:N24">
    <cfRule type="cellIs" dxfId="1" priority="17" operator="between">
      <formula>$N$3</formula>
      <formula>$N$4</formula>
    </cfRule>
  </conditionalFormatting>
  <conditionalFormatting sqref="O8:O24">
    <cfRule type="cellIs" dxfId="1" priority="18" operator="between">
      <formula>$O$3</formula>
      <formula>$O$4</formula>
    </cfRule>
  </conditionalFormatting>
  <conditionalFormatting sqref="G8:G24">
    <cfRule type="cellIs" dxfId="2" priority="19" operator="lessThanOrEqual">
      <formula>$G$2</formula>
    </cfRule>
  </conditionalFormatting>
  <conditionalFormatting sqref="D46:D62 G46:AB62">
    <cfRule type="cellIs" dxfId="3" priority="20" operator="lessThanOrEqual">
      <formula>1</formula>
    </cfRule>
  </conditionalFormatting>
  <conditionalFormatting sqref="D27:D43 G27:AB43">
    <cfRule type="cellIs" dxfId="3" priority="21" operator="greaterThanOrEqual">
      <formula>365</formula>
    </cfRule>
  </conditionalFormatting>
  <conditionalFormatting sqref="D8:D24">
    <cfRule type="cellIs" dxfId="4" priority="22" operator="greaterThanOrEqual">
      <formula>$D$4</formula>
    </cfRule>
  </conditionalFormatting>
  <conditionalFormatting sqref="D8:D24">
    <cfRule type="cellIs" dxfId="2" priority="23" operator="lessThanOrEqual">
      <formula>$D$2</formula>
    </cfRule>
  </conditionalFormatting>
  <conditionalFormatting sqref="D8:D24">
    <cfRule type="cellIs" dxfId="1" priority="24" operator="between">
      <formula>$D$3</formula>
      <formula>$D$4</formula>
    </cfRule>
  </conditionalFormatting>
  <conditionalFormatting sqref="P8:P24">
    <cfRule type="cellIs" dxfId="2" priority="25" operator="lessThanOrEqual">
      <formula>$P$2</formula>
    </cfRule>
  </conditionalFormatting>
  <conditionalFormatting sqref="H8:H24">
    <cfRule type="cellIs" dxfId="2" priority="26" operator="lessThanOrEqual">
      <formula>$H$2</formula>
    </cfRule>
  </conditionalFormatting>
  <conditionalFormatting sqref="I8:I24">
    <cfRule type="cellIs" dxfId="2" priority="27" operator="lessThanOrEqual">
      <formula>$I$2</formula>
    </cfRule>
  </conditionalFormatting>
  <conditionalFormatting sqref="J8:J24">
    <cfRule type="cellIs" dxfId="2" priority="28" operator="lessThanOrEqual">
      <formula>$J$2</formula>
    </cfRule>
  </conditionalFormatting>
  <conditionalFormatting sqref="K8:K24">
    <cfRule type="cellIs" dxfId="2" priority="29" operator="lessThanOrEqual">
      <formula>$K$2</formula>
    </cfRule>
  </conditionalFormatting>
  <conditionalFormatting sqref="L8:L24">
    <cfRule type="cellIs" dxfId="2" priority="30" operator="lessThanOrEqual">
      <formula>$L$2</formula>
    </cfRule>
  </conditionalFormatting>
  <conditionalFormatting sqref="M8:M24">
    <cfRule type="cellIs" dxfId="2" priority="31" operator="lessThanOrEqual">
      <formula>$M$2</formula>
    </cfRule>
  </conditionalFormatting>
  <conditionalFormatting sqref="N8:N24">
    <cfRule type="cellIs" dxfId="2" priority="32" operator="lessThanOrEqual">
      <formula>$N$2</formula>
    </cfRule>
  </conditionalFormatting>
  <conditionalFormatting sqref="O8:O24">
    <cfRule type="cellIs" dxfId="2" priority="33" operator="lessThanOrEqual">
      <formula>$O$2</formula>
    </cfRule>
  </conditionalFormatting>
  <conditionalFormatting sqref="Q8:Q24">
    <cfRule type="cellIs" dxfId="2" priority="34" operator="lessThanOrEqual">
      <formula>$Q$2</formula>
    </cfRule>
  </conditionalFormatting>
  <conditionalFormatting sqref="R8:R24">
    <cfRule type="cellIs" dxfId="2" priority="35" operator="lessThanOrEqual">
      <formula>$R$2</formula>
    </cfRule>
  </conditionalFormatting>
  <conditionalFormatting sqref="S8:S24">
    <cfRule type="cellIs" dxfId="2" priority="36" operator="lessThanOrEqual">
      <formula>$S$2</formula>
    </cfRule>
  </conditionalFormatting>
  <conditionalFormatting sqref="T8:T24">
    <cfRule type="cellIs" dxfId="2" priority="37" operator="lessThanOrEqual">
      <formula>$T$2</formula>
    </cfRule>
  </conditionalFormatting>
  <conditionalFormatting sqref="U8:U24">
    <cfRule type="cellIs" dxfId="2" priority="38" operator="lessThanOrEqual">
      <formula>$U$2</formula>
    </cfRule>
  </conditionalFormatting>
  <conditionalFormatting sqref="V8:V24">
    <cfRule type="cellIs" dxfId="2" priority="39" operator="lessThanOrEqual">
      <formula>$V$2</formula>
    </cfRule>
  </conditionalFormatting>
  <conditionalFormatting sqref="W8:W24">
    <cfRule type="cellIs" dxfId="2" priority="40" operator="lessThanOrEqual">
      <formula>$W$2</formula>
    </cfRule>
  </conditionalFormatting>
  <conditionalFormatting sqref="X8:X24">
    <cfRule type="cellIs" dxfId="2" priority="41" operator="lessThanOrEqual">
      <formula>$X$2</formula>
    </cfRule>
  </conditionalFormatting>
  <conditionalFormatting sqref="Y8:Y24">
    <cfRule type="cellIs" dxfId="2" priority="42" operator="lessThanOrEqual">
      <formula>$Y$2</formula>
    </cfRule>
  </conditionalFormatting>
  <conditionalFormatting sqref="Z8:Z24">
    <cfRule type="cellIs" dxfId="2" priority="43" operator="lessThanOrEqual">
      <formula>$Z$2</formula>
    </cfRule>
  </conditionalFormatting>
  <conditionalFormatting sqref="AA8:AA24">
    <cfRule type="cellIs" dxfId="2" priority="44" operator="lessThanOrEqual">
      <formula>$AA$2</formula>
    </cfRule>
  </conditionalFormatting>
  <conditionalFormatting sqref="AB8:AB24">
    <cfRule type="cellIs" dxfId="2" priority="45" operator="lessThanOrEqual">
      <formula>$AB$2</formula>
    </cfRule>
  </conditionalFormatting>
  <conditionalFormatting sqref="P7:P24">
    <cfRule type="cellIs" dxfId="1" priority="46" operator="between">
      <formula>$P$3</formula>
      <formula>$P$4</formula>
    </cfRule>
  </conditionalFormatting>
  <conditionalFormatting sqref="Q8:Q24">
    <cfRule type="cellIs" dxfId="1" priority="47" operator="between">
      <formula>$Q$3</formula>
      <formula>$Q$4</formula>
    </cfRule>
  </conditionalFormatting>
  <conditionalFormatting sqref="R8:R24">
    <cfRule type="cellIs" dxfId="1" priority="48" operator="between">
      <formula>$R$3</formula>
      <formula>$R$4</formula>
    </cfRule>
  </conditionalFormatting>
  <conditionalFormatting sqref="S8:S24">
    <cfRule type="cellIs" dxfId="1" priority="49" operator="between">
      <formula>$S$3</formula>
      <formula>$S$4</formula>
    </cfRule>
  </conditionalFormatting>
  <conditionalFormatting sqref="T8:T24">
    <cfRule type="cellIs" dxfId="1" priority="50" operator="between">
      <formula>$T$3</formula>
      <formula>$T$4</formula>
    </cfRule>
  </conditionalFormatting>
  <conditionalFormatting sqref="U8:U24">
    <cfRule type="cellIs" dxfId="1" priority="51" operator="between">
      <formula>$U$3</formula>
      <formula>$U$4</formula>
    </cfRule>
  </conditionalFormatting>
  <conditionalFormatting sqref="V8:V24">
    <cfRule type="cellIs" dxfId="1" priority="52" operator="between">
      <formula>$V$3</formula>
      <formula>$V$4</formula>
    </cfRule>
  </conditionalFormatting>
  <conditionalFormatting sqref="W8:W24">
    <cfRule type="cellIs" dxfId="1" priority="53" operator="between">
      <formula>$W$3</formula>
      <formula>$W$4</formula>
    </cfRule>
  </conditionalFormatting>
  <conditionalFormatting sqref="X8:X24">
    <cfRule type="cellIs" dxfId="1" priority="54" operator="between">
      <formula>$X$3</formula>
      <formula>$X$4</formula>
    </cfRule>
  </conditionalFormatting>
  <conditionalFormatting sqref="Y8:Y24">
    <cfRule type="cellIs" dxfId="1" priority="55" operator="between">
      <formula>$Y$3</formula>
      <formula>$Y$4</formula>
    </cfRule>
  </conditionalFormatting>
  <conditionalFormatting sqref="Z8:Z24">
    <cfRule type="cellIs" dxfId="1" priority="56" operator="between">
      <formula>$Z$3</formula>
      <formula>$Z$4</formula>
    </cfRule>
  </conditionalFormatting>
  <conditionalFormatting sqref="AA8:AA24">
    <cfRule type="cellIs" dxfId="1" priority="57" operator="between">
      <formula>$AA$3</formula>
      <formula>$AA$4</formula>
    </cfRule>
  </conditionalFormatting>
  <conditionalFormatting sqref="AB8:AB24">
    <cfRule type="cellIs" dxfId="1" priority="58" operator="between">
      <formula>$AB$3</formula>
      <formula>$AB$4</formula>
    </cfRule>
  </conditionalFormatting>
  <conditionalFormatting sqref="P8:P24">
    <cfRule type="cellIs" dxfId="0" priority="59" operator="greaterThanOrEqual">
      <formula>$P$4</formula>
    </cfRule>
  </conditionalFormatting>
  <conditionalFormatting sqref="Q8:Q24">
    <cfRule type="cellIs" dxfId="0" priority="60" operator="greaterThanOrEqual">
      <formula>$O$4</formula>
    </cfRule>
  </conditionalFormatting>
  <conditionalFormatting sqref="R8:R24">
    <cfRule type="cellIs" dxfId="0" priority="61" operator="greaterThanOrEqual">
      <formula>$R$4</formula>
    </cfRule>
  </conditionalFormatting>
  <conditionalFormatting sqref="S8:S24">
    <cfRule type="cellIs" dxfId="0" priority="62" operator="greaterThanOrEqual">
      <formula>$S$4</formula>
    </cfRule>
  </conditionalFormatting>
  <conditionalFormatting sqref="T8:T24">
    <cfRule type="cellIs" dxfId="0" priority="63" operator="greaterThanOrEqual">
      <formula>$T$4</formula>
    </cfRule>
  </conditionalFormatting>
  <conditionalFormatting sqref="U8:U24">
    <cfRule type="cellIs" dxfId="0" priority="64" operator="greaterThanOrEqual">
      <formula>$U$4</formula>
    </cfRule>
  </conditionalFormatting>
  <conditionalFormatting sqref="V8:V24">
    <cfRule type="cellIs" dxfId="0" priority="65" operator="greaterThanOrEqual">
      <formula>$V$4</formula>
    </cfRule>
  </conditionalFormatting>
  <conditionalFormatting sqref="W8:W24">
    <cfRule type="cellIs" dxfId="0" priority="66" operator="greaterThanOrEqual">
      <formula>$W$4</formula>
    </cfRule>
  </conditionalFormatting>
  <conditionalFormatting sqref="X8:X24">
    <cfRule type="cellIs" dxfId="0" priority="67" operator="greaterThanOrEqual">
      <formula>$X$4</formula>
    </cfRule>
  </conditionalFormatting>
  <conditionalFormatting sqref="Y8:Y24">
    <cfRule type="cellIs" dxfId="0" priority="68" operator="greaterThanOrEqual">
      <formula>$Y$4</formula>
    </cfRule>
  </conditionalFormatting>
  <conditionalFormatting sqref="Z8:Z24">
    <cfRule type="cellIs" dxfId="0" priority="69" operator="greaterThanOrEqual">
      <formula>$Z$4</formula>
    </cfRule>
  </conditionalFormatting>
  <conditionalFormatting sqref="AA8:AA24">
    <cfRule type="cellIs" dxfId="0" priority="70" operator="greaterThanOrEqual">
      <formula>$AA$4</formula>
    </cfRule>
  </conditionalFormatting>
  <conditionalFormatting sqref="AB8:AB24">
    <cfRule type="cellIs" dxfId="0" priority="71" operator="greaterThanOrEqual">
      <formula>$AB$4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.38"/>
    <col customWidth="1" min="3" max="3" width="10.5"/>
    <col customWidth="1" min="4" max="4" width="12.63"/>
    <col customWidth="1" min="5" max="5" width="2.38"/>
    <col customWidth="1" min="6" max="6" width="10.5"/>
    <col customWidth="1" min="9" max="10" width="14.63"/>
  </cols>
  <sheetData>
    <row r="1" ht="15.75" customHeight="1">
      <c r="A1" s="34"/>
      <c r="B1" s="5"/>
      <c r="C1" s="34" t="s">
        <v>47</v>
      </c>
      <c r="E1" s="5"/>
      <c r="F1" s="35"/>
      <c r="G1" s="34" t="s">
        <v>48</v>
      </c>
    </row>
    <row r="2" ht="15.75" customHeight="1">
      <c r="A2" s="36" t="s">
        <v>49</v>
      </c>
      <c r="B2" s="5"/>
      <c r="C2" s="37" t="s">
        <v>50</v>
      </c>
      <c r="D2" s="38">
        <f>D3/12</f>
        <v>0.01893939394</v>
      </c>
      <c r="E2" s="5"/>
      <c r="F2" s="37" t="s">
        <v>50</v>
      </c>
      <c r="G2" s="38">
        <f t="shared" ref="G2:AB2" si="1">G3/12</f>
        <v>0.1893939394</v>
      </c>
      <c r="H2" s="38">
        <f t="shared" si="1"/>
        <v>0.7575757576</v>
      </c>
      <c r="I2" s="38">
        <f t="shared" si="1"/>
        <v>0.4734848485</v>
      </c>
      <c r="J2" s="38">
        <f t="shared" si="1"/>
        <v>0.1136363636</v>
      </c>
      <c r="K2" s="38">
        <f t="shared" si="1"/>
        <v>0.2840909091</v>
      </c>
      <c r="L2" s="38">
        <f t="shared" si="1"/>
        <v>0.2272727273</v>
      </c>
      <c r="M2" s="38">
        <f t="shared" si="1"/>
        <v>0.2840909091</v>
      </c>
      <c r="N2" s="38">
        <f t="shared" si="1"/>
        <v>0.01893939394</v>
      </c>
      <c r="O2" s="38">
        <f t="shared" si="1"/>
        <v>0.01893939394</v>
      </c>
      <c r="P2" s="38">
        <f t="shared" si="1"/>
        <v>0.01893939394</v>
      </c>
      <c r="Q2" s="38">
        <f t="shared" si="1"/>
        <v>0.01893939394</v>
      </c>
      <c r="R2" s="38">
        <f t="shared" si="1"/>
        <v>0.01893939394</v>
      </c>
      <c r="S2" s="38">
        <f t="shared" si="1"/>
        <v>0.01893939394</v>
      </c>
      <c r="T2" s="38">
        <f t="shared" si="1"/>
        <v>0.01893939394</v>
      </c>
      <c r="U2" s="38">
        <f t="shared" si="1"/>
        <v>0.01893939394</v>
      </c>
      <c r="V2" s="38">
        <f t="shared" si="1"/>
        <v>0.01893939394</v>
      </c>
      <c r="W2" s="38">
        <f t="shared" si="1"/>
        <v>0.01893939394</v>
      </c>
      <c r="X2" s="38">
        <f t="shared" si="1"/>
        <v>0.01893939394</v>
      </c>
      <c r="Y2" s="38">
        <f t="shared" si="1"/>
        <v>0.01893939394</v>
      </c>
      <c r="Z2" s="38">
        <f t="shared" si="1"/>
        <v>0.01893939394</v>
      </c>
      <c r="AA2" s="38">
        <f t="shared" si="1"/>
        <v>0.01893939394</v>
      </c>
      <c r="AB2" s="38">
        <f t="shared" si="1"/>
        <v>0.01893939394</v>
      </c>
    </row>
    <row r="3" ht="15.75" customHeight="1">
      <c r="B3" s="5"/>
      <c r="C3" s="37" t="s">
        <v>51</v>
      </c>
      <c r="D3" s="38">
        <f>D4/4.4</f>
        <v>0.2272727273</v>
      </c>
      <c r="E3" s="5"/>
      <c r="F3" s="37" t="s">
        <v>51</v>
      </c>
      <c r="G3" s="38">
        <f t="shared" ref="G3:AB3" si="2">G4/4.4</f>
        <v>2.272727273</v>
      </c>
      <c r="H3" s="38">
        <f t="shared" si="2"/>
        <v>9.090909091</v>
      </c>
      <c r="I3" s="38">
        <f t="shared" si="2"/>
        <v>5.681818182</v>
      </c>
      <c r="J3" s="38">
        <f t="shared" si="2"/>
        <v>1.363636364</v>
      </c>
      <c r="K3" s="38">
        <f t="shared" si="2"/>
        <v>3.409090909</v>
      </c>
      <c r="L3" s="38">
        <f t="shared" si="2"/>
        <v>2.727272727</v>
      </c>
      <c r="M3" s="38">
        <f t="shared" si="2"/>
        <v>3.409090909</v>
      </c>
      <c r="N3" s="38">
        <f t="shared" si="2"/>
        <v>0.2272727273</v>
      </c>
      <c r="O3" s="38">
        <f t="shared" si="2"/>
        <v>0.2272727273</v>
      </c>
      <c r="P3" s="38">
        <f t="shared" si="2"/>
        <v>0.2272727273</v>
      </c>
      <c r="Q3" s="38">
        <f t="shared" si="2"/>
        <v>0.2272727273</v>
      </c>
      <c r="R3" s="38">
        <f t="shared" si="2"/>
        <v>0.2272727273</v>
      </c>
      <c r="S3" s="38">
        <f t="shared" si="2"/>
        <v>0.2272727273</v>
      </c>
      <c r="T3" s="38">
        <f t="shared" si="2"/>
        <v>0.2272727273</v>
      </c>
      <c r="U3" s="38">
        <f t="shared" si="2"/>
        <v>0.2272727273</v>
      </c>
      <c r="V3" s="38">
        <f t="shared" si="2"/>
        <v>0.2272727273</v>
      </c>
      <c r="W3" s="38">
        <f t="shared" si="2"/>
        <v>0.2272727273</v>
      </c>
      <c r="X3" s="38">
        <f t="shared" si="2"/>
        <v>0.2272727273</v>
      </c>
      <c r="Y3" s="38">
        <f t="shared" si="2"/>
        <v>0.2272727273</v>
      </c>
      <c r="Z3" s="38">
        <f t="shared" si="2"/>
        <v>0.2272727273</v>
      </c>
      <c r="AA3" s="38">
        <f t="shared" si="2"/>
        <v>0.2272727273</v>
      </c>
      <c r="AB3" s="38">
        <f t="shared" si="2"/>
        <v>0.2272727273</v>
      </c>
    </row>
    <row r="4" ht="15.75" customHeight="1">
      <c r="B4" s="5"/>
      <c r="C4" s="37" t="s">
        <v>52</v>
      </c>
      <c r="D4" s="39">
        <v>1.0</v>
      </c>
      <c r="E4" s="5"/>
      <c r="F4" s="37" t="s">
        <v>52</v>
      </c>
      <c r="G4" s="39">
        <v>10.0</v>
      </c>
      <c r="H4" s="39">
        <v>40.0</v>
      </c>
      <c r="I4" s="39">
        <v>25.0</v>
      </c>
      <c r="J4" s="39">
        <v>6.0</v>
      </c>
      <c r="K4" s="39">
        <v>15.0</v>
      </c>
      <c r="L4" s="39">
        <v>12.0</v>
      </c>
      <c r="M4" s="39">
        <v>15.0</v>
      </c>
      <c r="N4" s="39">
        <v>1.0</v>
      </c>
      <c r="O4" s="39">
        <v>1.0</v>
      </c>
      <c r="P4" s="39">
        <v>1.0</v>
      </c>
      <c r="Q4" s="39">
        <v>1.0</v>
      </c>
      <c r="R4" s="39">
        <v>1.0</v>
      </c>
      <c r="S4" s="39">
        <v>1.0</v>
      </c>
      <c r="T4" s="39">
        <v>1.0</v>
      </c>
      <c r="U4" s="39">
        <v>1.0</v>
      </c>
      <c r="V4" s="39">
        <v>1.0</v>
      </c>
      <c r="W4" s="39">
        <v>1.0</v>
      </c>
      <c r="X4" s="39">
        <v>1.0</v>
      </c>
      <c r="Y4" s="39">
        <v>1.0</v>
      </c>
      <c r="Z4" s="39">
        <v>1.0</v>
      </c>
      <c r="AA4" s="39">
        <v>1.0</v>
      </c>
      <c r="AB4" s="39">
        <v>1.0</v>
      </c>
    </row>
    <row r="5" ht="25.5" customHeight="1">
      <c r="B5" s="56"/>
      <c r="C5" s="57" t="s">
        <v>53</v>
      </c>
      <c r="D5" s="58">
        <v>1.0</v>
      </c>
      <c r="E5" s="56"/>
      <c r="F5" s="57" t="s">
        <v>53</v>
      </c>
      <c r="G5" s="39">
        <v>2.0</v>
      </c>
      <c r="H5" s="39">
        <v>3.0</v>
      </c>
      <c r="I5" s="39">
        <v>4.0</v>
      </c>
      <c r="J5" s="39">
        <v>1.0</v>
      </c>
      <c r="K5" s="39">
        <v>2.0</v>
      </c>
      <c r="L5" s="39">
        <v>2.0</v>
      </c>
      <c r="M5" s="39">
        <v>10.0</v>
      </c>
      <c r="N5" s="39">
        <v>1.0</v>
      </c>
      <c r="O5" s="39">
        <v>1.0</v>
      </c>
      <c r="P5" s="39">
        <v>1.0</v>
      </c>
      <c r="Q5" s="39">
        <v>1.0</v>
      </c>
      <c r="R5" s="39">
        <v>1.0</v>
      </c>
      <c r="S5" s="39">
        <v>1.0</v>
      </c>
      <c r="T5" s="39">
        <v>1.0</v>
      </c>
      <c r="U5" s="39">
        <v>1.0</v>
      </c>
      <c r="V5" s="39">
        <v>1.0</v>
      </c>
      <c r="W5" s="39">
        <v>1.0</v>
      </c>
      <c r="X5" s="39">
        <v>1.0</v>
      </c>
      <c r="Y5" s="39">
        <v>1.0</v>
      </c>
      <c r="Z5" s="39">
        <v>1.0</v>
      </c>
      <c r="AA5" s="39">
        <v>1.0</v>
      </c>
      <c r="AB5" s="39">
        <v>1.0</v>
      </c>
    </row>
    <row r="6" ht="15.75" customHeight="1">
      <c r="A6" s="35"/>
      <c r="B6" s="5"/>
      <c r="C6" s="5"/>
      <c r="E6" s="5"/>
      <c r="F6" s="35"/>
      <c r="G6" s="35" t="s">
        <v>54</v>
      </c>
    </row>
    <row r="7" ht="15.75" customHeight="1">
      <c r="A7" s="42" t="s">
        <v>12</v>
      </c>
      <c r="B7" s="5"/>
      <c r="C7" s="10" t="s">
        <v>3</v>
      </c>
      <c r="D7" s="10" t="s">
        <v>55</v>
      </c>
      <c r="E7" s="5"/>
      <c r="F7" s="10" t="s">
        <v>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10" t="s">
        <v>90</v>
      </c>
      <c r="N7" s="10"/>
      <c r="O7" s="10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ht="15.75" customHeight="1">
      <c r="A8" s="21">
        <f>'Soul Energy Tiers'!K3</f>
        <v>400</v>
      </c>
      <c r="B8" s="5"/>
      <c r="C8" s="15" t="s">
        <v>13</v>
      </c>
      <c r="D8" s="46">
        <f t="shared" ref="D8:D24" si="5">($A8/D$5)/365</f>
        <v>1.095890411</v>
      </c>
      <c r="E8" s="5"/>
      <c r="F8" s="15" t="s">
        <v>13</v>
      </c>
      <c r="G8" s="46">
        <f t="shared" ref="G8:O8" si="3">($A8/G$5)/365</f>
        <v>0.5479452055</v>
      </c>
      <c r="H8" s="46">
        <f t="shared" si="3"/>
        <v>0.3652968037</v>
      </c>
      <c r="I8" s="46">
        <f t="shared" si="3"/>
        <v>0.2739726027</v>
      </c>
      <c r="J8" s="46">
        <f t="shared" si="3"/>
        <v>1.095890411</v>
      </c>
      <c r="K8" s="46">
        <f t="shared" si="3"/>
        <v>0.5479452055</v>
      </c>
      <c r="L8" s="46">
        <f t="shared" si="3"/>
        <v>0.5479452055</v>
      </c>
      <c r="M8" s="46">
        <f t="shared" si="3"/>
        <v>0.1095890411</v>
      </c>
      <c r="N8" s="46">
        <f t="shared" si="3"/>
        <v>1.095890411</v>
      </c>
      <c r="O8" s="49">
        <f t="shared" si="3"/>
        <v>1.095890411</v>
      </c>
      <c r="P8" s="50">
        <f t="shared" ref="P8:AB8" si="4">($A8/N$5)/365</f>
        <v>1.095890411</v>
      </c>
      <c r="Q8" s="50">
        <f t="shared" si="4"/>
        <v>1.095890411</v>
      </c>
      <c r="R8" s="50">
        <f t="shared" si="4"/>
        <v>1.095890411</v>
      </c>
      <c r="S8" s="50">
        <f t="shared" si="4"/>
        <v>1.095890411</v>
      </c>
      <c r="T8" s="50">
        <f t="shared" si="4"/>
        <v>1.095890411</v>
      </c>
      <c r="U8" s="50">
        <f t="shared" si="4"/>
        <v>1.095890411</v>
      </c>
      <c r="V8" s="50">
        <f t="shared" si="4"/>
        <v>1.095890411</v>
      </c>
      <c r="W8" s="50">
        <f t="shared" si="4"/>
        <v>1.095890411</v>
      </c>
      <c r="X8" s="50">
        <f t="shared" si="4"/>
        <v>1.095890411</v>
      </c>
      <c r="Y8" s="50">
        <f t="shared" si="4"/>
        <v>1.095890411</v>
      </c>
      <c r="Z8" s="50">
        <f t="shared" si="4"/>
        <v>1.095890411</v>
      </c>
      <c r="AA8" s="50">
        <f t="shared" si="4"/>
        <v>1.095890411</v>
      </c>
      <c r="AB8" s="50">
        <f t="shared" si="4"/>
        <v>1.095890411</v>
      </c>
    </row>
    <row r="9" ht="15.75" customHeight="1">
      <c r="A9" s="21">
        <f>'Soul Energy Tiers'!K4</f>
        <v>1200</v>
      </c>
      <c r="B9" s="5"/>
      <c r="C9" s="24" t="s">
        <v>15</v>
      </c>
      <c r="D9" s="46">
        <f t="shared" si="5"/>
        <v>3.287671233</v>
      </c>
      <c r="E9" s="5"/>
      <c r="F9" s="24" t="s">
        <v>15</v>
      </c>
      <c r="G9" s="46">
        <f t="shared" ref="G9:O9" si="6">($A9/G$5)/365</f>
        <v>1.643835616</v>
      </c>
      <c r="H9" s="46">
        <f t="shared" si="6"/>
        <v>1.095890411</v>
      </c>
      <c r="I9" s="46">
        <f t="shared" si="6"/>
        <v>0.8219178082</v>
      </c>
      <c r="J9" s="46">
        <f t="shared" si="6"/>
        <v>3.287671233</v>
      </c>
      <c r="K9" s="46">
        <f t="shared" si="6"/>
        <v>1.643835616</v>
      </c>
      <c r="L9" s="46">
        <f t="shared" si="6"/>
        <v>1.643835616</v>
      </c>
      <c r="M9" s="46">
        <f t="shared" si="6"/>
        <v>0.3287671233</v>
      </c>
      <c r="N9" s="46">
        <f t="shared" si="6"/>
        <v>3.287671233</v>
      </c>
      <c r="O9" s="49">
        <f t="shared" si="6"/>
        <v>3.287671233</v>
      </c>
      <c r="P9" s="50">
        <f t="shared" ref="P9:AB9" si="7">($A9/N$5)/365</f>
        <v>3.287671233</v>
      </c>
      <c r="Q9" s="50">
        <f t="shared" si="7"/>
        <v>3.287671233</v>
      </c>
      <c r="R9" s="50">
        <f t="shared" si="7"/>
        <v>3.287671233</v>
      </c>
      <c r="S9" s="50">
        <f t="shared" si="7"/>
        <v>3.287671233</v>
      </c>
      <c r="T9" s="50">
        <f t="shared" si="7"/>
        <v>3.287671233</v>
      </c>
      <c r="U9" s="50">
        <f t="shared" si="7"/>
        <v>3.287671233</v>
      </c>
      <c r="V9" s="50">
        <f t="shared" si="7"/>
        <v>3.287671233</v>
      </c>
      <c r="W9" s="50">
        <f t="shared" si="7"/>
        <v>3.287671233</v>
      </c>
      <c r="X9" s="50">
        <f t="shared" si="7"/>
        <v>3.287671233</v>
      </c>
      <c r="Y9" s="50">
        <f t="shared" si="7"/>
        <v>3.287671233</v>
      </c>
      <c r="Z9" s="50">
        <f t="shared" si="7"/>
        <v>3.287671233</v>
      </c>
      <c r="AA9" s="50">
        <f t="shared" si="7"/>
        <v>3.287671233</v>
      </c>
      <c r="AB9" s="50">
        <f t="shared" si="7"/>
        <v>3.287671233</v>
      </c>
    </row>
    <row r="10" ht="15.75" customHeight="1">
      <c r="A10" s="21">
        <f>'Soul Energy Tiers'!K5</f>
        <v>2800</v>
      </c>
      <c r="B10" s="5"/>
      <c r="C10" s="24" t="s">
        <v>17</v>
      </c>
      <c r="D10" s="46">
        <f t="shared" si="5"/>
        <v>7.671232877</v>
      </c>
      <c r="E10" s="5"/>
      <c r="F10" s="24" t="s">
        <v>17</v>
      </c>
      <c r="G10" s="46">
        <f t="shared" ref="G10:O10" si="8">($A10/G$5)/365</f>
        <v>3.835616438</v>
      </c>
      <c r="H10" s="46">
        <f t="shared" si="8"/>
        <v>2.557077626</v>
      </c>
      <c r="I10" s="46">
        <f t="shared" si="8"/>
        <v>1.917808219</v>
      </c>
      <c r="J10" s="46">
        <f t="shared" si="8"/>
        <v>7.671232877</v>
      </c>
      <c r="K10" s="46">
        <f t="shared" si="8"/>
        <v>3.835616438</v>
      </c>
      <c r="L10" s="46">
        <f t="shared" si="8"/>
        <v>3.835616438</v>
      </c>
      <c r="M10" s="46">
        <f t="shared" si="8"/>
        <v>0.7671232877</v>
      </c>
      <c r="N10" s="46">
        <f t="shared" si="8"/>
        <v>7.671232877</v>
      </c>
      <c r="O10" s="49">
        <f t="shared" si="8"/>
        <v>7.671232877</v>
      </c>
      <c r="P10" s="50">
        <f t="shared" ref="P10:AB10" si="9">($A10/N$5)/365</f>
        <v>7.671232877</v>
      </c>
      <c r="Q10" s="50">
        <f t="shared" si="9"/>
        <v>7.671232877</v>
      </c>
      <c r="R10" s="50">
        <f t="shared" si="9"/>
        <v>7.671232877</v>
      </c>
      <c r="S10" s="50">
        <f t="shared" si="9"/>
        <v>7.671232877</v>
      </c>
      <c r="T10" s="50">
        <f t="shared" si="9"/>
        <v>7.671232877</v>
      </c>
      <c r="U10" s="50">
        <f t="shared" si="9"/>
        <v>7.671232877</v>
      </c>
      <c r="V10" s="50">
        <f t="shared" si="9"/>
        <v>7.671232877</v>
      </c>
      <c r="W10" s="50">
        <f t="shared" si="9"/>
        <v>7.671232877</v>
      </c>
      <c r="X10" s="50">
        <f t="shared" si="9"/>
        <v>7.671232877</v>
      </c>
      <c r="Y10" s="50">
        <f t="shared" si="9"/>
        <v>7.671232877</v>
      </c>
      <c r="Z10" s="50">
        <f t="shared" si="9"/>
        <v>7.671232877</v>
      </c>
      <c r="AA10" s="50">
        <f t="shared" si="9"/>
        <v>7.671232877</v>
      </c>
      <c r="AB10" s="50">
        <f t="shared" si="9"/>
        <v>7.671232877</v>
      </c>
    </row>
    <row r="11" ht="15.75" customHeight="1">
      <c r="A11" s="21">
        <f>'Soul Energy Tiers'!K6</f>
        <v>6000</v>
      </c>
      <c r="B11" s="5"/>
      <c r="C11" s="24" t="s">
        <v>19</v>
      </c>
      <c r="D11" s="46">
        <f t="shared" si="5"/>
        <v>16.43835616</v>
      </c>
      <c r="E11" s="5"/>
      <c r="F11" s="24" t="s">
        <v>19</v>
      </c>
      <c r="G11" s="46">
        <f t="shared" ref="G11:O11" si="10">($A11/G$5)/365</f>
        <v>8.219178082</v>
      </c>
      <c r="H11" s="46">
        <f t="shared" si="10"/>
        <v>5.479452055</v>
      </c>
      <c r="I11" s="46">
        <f t="shared" si="10"/>
        <v>4.109589041</v>
      </c>
      <c r="J11" s="46">
        <f t="shared" si="10"/>
        <v>16.43835616</v>
      </c>
      <c r="K11" s="46">
        <f t="shared" si="10"/>
        <v>8.219178082</v>
      </c>
      <c r="L11" s="46">
        <f t="shared" si="10"/>
        <v>8.219178082</v>
      </c>
      <c r="M11" s="46">
        <f t="shared" si="10"/>
        <v>1.643835616</v>
      </c>
      <c r="N11" s="46">
        <f t="shared" si="10"/>
        <v>16.43835616</v>
      </c>
      <c r="O11" s="49">
        <f t="shared" si="10"/>
        <v>16.43835616</v>
      </c>
      <c r="P11" s="50">
        <f t="shared" ref="P11:AB11" si="11">($A11/N$5)/365</f>
        <v>16.43835616</v>
      </c>
      <c r="Q11" s="50">
        <f t="shared" si="11"/>
        <v>16.43835616</v>
      </c>
      <c r="R11" s="50">
        <f t="shared" si="11"/>
        <v>16.43835616</v>
      </c>
      <c r="S11" s="50">
        <f t="shared" si="11"/>
        <v>16.43835616</v>
      </c>
      <c r="T11" s="50">
        <f t="shared" si="11"/>
        <v>16.43835616</v>
      </c>
      <c r="U11" s="50">
        <f t="shared" si="11"/>
        <v>16.43835616</v>
      </c>
      <c r="V11" s="50">
        <f t="shared" si="11"/>
        <v>16.43835616</v>
      </c>
      <c r="W11" s="50">
        <f t="shared" si="11"/>
        <v>16.43835616</v>
      </c>
      <c r="X11" s="50">
        <f t="shared" si="11"/>
        <v>16.43835616</v>
      </c>
      <c r="Y11" s="50">
        <f t="shared" si="11"/>
        <v>16.43835616</v>
      </c>
      <c r="Z11" s="50">
        <f t="shared" si="11"/>
        <v>16.43835616</v>
      </c>
      <c r="AA11" s="50">
        <f t="shared" si="11"/>
        <v>16.43835616</v>
      </c>
      <c r="AB11" s="50">
        <f t="shared" si="11"/>
        <v>16.43835616</v>
      </c>
    </row>
    <row r="12" ht="15.75" customHeight="1">
      <c r="A12" s="21">
        <f>'Soul Energy Tiers'!K7</f>
        <v>12400</v>
      </c>
      <c r="B12" s="5"/>
      <c r="C12" s="24" t="s">
        <v>21</v>
      </c>
      <c r="D12" s="46">
        <f t="shared" si="5"/>
        <v>33.97260274</v>
      </c>
      <c r="E12" s="5"/>
      <c r="F12" s="24" t="s">
        <v>21</v>
      </c>
      <c r="G12" s="46">
        <f t="shared" ref="G12:O12" si="12">($A12/G$5)/365</f>
        <v>16.98630137</v>
      </c>
      <c r="H12" s="46">
        <f t="shared" si="12"/>
        <v>11.32420091</v>
      </c>
      <c r="I12" s="46">
        <f t="shared" si="12"/>
        <v>8.493150685</v>
      </c>
      <c r="J12" s="46">
        <f t="shared" si="12"/>
        <v>33.97260274</v>
      </c>
      <c r="K12" s="46">
        <f t="shared" si="12"/>
        <v>16.98630137</v>
      </c>
      <c r="L12" s="46">
        <f t="shared" si="12"/>
        <v>16.98630137</v>
      </c>
      <c r="M12" s="46">
        <f t="shared" si="12"/>
        <v>3.397260274</v>
      </c>
      <c r="N12" s="46">
        <f t="shared" si="12"/>
        <v>33.97260274</v>
      </c>
      <c r="O12" s="49">
        <f t="shared" si="12"/>
        <v>33.97260274</v>
      </c>
      <c r="P12" s="50">
        <f t="shared" ref="P12:AB12" si="13">($A12/N$5)/365</f>
        <v>33.97260274</v>
      </c>
      <c r="Q12" s="50">
        <f t="shared" si="13"/>
        <v>33.97260274</v>
      </c>
      <c r="R12" s="50">
        <f t="shared" si="13"/>
        <v>33.97260274</v>
      </c>
      <c r="S12" s="50">
        <f t="shared" si="13"/>
        <v>33.97260274</v>
      </c>
      <c r="T12" s="50">
        <f t="shared" si="13"/>
        <v>33.97260274</v>
      </c>
      <c r="U12" s="50">
        <f t="shared" si="13"/>
        <v>33.97260274</v>
      </c>
      <c r="V12" s="50">
        <f t="shared" si="13"/>
        <v>33.97260274</v>
      </c>
      <c r="W12" s="50">
        <f t="shared" si="13"/>
        <v>33.97260274</v>
      </c>
      <c r="X12" s="50">
        <f t="shared" si="13"/>
        <v>33.97260274</v>
      </c>
      <c r="Y12" s="50">
        <f t="shared" si="13"/>
        <v>33.97260274</v>
      </c>
      <c r="Z12" s="50">
        <f t="shared" si="13"/>
        <v>33.97260274</v>
      </c>
      <c r="AA12" s="50">
        <f t="shared" si="13"/>
        <v>33.97260274</v>
      </c>
      <c r="AB12" s="50">
        <f t="shared" si="13"/>
        <v>33.97260274</v>
      </c>
    </row>
    <row r="13" ht="15.75" customHeight="1">
      <c r="A13" s="21">
        <f>'Soul Energy Tiers'!K8</f>
        <v>25200</v>
      </c>
      <c r="B13" s="5"/>
      <c r="C13" s="24" t="s">
        <v>23</v>
      </c>
      <c r="D13" s="46">
        <f t="shared" si="5"/>
        <v>69.04109589</v>
      </c>
      <c r="E13" s="5"/>
      <c r="F13" s="24" t="s">
        <v>23</v>
      </c>
      <c r="G13" s="46">
        <f t="shared" ref="G13:O13" si="14">($A13/G$5)/365</f>
        <v>34.52054795</v>
      </c>
      <c r="H13" s="46">
        <f t="shared" si="14"/>
        <v>23.01369863</v>
      </c>
      <c r="I13" s="46">
        <f t="shared" si="14"/>
        <v>17.26027397</v>
      </c>
      <c r="J13" s="46">
        <f t="shared" si="14"/>
        <v>69.04109589</v>
      </c>
      <c r="K13" s="46">
        <f t="shared" si="14"/>
        <v>34.52054795</v>
      </c>
      <c r="L13" s="46">
        <f t="shared" si="14"/>
        <v>34.52054795</v>
      </c>
      <c r="M13" s="46">
        <f t="shared" si="14"/>
        <v>6.904109589</v>
      </c>
      <c r="N13" s="46">
        <f t="shared" si="14"/>
        <v>69.04109589</v>
      </c>
      <c r="O13" s="49">
        <f t="shared" si="14"/>
        <v>69.04109589</v>
      </c>
      <c r="P13" s="50">
        <f t="shared" ref="P13:AB13" si="15">($A13/N$5)/365</f>
        <v>69.04109589</v>
      </c>
      <c r="Q13" s="50">
        <f t="shared" si="15"/>
        <v>69.04109589</v>
      </c>
      <c r="R13" s="50">
        <f t="shared" si="15"/>
        <v>69.04109589</v>
      </c>
      <c r="S13" s="50">
        <f t="shared" si="15"/>
        <v>69.04109589</v>
      </c>
      <c r="T13" s="50">
        <f t="shared" si="15"/>
        <v>69.04109589</v>
      </c>
      <c r="U13" s="50">
        <f t="shared" si="15"/>
        <v>69.04109589</v>
      </c>
      <c r="V13" s="50">
        <f t="shared" si="15"/>
        <v>69.04109589</v>
      </c>
      <c r="W13" s="50">
        <f t="shared" si="15"/>
        <v>69.04109589</v>
      </c>
      <c r="X13" s="50">
        <f t="shared" si="15"/>
        <v>69.04109589</v>
      </c>
      <c r="Y13" s="50">
        <f t="shared" si="15"/>
        <v>69.04109589</v>
      </c>
      <c r="Z13" s="50">
        <f t="shared" si="15"/>
        <v>69.04109589</v>
      </c>
      <c r="AA13" s="50">
        <f t="shared" si="15"/>
        <v>69.04109589</v>
      </c>
      <c r="AB13" s="50">
        <f t="shared" si="15"/>
        <v>69.04109589</v>
      </c>
    </row>
    <row r="14" ht="15.75" customHeight="1">
      <c r="A14" s="21">
        <f>'Soul Energy Tiers'!K9</f>
        <v>50800</v>
      </c>
      <c r="B14" s="5"/>
      <c r="C14" s="24" t="s">
        <v>25</v>
      </c>
      <c r="D14" s="46">
        <f t="shared" si="5"/>
        <v>139.1780822</v>
      </c>
      <c r="E14" s="5"/>
      <c r="F14" s="24" t="s">
        <v>25</v>
      </c>
      <c r="G14" s="46">
        <f t="shared" ref="G14:O14" si="16">($A14/G$5)/365</f>
        <v>69.5890411</v>
      </c>
      <c r="H14" s="46">
        <f t="shared" si="16"/>
        <v>46.39269406</v>
      </c>
      <c r="I14" s="46">
        <f t="shared" si="16"/>
        <v>34.79452055</v>
      </c>
      <c r="J14" s="46">
        <f t="shared" si="16"/>
        <v>139.1780822</v>
      </c>
      <c r="K14" s="46">
        <f t="shared" si="16"/>
        <v>69.5890411</v>
      </c>
      <c r="L14" s="46">
        <f t="shared" si="16"/>
        <v>69.5890411</v>
      </c>
      <c r="M14" s="46">
        <f t="shared" si="16"/>
        <v>13.91780822</v>
      </c>
      <c r="N14" s="46">
        <f t="shared" si="16"/>
        <v>139.1780822</v>
      </c>
      <c r="O14" s="49">
        <f t="shared" si="16"/>
        <v>139.1780822</v>
      </c>
      <c r="P14" s="50">
        <f t="shared" ref="P14:AB14" si="17">($A14/N$5)/365</f>
        <v>139.1780822</v>
      </c>
      <c r="Q14" s="50">
        <f t="shared" si="17"/>
        <v>139.1780822</v>
      </c>
      <c r="R14" s="50">
        <f t="shared" si="17"/>
        <v>139.1780822</v>
      </c>
      <c r="S14" s="50">
        <f t="shared" si="17"/>
        <v>139.1780822</v>
      </c>
      <c r="T14" s="50">
        <f t="shared" si="17"/>
        <v>139.1780822</v>
      </c>
      <c r="U14" s="50">
        <f t="shared" si="17"/>
        <v>139.1780822</v>
      </c>
      <c r="V14" s="50">
        <f t="shared" si="17"/>
        <v>139.1780822</v>
      </c>
      <c r="W14" s="50">
        <f t="shared" si="17"/>
        <v>139.1780822</v>
      </c>
      <c r="X14" s="50">
        <f t="shared" si="17"/>
        <v>139.1780822</v>
      </c>
      <c r="Y14" s="50">
        <f t="shared" si="17"/>
        <v>139.1780822</v>
      </c>
      <c r="Z14" s="50">
        <f t="shared" si="17"/>
        <v>139.1780822</v>
      </c>
      <c r="AA14" s="50">
        <f t="shared" si="17"/>
        <v>139.1780822</v>
      </c>
      <c r="AB14" s="50">
        <f t="shared" si="17"/>
        <v>139.1780822</v>
      </c>
    </row>
    <row r="15" ht="15.75" customHeight="1">
      <c r="A15" s="21">
        <f>'Soul Energy Tiers'!K10</f>
        <v>102000</v>
      </c>
      <c r="B15" s="5"/>
      <c r="C15" s="24" t="s">
        <v>27</v>
      </c>
      <c r="D15" s="46">
        <f t="shared" si="5"/>
        <v>279.4520548</v>
      </c>
      <c r="E15" s="5"/>
      <c r="F15" s="24" t="s">
        <v>27</v>
      </c>
      <c r="G15" s="46">
        <f t="shared" ref="G15:O15" si="18">($A15/G$5)/365</f>
        <v>139.7260274</v>
      </c>
      <c r="H15" s="46">
        <f t="shared" si="18"/>
        <v>93.15068493</v>
      </c>
      <c r="I15" s="46">
        <f t="shared" si="18"/>
        <v>69.8630137</v>
      </c>
      <c r="J15" s="46">
        <f t="shared" si="18"/>
        <v>279.4520548</v>
      </c>
      <c r="K15" s="46">
        <f t="shared" si="18"/>
        <v>139.7260274</v>
      </c>
      <c r="L15" s="46">
        <f t="shared" si="18"/>
        <v>139.7260274</v>
      </c>
      <c r="M15" s="46">
        <f t="shared" si="18"/>
        <v>27.94520548</v>
      </c>
      <c r="N15" s="46">
        <f t="shared" si="18"/>
        <v>279.4520548</v>
      </c>
      <c r="O15" s="49">
        <f t="shared" si="18"/>
        <v>279.4520548</v>
      </c>
      <c r="P15" s="50">
        <f t="shared" ref="P15:AB15" si="19">($A15/N$5)/365</f>
        <v>279.4520548</v>
      </c>
      <c r="Q15" s="50">
        <f t="shared" si="19"/>
        <v>279.4520548</v>
      </c>
      <c r="R15" s="50">
        <f t="shared" si="19"/>
        <v>279.4520548</v>
      </c>
      <c r="S15" s="50">
        <f t="shared" si="19"/>
        <v>279.4520548</v>
      </c>
      <c r="T15" s="50">
        <f t="shared" si="19"/>
        <v>279.4520548</v>
      </c>
      <c r="U15" s="50">
        <f t="shared" si="19"/>
        <v>279.4520548</v>
      </c>
      <c r="V15" s="50">
        <f t="shared" si="19"/>
        <v>279.4520548</v>
      </c>
      <c r="W15" s="50">
        <f t="shared" si="19"/>
        <v>279.4520548</v>
      </c>
      <c r="X15" s="50">
        <f t="shared" si="19"/>
        <v>279.4520548</v>
      </c>
      <c r="Y15" s="50">
        <f t="shared" si="19"/>
        <v>279.4520548</v>
      </c>
      <c r="Z15" s="50">
        <f t="shared" si="19"/>
        <v>279.4520548</v>
      </c>
      <c r="AA15" s="50">
        <f t="shared" si="19"/>
        <v>279.4520548</v>
      </c>
      <c r="AB15" s="50">
        <f t="shared" si="19"/>
        <v>279.4520548</v>
      </c>
    </row>
    <row r="16" ht="15.75" customHeight="1">
      <c r="A16" s="21">
        <f>'Soul Energy Tiers'!K11</f>
        <v>204400</v>
      </c>
      <c r="B16" s="5"/>
      <c r="C16" s="24" t="s">
        <v>29</v>
      </c>
      <c r="D16" s="46">
        <f t="shared" si="5"/>
        <v>560</v>
      </c>
      <c r="E16" s="5"/>
      <c r="F16" s="24" t="s">
        <v>29</v>
      </c>
      <c r="G16" s="46">
        <f t="shared" ref="G16:O16" si="20">($A16/G$5)/365</f>
        <v>280</v>
      </c>
      <c r="H16" s="46">
        <f t="shared" si="20"/>
        <v>186.6666667</v>
      </c>
      <c r="I16" s="46">
        <f t="shared" si="20"/>
        <v>140</v>
      </c>
      <c r="J16" s="46">
        <f t="shared" si="20"/>
        <v>560</v>
      </c>
      <c r="K16" s="46">
        <f t="shared" si="20"/>
        <v>280</v>
      </c>
      <c r="L16" s="46">
        <f t="shared" si="20"/>
        <v>280</v>
      </c>
      <c r="M16" s="46">
        <f t="shared" si="20"/>
        <v>56</v>
      </c>
      <c r="N16" s="46">
        <f t="shared" si="20"/>
        <v>560</v>
      </c>
      <c r="O16" s="49">
        <f t="shared" si="20"/>
        <v>560</v>
      </c>
      <c r="P16" s="50">
        <f t="shared" ref="P16:AB16" si="21">($A16/N$5)/365</f>
        <v>560</v>
      </c>
      <c r="Q16" s="50">
        <f t="shared" si="21"/>
        <v>560</v>
      </c>
      <c r="R16" s="50">
        <f t="shared" si="21"/>
        <v>560</v>
      </c>
      <c r="S16" s="50">
        <f t="shared" si="21"/>
        <v>560</v>
      </c>
      <c r="T16" s="50">
        <f t="shared" si="21"/>
        <v>560</v>
      </c>
      <c r="U16" s="50">
        <f t="shared" si="21"/>
        <v>560</v>
      </c>
      <c r="V16" s="50">
        <f t="shared" si="21"/>
        <v>560</v>
      </c>
      <c r="W16" s="50">
        <f t="shared" si="21"/>
        <v>560</v>
      </c>
      <c r="X16" s="50">
        <f t="shared" si="21"/>
        <v>560</v>
      </c>
      <c r="Y16" s="50">
        <f t="shared" si="21"/>
        <v>560</v>
      </c>
      <c r="Z16" s="50">
        <f t="shared" si="21"/>
        <v>560</v>
      </c>
      <c r="AA16" s="50">
        <f t="shared" si="21"/>
        <v>560</v>
      </c>
      <c r="AB16" s="50">
        <f t="shared" si="21"/>
        <v>560</v>
      </c>
    </row>
    <row r="17" ht="15.75" customHeight="1">
      <c r="A17" s="21">
        <f>'Soul Energy Tiers'!K12</f>
        <v>409200</v>
      </c>
      <c r="B17" s="5"/>
      <c r="C17" s="24" t="s">
        <v>31</v>
      </c>
      <c r="D17" s="46">
        <f t="shared" si="5"/>
        <v>1121.09589</v>
      </c>
      <c r="E17" s="5"/>
      <c r="F17" s="24" t="s">
        <v>31</v>
      </c>
      <c r="G17" s="46">
        <f t="shared" ref="G17:O17" si="22">($A17/G$5)/365</f>
        <v>560.5479452</v>
      </c>
      <c r="H17" s="46">
        <f t="shared" si="22"/>
        <v>373.6986301</v>
      </c>
      <c r="I17" s="46">
        <f t="shared" si="22"/>
        <v>280.2739726</v>
      </c>
      <c r="J17" s="46">
        <f t="shared" si="22"/>
        <v>1121.09589</v>
      </c>
      <c r="K17" s="46">
        <f t="shared" si="22"/>
        <v>560.5479452</v>
      </c>
      <c r="L17" s="46">
        <f t="shared" si="22"/>
        <v>560.5479452</v>
      </c>
      <c r="M17" s="46">
        <f t="shared" si="22"/>
        <v>112.109589</v>
      </c>
      <c r="N17" s="46">
        <f t="shared" si="22"/>
        <v>1121.09589</v>
      </c>
      <c r="O17" s="49">
        <f t="shared" si="22"/>
        <v>1121.09589</v>
      </c>
      <c r="P17" s="50">
        <f t="shared" ref="P17:AB17" si="23">($A17/N$5)/365</f>
        <v>1121.09589</v>
      </c>
      <c r="Q17" s="50">
        <f t="shared" si="23"/>
        <v>1121.09589</v>
      </c>
      <c r="R17" s="50">
        <f t="shared" si="23"/>
        <v>1121.09589</v>
      </c>
      <c r="S17" s="50">
        <f t="shared" si="23"/>
        <v>1121.09589</v>
      </c>
      <c r="T17" s="50">
        <f t="shared" si="23"/>
        <v>1121.09589</v>
      </c>
      <c r="U17" s="50">
        <f t="shared" si="23"/>
        <v>1121.09589</v>
      </c>
      <c r="V17" s="50">
        <f t="shared" si="23"/>
        <v>1121.09589</v>
      </c>
      <c r="W17" s="50">
        <f t="shared" si="23"/>
        <v>1121.09589</v>
      </c>
      <c r="X17" s="50">
        <f t="shared" si="23"/>
        <v>1121.09589</v>
      </c>
      <c r="Y17" s="50">
        <f t="shared" si="23"/>
        <v>1121.09589</v>
      </c>
      <c r="Z17" s="50">
        <f t="shared" si="23"/>
        <v>1121.09589</v>
      </c>
      <c r="AA17" s="50">
        <f t="shared" si="23"/>
        <v>1121.09589</v>
      </c>
      <c r="AB17" s="50">
        <f t="shared" si="23"/>
        <v>1121.09589</v>
      </c>
    </row>
    <row r="18" ht="15.75" customHeight="1">
      <c r="A18" s="21">
        <f>'Soul Energy Tiers'!K13</f>
        <v>818800</v>
      </c>
      <c r="B18" s="5"/>
      <c r="C18" s="24" t="s">
        <v>33</v>
      </c>
      <c r="D18" s="46">
        <f t="shared" si="5"/>
        <v>2243.287671</v>
      </c>
      <c r="E18" s="5"/>
      <c r="F18" s="24" t="s">
        <v>33</v>
      </c>
      <c r="G18" s="46">
        <f t="shared" ref="G18:O18" si="24">($A18/G$5)/365</f>
        <v>1121.643836</v>
      </c>
      <c r="H18" s="46">
        <f t="shared" si="24"/>
        <v>747.7625571</v>
      </c>
      <c r="I18" s="46">
        <f t="shared" si="24"/>
        <v>560.8219178</v>
      </c>
      <c r="J18" s="46">
        <f t="shared" si="24"/>
        <v>2243.287671</v>
      </c>
      <c r="K18" s="46">
        <f t="shared" si="24"/>
        <v>1121.643836</v>
      </c>
      <c r="L18" s="46">
        <f t="shared" si="24"/>
        <v>1121.643836</v>
      </c>
      <c r="M18" s="46">
        <f t="shared" si="24"/>
        <v>224.3287671</v>
      </c>
      <c r="N18" s="46">
        <f t="shared" si="24"/>
        <v>2243.287671</v>
      </c>
      <c r="O18" s="49">
        <f t="shared" si="24"/>
        <v>2243.287671</v>
      </c>
      <c r="P18" s="50">
        <f t="shared" ref="P18:AB18" si="25">($A18/N$5)/365</f>
        <v>2243.287671</v>
      </c>
      <c r="Q18" s="50">
        <f t="shared" si="25"/>
        <v>2243.287671</v>
      </c>
      <c r="R18" s="50">
        <f t="shared" si="25"/>
        <v>2243.287671</v>
      </c>
      <c r="S18" s="50">
        <f t="shared" si="25"/>
        <v>2243.287671</v>
      </c>
      <c r="T18" s="50">
        <f t="shared" si="25"/>
        <v>2243.287671</v>
      </c>
      <c r="U18" s="50">
        <f t="shared" si="25"/>
        <v>2243.287671</v>
      </c>
      <c r="V18" s="50">
        <f t="shared" si="25"/>
        <v>2243.287671</v>
      </c>
      <c r="W18" s="50">
        <f t="shared" si="25"/>
        <v>2243.287671</v>
      </c>
      <c r="X18" s="50">
        <f t="shared" si="25"/>
        <v>2243.287671</v>
      </c>
      <c r="Y18" s="50">
        <f t="shared" si="25"/>
        <v>2243.287671</v>
      </c>
      <c r="Z18" s="50">
        <f t="shared" si="25"/>
        <v>2243.287671</v>
      </c>
      <c r="AA18" s="50">
        <f t="shared" si="25"/>
        <v>2243.287671</v>
      </c>
      <c r="AB18" s="50">
        <f t="shared" si="25"/>
        <v>2243.287671</v>
      </c>
    </row>
    <row r="19" ht="15.75" customHeight="1">
      <c r="A19" s="21">
        <f>'Soul Energy Tiers'!K14</f>
        <v>1638000</v>
      </c>
      <c r="B19" s="5"/>
      <c r="C19" s="24" t="s">
        <v>35</v>
      </c>
      <c r="D19" s="46">
        <f t="shared" si="5"/>
        <v>4487.671233</v>
      </c>
      <c r="E19" s="5"/>
      <c r="F19" s="24" t="s">
        <v>35</v>
      </c>
      <c r="G19" s="46">
        <f t="shared" ref="G19:O19" si="26">($A19/G$5)/365</f>
        <v>2243.835616</v>
      </c>
      <c r="H19" s="46">
        <f t="shared" si="26"/>
        <v>1495.890411</v>
      </c>
      <c r="I19" s="46">
        <f t="shared" si="26"/>
        <v>1121.917808</v>
      </c>
      <c r="J19" s="46">
        <f t="shared" si="26"/>
        <v>4487.671233</v>
      </c>
      <c r="K19" s="46">
        <f t="shared" si="26"/>
        <v>2243.835616</v>
      </c>
      <c r="L19" s="46">
        <f t="shared" si="26"/>
        <v>2243.835616</v>
      </c>
      <c r="M19" s="46">
        <f t="shared" si="26"/>
        <v>448.7671233</v>
      </c>
      <c r="N19" s="46">
        <f t="shared" si="26"/>
        <v>4487.671233</v>
      </c>
      <c r="O19" s="49">
        <f t="shared" si="26"/>
        <v>4487.671233</v>
      </c>
      <c r="P19" s="50">
        <f t="shared" ref="P19:AB19" si="27">($A19/N$5)/365</f>
        <v>4487.671233</v>
      </c>
      <c r="Q19" s="50">
        <f t="shared" si="27"/>
        <v>4487.671233</v>
      </c>
      <c r="R19" s="50">
        <f t="shared" si="27"/>
        <v>4487.671233</v>
      </c>
      <c r="S19" s="50">
        <f t="shared" si="27"/>
        <v>4487.671233</v>
      </c>
      <c r="T19" s="50">
        <f t="shared" si="27"/>
        <v>4487.671233</v>
      </c>
      <c r="U19" s="50">
        <f t="shared" si="27"/>
        <v>4487.671233</v>
      </c>
      <c r="V19" s="50">
        <f t="shared" si="27"/>
        <v>4487.671233</v>
      </c>
      <c r="W19" s="50">
        <f t="shared" si="27"/>
        <v>4487.671233</v>
      </c>
      <c r="X19" s="50">
        <f t="shared" si="27"/>
        <v>4487.671233</v>
      </c>
      <c r="Y19" s="50">
        <f t="shared" si="27"/>
        <v>4487.671233</v>
      </c>
      <c r="Z19" s="50">
        <f t="shared" si="27"/>
        <v>4487.671233</v>
      </c>
      <c r="AA19" s="50">
        <f t="shared" si="27"/>
        <v>4487.671233</v>
      </c>
      <c r="AB19" s="50">
        <f t="shared" si="27"/>
        <v>4487.671233</v>
      </c>
    </row>
    <row r="20" ht="15.75" customHeight="1">
      <c r="A20" s="21">
        <f>'Soul Energy Tiers'!K15</f>
        <v>3276400</v>
      </c>
      <c r="B20" s="5"/>
      <c r="C20" s="24" t="s">
        <v>37</v>
      </c>
      <c r="D20" s="46">
        <f t="shared" si="5"/>
        <v>8976.438356</v>
      </c>
      <c r="E20" s="5"/>
      <c r="F20" s="24" t="s">
        <v>37</v>
      </c>
      <c r="G20" s="46">
        <f t="shared" ref="G20:O20" si="28">($A20/G$5)/365</f>
        <v>4488.219178</v>
      </c>
      <c r="H20" s="46">
        <f t="shared" si="28"/>
        <v>2992.146119</v>
      </c>
      <c r="I20" s="46">
        <f t="shared" si="28"/>
        <v>2244.109589</v>
      </c>
      <c r="J20" s="46">
        <f t="shared" si="28"/>
        <v>8976.438356</v>
      </c>
      <c r="K20" s="46">
        <f t="shared" si="28"/>
        <v>4488.219178</v>
      </c>
      <c r="L20" s="46">
        <f t="shared" si="28"/>
        <v>4488.219178</v>
      </c>
      <c r="M20" s="46">
        <f t="shared" si="28"/>
        <v>897.6438356</v>
      </c>
      <c r="N20" s="46">
        <f t="shared" si="28"/>
        <v>8976.438356</v>
      </c>
      <c r="O20" s="49">
        <f t="shared" si="28"/>
        <v>8976.438356</v>
      </c>
      <c r="P20" s="50">
        <f t="shared" ref="P20:AB20" si="29">($A20/N$5)/365</f>
        <v>8976.438356</v>
      </c>
      <c r="Q20" s="50">
        <f t="shared" si="29"/>
        <v>8976.438356</v>
      </c>
      <c r="R20" s="50">
        <f t="shared" si="29"/>
        <v>8976.438356</v>
      </c>
      <c r="S20" s="50">
        <f t="shared" si="29"/>
        <v>8976.438356</v>
      </c>
      <c r="T20" s="50">
        <f t="shared" si="29"/>
        <v>8976.438356</v>
      </c>
      <c r="U20" s="50">
        <f t="shared" si="29"/>
        <v>8976.438356</v>
      </c>
      <c r="V20" s="50">
        <f t="shared" si="29"/>
        <v>8976.438356</v>
      </c>
      <c r="W20" s="50">
        <f t="shared" si="29"/>
        <v>8976.438356</v>
      </c>
      <c r="X20" s="50">
        <f t="shared" si="29"/>
        <v>8976.438356</v>
      </c>
      <c r="Y20" s="50">
        <f t="shared" si="29"/>
        <v>8976.438356</v>
      </c>
      <c r="Z20" s="50">
        <f t="shared" si="29"/>
        <v>8976.438356</v>
      </c>
      <c r="AA20" s="50">
        <f t="shared" si="29"/>
        <v>8976.438356</v>
      </c>
      <c r="AB20" s="50">
        <f t="shared" si="29"/>
        <v>8976.438356</v>
      </c>
    </row>
    <row r="21" ht="15.75" customHeight="1">
      <c r="A21" s="21">
        <f>'Soul Energy Tiers'!K16</f>
        <v>6553200</v>
      </c>
      <c r="B21" s="5"/>
      <c r="C21" s="24" t="s">
        <v>39</v>
      </c>
      <c r="D21" s="46">
        <f t="shared" si="5"/>
        <v>17953.9726</v>
      </c>
      <c r="E21" s="5"/>
      <c r="F21" s="24" t="s">
        <v>39</v>
      </c>
      <c r="G21" s="46">
        <f t="shared" ref="G21:O21" si="30">($A21/G$5)/365</f>
        <v>8976.986301</v>
      </c>
      <c r="H21" s="46">
        <f t="shared" si="30"/>
        <v>5984.657534</v>
      </c>
      <c r="I21" s="46">
        <f t="shared" si="30"/>
        <v>4488.493151</v>
      </c>
      <c r="J21" s="46">
        <f t="shared" si="30"/>
        <v>17953.9726</v>
      </c>
      <c r="K21" s="46">
        <f t="shared" si="30"/>
        <v>8976.986301</v>
      </c>
      <c r="L21" s="46">
        <f t="shared" si="30"/>
        <v>8976.986301</v>
      </c>
      <c r="M21" s="46">
        <f t="shared" si="30"/>
        <v>1795.39726</v>
      </c>
      <c r="N21" s="46">
        <f t="shared" si="30"/>
        <v>17953.9726</v>
      </c>
      <c r="O21" s="49">
        <f t="shared" si="30"/>
        <v>17953.9726</v>
      </c>
      <c r="P21" s="50">
        <f t="shared" ref="P21:AB21" si="31">($A21/N$5)/365</f>
        <v>17953.9726</v>
      </c>
      <c r="Q21" s="50">
        <f t="shared" si="31"/>
        <v>17953.9726</v>
      </c>
      <c r="R21" s="50">
        <f t="shared" si="31"/>
        <v>17953.9726</v>
      </c>
      <c r="S21" s="50">
        <f t="shared" si="31"/>
        <v>17953.9726</v>
      </c>
      <c r="T21" s="50">
        <f t="shared" si="31"/>
        <v>17953.9726</v>
      </c>
      <c r="U21" s="50">
        <f t="shared" si="31"/>
        <v>17953.9726</v>
      </c>
      <c r="V21" s="50">
        <f t="shared" si="31"/>
        <v>17953.9726</v>
      </c>
      <c r="W21" s="50">
        <f t="shared" si="31"/>
        <v>17953.9726</v>
      </c>
      <c r="X21" s="50">
        <f t="shared" si="31"/>
        <v>17953.9726</v>
      </c>
      <c r="Y21" s="50">
        <f t="shared" si="31"/>
        <v>17953.9726</v>
      </c>
      <c r="Z21" s="50">
        <f t="shared" si="31"/>
        <v>17953.9726</v>
      </c>
      <c r="AA21" s="50">
        <f t="shared" si="31"/>
        <v>17953.9726</v>
      </c>
      <c r="AB21" s="50">
        <f t="shared" si="31"/>
        <v>17953.9726</v>
      </c>
    </row>
    <row r="22" ht="15.75" customHeight="1">
      <c r="A22" s="21">
        <f>'Soul Energy Tiers'!K17</f>
        <v>13106800</v>
      </c>
      <c r="B22" s="5"/>
      <c r="C22" s="24" t="s">
        <v>41</v>
      </c>
      <c r="D22" s="46">
        <f t="shared" si="5"/>
        <v>35909.0411</v>
      </c>
      <c r="E22" s="5"/>
      <c r="F22" s="24" t="s">
        <v>41</v>
      </c>
      <c r="G22" s="46">
        <f t="shared" ref="G22:O22" si="32">($A22/G$5)/365</f>
        <v>17954.52055</v>
      </c>
      <c r="H22" s="46">
        <f t="shared" si="32"/>
        <v>11969.68037</v>
      </c>
      <c r="I22" s="46">
        <f t="shared" si="32"/>
        <v>8977.260274</v>
      </c>
      <c r="J22" s="46">
        <f t="shared" si="32"/>
        <v>35909.0411</v>
      </c>
      <c r="K22" s="46">
        <f t="shared" si="32"/>
        <v>17954.52055</v>
      </c>
      <c r="L22" s="46">
        <f t="shared" si="32"/>
        <v>17954.52055</v>
      </c>
      <c r="M22" s="46">
        <f t="shared" si="32"/>
        <v>3590.90411</v>
      </c>
      <c r="N22" s="46">
        <f t="shared" si="32"/>
        <v>35909.0411</v>
      </c>
      <c r="O22" s="49">
        <f t="shared" si="32"/>
        <v>35909.0411</v>
      </c>
      <c r="P22" s="50">
        <f t="shared" ref="P22:AB22" si="33">($A22/N$5)/365</f>
        <v>35909.0411</v>
      </c>
      <c r="Q22" s="50">
        <f t="shared" si="33"/>
        <v>35909.0411</v>
      </c>
      <c r="R22" s="50">
        <f t="shared" si="33"/>
        <v>35909.0411</v>
      </c>
      <c r="S22" s="50">
        <f t="shared" si="33"/>
        <v>35909.0411</v>
      </c>
      <c r="T22" s="50">
        <f t="shared" si="33"/>
        <v>35909.0411</v>
      </c>
      <c r="U22" s="50">
        <f t="shared" si="33"/>
        <v>35909.0411</v>
      </c>
      <c r="V22" s="50">
        <f t="shared" si="33"/>
        <v>35909.0411</v>
      </c>
      <c r="W22" s="50">
        <f t="shared" si="33"/>
        <v>35909.0411</v>
      </c>
      <c r="X22" s="50">
        <f t="shared" si="33"/>
        <v>35909.0411</v>
      </c>
      <c r="Y22" s="50">
        <f t="shared" si="33"/>
        <v>35909.0411</v>
      </c>
      <c r="Z22" s="50">
        <f t="shared" si="33"/>
        <v>35909.0411</v>
      </c>
      <c r="AA22" s="50">
        <f t="shared" si="33"/>
        <v>35909.0411</v>
      </c>
      <c r="AB22" s="50">
        <f t="shared" si="33"/>
        <v>35909.0411</v>
      </c>
    </row>
    <row r="23" ht="15.75" customHeight="1">
      <c r="A23" s="21">
        <f>'Soul Energy Tiers'!K18</f>
        <v>26214000</v>
      </c>
      <c r="B23" s="5"/>
      <c r="C23" s="24" t="s">
        <v>43</v>
      </c>
      <c r="D23" s="46">
        <f t="shared" si="5"/>
        <v>71819.17808</v>
      </c>
      <c r="E23" s="5"/>
      <c r="F23" s="24" t="s">
        <v>43</v>
      </c>
      <c r="G23" s="46">
        <f t="shared" ref="G23:O23" si="34">($A23/G$5)/365</f>
        <v>35909.58904</v>
      </c>
      <c r="H23" s="46">
        <f t="shared" si="34"/>
        <v>23939.72603</v>
      </c>
      <c r="I23" s="46">
        <f t="shared" si="34"/>
        <v>17954.79452</v>
      </c>
      <c r="J23" s="46">
        <f t="shared" si="34"/>
        <v>71819.17808</v>
      </c>
      <c r="K23" s="46">
        <f t="shared" si="34"/>
        <v>35909.58904</v>
      </c>
      <c r="L23" s="46">
        <f t="shared" si="34"/>
        <v>35909.58904</v>
      </c>
      <c r="M23" s="46">
        <f t="shared" si="34"/>
        <v>7181.917808</v>
      </c>
      <c r="N23" s="46">
        <f t="shared" si="34"/>
        <v>71819.17808</v>
      </c>
      <c r="O23" s="49">
        <f t="shared" si="34"/>
        <v>71819.17808</v>
      </c>
      <c r="P23" s="50">
        <f t="shared" ref="P23:AB23" si="35">($A23/N$5)/365</f>
        <v>71819.17808</v>
      </c>
      <c r="Q23" s="50">
        <f t="shared" si="35"/>
        <v>71819.17808</v>
      </c>
      <c r="R23" s="50">
        <f t="shared" si="35"/>
        <v>71819.17808</v>
      </c>
      <c r="S23" s="50">
        <f t="shared" si="35"/>
        <v>71819.17808</v>
      </c>
      <c r="T23" s="50">
        <f t="shared" si="35"/>
        <v>71819.17808</v>
      </c>
      <c r="U23" s="50">
        <f t="shared" si="35"/>
        <v>71819.17808</v>
      </c>
      <c r="V23" s="50">
        <f t="shared" si="35"/>
        <v>71819.17808</v>
      </c>
      <c r="W23" s="50">
        <f t="shared" si="35"/>
        <v>71819.17808</v>
      </c>
      <c r="X23" s="50">
        <f t="shared" si="35"/>
        <v>71819.17808</v>
      </c>
      <c r="Y23" s="50">
        <f t="shared" si="35"/>
        <v>71819.17808</v>
      </c>
      <c r="Z23" s="50">
        <f t="shared" si="35"/>
        <v>71819.17808</v>
      </c>
      <c r="AA23" s="50">
        <f t="shared" si="35"/>
        <v>71819.17808</v>
      </c>
      <c r="AB23" s="50">
        <f t="shared" si="35"/>
        <v>71819.17808</v>
      </c>
    </row>
    <row r="24" ht="15.75" customHeight="1">
      <c r="A24" s="21">
        <f>'Soul Energy Tiers'!K19</f>
        <v>52428400</v>
      </c>
      <c r="B24" s="5"/>
      <c r="C24" s="24" t="s">
        <v>45</v>
      </c>
      <c r="D24" s="46">
        <f t="shared" si="5"/>
        <v>143639.4521</v>
      </c>
      <c r="E24" s="5"/>
      <c r="F24" s="24" t="s">
        <v>45</v>
      </c>
      <c r="G24" s="46">
        <f t="shared" ref="G24:O24" si="36">($A24/G$5)/365</f>
        <v>71819.72603</v>
      </c>
      <c r="H24" s="46">
        <f t="shared" si="36"/>
        <v>47879.81735</v>
      </c>
      <c r="I24" s="46">
        <f t="shared" si="36"/>
        <v>35909.86301</v>
      </c>
      <c r="J24" s="46">
        <f t="shared" si="36"/>
        <v>143639.4521</v>
      </c>
      <c r="K24" s="46">
        <f t="shared" si="36"/>
        <v>71819.72603</v>
      </c>
      <c r="L24" s="46">
        <f t="shared" si="36"/>
        <v>71819.72603</v>
      </c>
      <c r="M24" s="46">
        <f t="shared" si="36"/>
        <v>14363.94521</v>
      </c>
      <c r="N24" s="46">
        <f t="shared" si="36"/>
        <v>143639.4521</v>
      </c>
      <c r="O24" s="49">
        <f t="shared" si="36"/>
        <v>143639.4521</v>
      </c>
      <c r="P24" s="50">
        <f t="shared" ref="P24:AB24" si="37">($A24/N$5)/365</f>
        <v>143639.4521</v>
      </c>
      <c r="Q24" s="50">
        <f t="shared" si="37"/>
        <v>143639.4521</v>
      </c>
      <c r="R24" s="50">
        <f t="shared" si="37"/>
        <v>143639.4521</v>
      </c>
      <c r="S24" s="50">
        <f t="shared" si="37"/>
        <v>143639.4521</v>
      </c>
      <c r="T24" s="50">
        <f t="shared" si="37"/>
        <v>143639.4521</v>
      </c>
      <c r="U24" s="50">
        <f t="shared" si="37"/>
        <v>143639.4521</v>
      </c>
      <c r="V24" s="50">
        <f t="shared" si="37"/>
        <v>143639.4521</v>
      </c>
      <c r="W24" s="50">
        <f t="shared" si="37"/>
        <v>143639.4521</v>
      </c>
      <c r="X24" s="50">
        <f t="shared" si="37"/>
        <v>143639.4521</v>
      </c>
      <c r="Y24" s="50">
        <f t="shared" si="37"/>
        <v>143639.4521</v>
      </c>
      <c r="Z24" s="50">
        <f t="shared" si="37"/>
        <v>143639.4521</v>
      </c>
      <c r="AA24" s="50">
        <f t="shared" si="37"/>
        <v>143639.4521</v>
      </c>
      <c r="AB24" s="50">
        <f t="shared" si="37"/>
        <v>143639.4521</v>
      </c>
    </row>
    <row r="25" ht="15.75" customHeight="1">
      <c r="A25" s="35"/>
      <c r="B25" s="5"/>
      <c r="C25" s="5"/>
      <c r="E25" s="5"/>
      <c r="F25" s="35"/>
      <c r="G25" s="35" t="s">
        <v>74</v>
      </c>
    </row>
    <row r="26" ht="15.75" customHeight="1">
      <c r="A26" s="52" t="s">
        <v>75</v>
      </c>
      <c r="B26" s="5"/>
      <c r="C26" s="10" t="s">
        <v>3</v>
      </c>
      <c r="D26" s="10" t="s">
        <v>55</v>
      </c>
      <c r="E26" s="5"/>
      <c r="F26" s="53" t="s">
        <v>3</v>
      </c>
      <c r="G26" s="45" t="str">
        <f t="shared" ref="G26:AB26" si="38">G7</f>
        <v>Barina</v>
      </c>
      <c r="H26" s="45" t="str">
        <f t="shared" si="38"/>
        <v>Crocus</v>
      </c>
      <c r="I26" s="45" t="str">
        <f t="shared" si="38"/>
        <v>Fatupari</v>
      </c>
      <c r="J26" s="45" t="str">
        <f t="shared" si="38"/>
        <v>Fihi</v>
      </c>
      <c r="K26" s="45" t="str">
        <f t="shared" si="38"/>
        <v>Sanbi</v>
      </c>
      <c r="L26" s="45" t="str">
        <f t="shared" si="38"/>
        <v>Sayna</v>
      </c>
      <c r="M26" s="45" t="str">
        <f t="shared" si="38"/>
        <v>Wozen</v>
      </c>
      <c r="N26" s="45" t="str">
        <f t="shared" si="38"/>
        <v/>
      </c>
      <c r="O26" s="45" t="str">
        <f t="shared" si="38"/>
        <v/>
      </c>
      <c r="P26" s="45" t="str">
        <f t="shared" si="38"/>
        <v/>
      </c>
      <c r="Q26" s="45" t="str">
        <f t="shared" si="38"/>
        <v/>
      </c>
      <c r="R26" s="45" t="str">
        <f t="shared" si="38"/>
        <v/>
      </c>
      <c r="S26" s="45" t="str">
        <f t="shared" si="38"/>
        <v/>
      </c>
      <c r="T26" s="45" t="str">
        <f t="shared" si="38"/>
        <v/>
      </c>
      <c r="U26" s="45" t="str">
        <f t="shared" si="38"/>
        <v/>
      </c>
      <c r="V26" s="45" t="str">
        <f t="shared" si="38"/>
        <v/>
      </c>
      <c r="W26" s="45" t="str">
        <f t="shared" si="38"/>
        <v/>
      </c>
      <c r="X26" s="45" t="str">
        <f t="shared" si="38"/>
        <v/>
      </c>
      <c r="Y26" s="45" t="str">
        <f t="shared" si="38"/>
        <v/>
      </c>
      <c r="Z26" s="45" t="str">
        <f t="shared" si="38"/>
        <v/>
      </c>
      <c r="AA26" s="45" t="str">
        <f t="shared" si="38"/>
        <v/>
      </c>
      <c r="AB26" s="45" t="str">
        <f t="shared" si="38"/>
        <v/>
      </c>
    </row>
    <row r="27" ht="15.75" customHeight="1">
      <c r="A27" s="21">
        <f>'Soul Energy Tiers'!J3</f>
        <v>20</v>
      </c>
      <c r="B27" s="5"/>
      <c r="C27" s="54" t="s">
        <v>13</v>
      </c>
      <c r="D27" s="23">
        <f t="shared" ref="D27:D43" si="40">$A27/D$5</f>
        <v>20</v>
      </c>
      <c r="E27" s="5"/>
      <c r="F27" s="54" t="s">
        <v>13</v>
      </c>
      <c r="G27" s="32">
        <f t="shared" ref="G27:AB27" si="39">$A27/G$5</f>
        <v>10</v>
      </c>
      <c r="H27" s="32">
        <f t="shared" si="39"/>
        <v>6.666666667</v>
      </c>
      <c r="I27" s="32">
        <f t="shared" si="39"/>
        <v>5</v>
      </c>
      <c r="J27" s="32">
        <f t="shared" si="39"/>
        <v>20</v>
      </c>
      <c r="K27" s="32">
        <f t="shared" si="39"/>
        <v>10</v>
      </c>
      <c r="L27" s="32">
        <f t="shared" si="39"/>
        <v>10</v>
      </c>
      <c r="M27" s="32">
        <f t="shared" si="39"/>
        <v>2</v>
      </c>
      <c r="N27" s="32">
        <f t="shared" si="39"/>
        <v>20</v>
      </c>
      <c r="O27" s="32">
        <f t="shared" si="39"/>
        <v>20</v>
      </c>
      <c r="P27" s="32">
        <f t="shared" si="39"/>
        <v>20</v>
      </c>
      <c r="Q27" s="32">
        <f t="shared" si="39"/>
        <v>20</v>
      </c>
      <c r="R27" s="32">
        <f t="shared" si="39"/>
        <v>20</v>
      </c>
      <c r="S27" s="32">
        <f t="shared" si="39"/>
        <v>20</v>
      </c>
      <c r="T27" s="32">
        <f t="shared" si="39"/>
        <v>20</v>
      </c>
      <c r="U27" s="32">
        <f t="shared" si="39"/>
        <v>20</v>
      </c>
      <c r="V27" s="32">
        <f t="shared" si="39"/>
        <v>20</v>
      </c>
      <c r="W27" s="32">
        <f t="shared" si="39"/>
        <v>20</v>
      </c>
      <c r="X27" s="32">
        <f t="shared" si="39"/>
        <v>20</v>
      </c>
      <c r="Y27" s="32">
        <f t="shared" si="39"/>
        <v>20</v>
      </c>
      <c r="Z27" s="32">
        <f t="shared" si="39"/>
        <v>20</v>
      </c>
      <c r="AA27" s="32">
        <f t="shared" si="39"/>
        <v>20</v>
      </c>
      <c r="AB27" s="32">
        <f t="shared" si="39"/>
        <v>20</v>
      </c>
    </row>
    <row r="28" ht="15.75" customHeight="1">
      <c r="A28" s="21">
        <f>'Soul Energy Tiers'!J4</f>
        <v>40</v>
      </c>
      <c r="B28" s="5"/>
      <c r="C28" s="55" t="s">
        <v>15</v>
      </c>
      <c r="D28" s="32">
        <f t="shared" si="40"/>
        <v>40</v>
      </c>
      <c r="E28" s="5"/>
      <c r="F28" s="55" t="s">
        <v>15</v>
      </c>
      <c r="G28" s="32">
        <f t="shared" ref="G28:AB28" si="41">$A28/G$5</f>
        <v>20</v>
      </c>
      <c r="H28" s="32">
        <f t="shared" si="41"/>
        <v>13.33333333</v>
      </c>
      <c r="I28" s="32">
        <f t="shared" si="41"/>
        <v>10</v>
      </c>
      <c r="J28" s="32">
        <f t="shared" si="41"/>
        <v>40</v>
      </c>
      <c r="K28" s="32">
        <f t="shared" si="41"/>
        <v>20</v>
      </c>
      <c r="L28" s="32">
        <f t="shared" si="41"/>
        <v>20</v>
      </c>
      <c r="M28" s="32">
        <f t="shared" si="41"/>
        <v>4</v>
      </c>
      <c r="N28" s="32">
        <f t="shared" si="41"/>
        <v>40</v>
      </c>
      <c r="O28" s="32">
        <f t="shared" si="41"/>
        <v>40</v>
      </c>
      <c r="P28" s="32">
        <f t="shared" si="41"/>
        <v>40</v>
      </c>
      <c r="Q28" s="32">
        <f t="shared" si="41"/>
        <v>40</v>
      </c>
      <c r="R28" s="32">
        <f t="shared" si="41"/>
        <v>40</v>
      </c>
      <c r="S28" s="32">
        <f t="shared" si="41"/>
        <v>40</v>
      </c>
      <c r="T28" s="32">
        <f t="shared" si="41"/>
        <v>40</v>
      </c>
      <c r="U28" s="32">
        <f t="shared" si="41"/>
        <v>40</v>
      </c>
      <c r="V28" s="32">
        <f t="shared" si="41"/>
        <v>40</v>
      </c>
      <c r="W28" s="32">
        <f t="shared" si="41"/>
        <v>40</v>
      </c>
      <c r="X28" s="32">
        <f t="shared" si="41"/>
        <v>40</v>
      </c>
      <c r="Y28" s="32">
        <f t="shared" si="41"/>
        <v>40</v>
      </c>
      <c r="Z28" s="32">
        <f t="shared" si="41"/>
        <v>40</v>
      </c>
      <c r="AA28" s="32">
        <f t="shared" si="41"/>
        <v>40</v>
      </c>
      <c r="AB28" s="32">
        <f t="shared" si="41"/>
        <v>40</v>
      </c>
    </row>
    <row r="29" ht="15.75" customHeight="1">
      <c r="A29" s="21">
        <f>'Soul Energy Tiers'!J5</f>
        <v>80</v>
      </c>
      <c r="B29" s="5"/>
      <c r="C29" s="55" t="s">
        <v>17</v>
      </c>
      <c r="D29" s="32">
        <f t="shared" si="40"/>
        <v>80</v>
      </c>
      <c r="E29" s="5"/>
      <c r="F29" s="55" t="s">
        <v>17</v>
      </c>
      <c r="G29" s="32">
        <f t="shared" ref="G29:AB29" si="42">$A29/G$5</f>
        <v>40</v>
      </c>
      <c r="H29" s="32">
        <f t="shared" si="42"/>
        <v>26.66666667</v>
      </c>
      <c r="I29" s="32">
        <f t="shared" si="42"/>
        <v>20</v>
      </c>
      <c r="J29" s="32">
        <f t="shared" si="42"/>
        <v>80</v>
      </c>
      <c r="K29" s="32">
        <f t="shared" si="42"/>
        <v>40</v>
      </c>
      <c r="L29" s="32">
        <f t="shared" si="42"/>
        <v>40</v>
      </c>
      <c r="M29" s="32">
        <f t="shared" si="42"/>
        <v>8</v>
      </c>
      <c r="N29" s="32">
        <f t="shared" si="42"/>
        <v>80</v>
      </c>
      <c r="O29" s="32">
        <f t="shared" si="42"/>
        <v>80</v>
      </c>
      <c r="P29" s="32">
        <f t="shared" si="42"/>
        <v>80</v>
      </c>
      <c r="Q29" s="32">
        <f t="shared" si="42"/>
        <v>80</v>
      </c>
      <c r="R29" s="32">
        <f t="shared" si="42"/>
        <v>80</v>
      </c>
      <c r="S29" s="32">
        <f t="shared" si="42"/>
        <v>80</v>
      </c>
      <c r="T29" s="32">
        <f t="shared" si="42"/>
        <v>80</v>
      </c>
      <c r="U29" s="32">
        <f t="shared" si="42"/>
        <v>80</v>
      </c>
      <c r="V29" s="32">
        <f t="shared" si="42"/>
        <v>80</v>
      </c>
      <c r="W29" s="32">
        <f t="shared" si="42"/>
        <v>80</v>
      </c>
      <c r="X29" s="32">
        <f t="shared" si="42"/>
        <v>80</v>
      </c>
      <c r="Y29" s="32">
        <f t="shared" si="42"/>
        <v>80</v>
      </c>
      <c r="Z29" s="32">
        <f t="shared" si="42"/>
        <v>80</v>
      </c>
      <c r="AA29" s="32">
        <f t="shared" si="42"/>
        <v>80</v>
      </c>
      <c r="AB29" s="32">
        <f t="shared" si="42"/>
        <v>80</v>
      </c>
    </row>
    <row r="30" ht="15.75" customHeight="1">
      <c r="A30" s="21">
        <f>'Soul Energy Tiers'!J6</f>
        <v>160</v>
      </c>
      <c r="B30" s="5"/>
      <c r="C30" s="55" t="s">
        <v>19</v>
      </c>
      <c r="D30" s="32">
        <f t="shared" si="40"/>
        <v>160</v>
      </c>
      <c r="E30" s="5"/>
      <c r="F30" s="55" t="s">
        <v>19</v>
      </c>
      <c r="G30" s="32">
        <f t="shared" ref="G30:AB30" si="43">$A30/G$5</f>
        <v>80</v>
      </c>
      <c r="H30" s="32">
        <f t="shared" si="43"/>
        <v>53.33333333</v>
      </c>
      <c r="I30" s="32">
        <f t="shared" si="43"/>
        <v>40</v>
      </c>
      <c r="J30" s="32">
        <f t="shared" si="43"/>
        <v>160</v>
      </c>
      <c r="K30" s="32">
        <f t="shared" si="43"/>
        <v>80</v>
      </c>
      <c r="L30" s="32">
        <f t="shared" si="43"/>
        <v>80</v>
      </c>
      <c r="M30" s="32">
        <f t="shared" si="43"/>
        <v>16</v>
      </c>
      <c r="N30" s="32">
        <f t="shared" si="43"/>
        <v>160</v>
      </c>
      <c r="O30" s="32">
        <f t="shared" si="43"/>
        <v>160</v>
      </c>
      <c r="P30" s="32">
        <f t="shared" si="43"/>
        <v>160</v>
      </c>
      <c r="Q30" s="32">
        <f t="shared" si="43"/>
        <v>160</v>
      </c>
      <c r="R30" s="32">
        <f t="shared" si="43"/>
        <v>160</v>
      </c>
      <c r="S30" s="32">
        <f t="shared" si="43"/>
        <v>160</v>
      </c>
      <c r="T30" s="32">
        <f t="shared" si="43"/>
        <v>160</v>
      </c>
      <c r="U30" s="32">
        <f t="shared" si="43"/>
        <v>160</v>
      </c>
      <c r="V30" s="32">
        <f t="shared" si="43"/>
        <v>160</v>
      </c>
      <c r="W30" s="32">
        <f t="shared" si="43"/>
        <v>160</v>
      </c>
      <c r="X30" s="32">
        <f t="shared" si="43"/>
        <v>160</v>
      </c>
      <c r="Y30" s="32">
        <f t="shared" si="43"/>
        <v>160</v>
      </c>
      <c r="Z30" s="32">
        <f t="shared" si="43"/>
        <v>160</v>
      </c>
      <c r="AA30" s="32">
        <f t="shared" si="43"/>
        <v>160</v>
      </c>
      <c r="AB30" s="32">
        <f t="shared" si="43"/>
        <v>160</v>
      </c>
    </row>
    <row r="31" ht="15.75" customHeight="1">
      <c r="A31" s="21">
        <f>'Soul Energy Tiers'!J7</f>
        <v>320</v>
      </c>
      <c r="B31" s="5"/>
      <c r="C31" s="55" t="s">
        <v>21</v>
      </c>
      <c r="D31" s="32">
        <f t="shared" si="40"/>
        <v>320</v>
      </c>
      <c r="E31" s="5"/>
      <c r="F31" s="55" t="s">
        <v>21</v>
      </c>
      <c r="G31" s="32">
        <f t="shared" ref="G31:AB31" si="44">$A31/G$5</f>
        <v>160</v>
      </c>
      <c r="H31" s="32">
        <f t="shared" si="44"/>
        <v>106.6666667</v>
      </c>
      <c r="I31" s="32">
        <f t="shared" si="44"/>
        <v>80</v>
      </c>
      <c r="J31" s="32">
        <f t="shared" si="44"/>
        <v>320</v>
      </c>
      <c r="K31" s="32">
        <f t="shared" si="44"/>
        <v>160</v>
      </c>
      <c r="L31" s="32">
        <f t="shared" si="44"/>
        <v>160</v>
      </c>
      <c r="M31" s="32">
        <f t="shared" si="44"/>
        <v>32</v>
      </c>
      <c r="N31" s="32">
        <f t="shared" si="44"/>
        <v>320</v>
      </c>
      <c r="O31" s="32">
        <f t="shared" si="44"/>
        <v>320</v>
      </c>
      <c r="P31" s="32">
        <f t="shared" si="44"/>
        <v>320</v>
      </c>
      <c r="Q31" s="32">
        <f t="shared" si="44"/>
        <v>320</v>
      </c>
      <c r="R31" s="32">
        <f t="shared" si="44"/>
        <v>320</v>
      </c>
      <c r="S31" s="32">
        <f t="shared" si="44"/>
        <v>320</v>
      </c>
      <c r="T31" s="32">
        <f t="shared" si="44"/>
        <v>320</v>
      </c>
      <c r="U31" s="32">
        <f t="shared" si="44"/>
        <v>320</v>
      </c>
      <c r="V31" s="32">
        <f t="shared" si="44"/>
        <v>320</v>
      </c>
      <c r="W31" s="32">
        <f t="shared" si="44"/>
        <v>320</v>
      </c>
      <c r="X31" s="32">
        <f t="shared" si="44"/>
        <v>320</v>
      </c>
      <c r="Y31" s="32">
        <f t="shared" si="44"/>
        <v>320</v>
      </c>
      <c r="Z31" s="32">
        <f t="shared" si="44"/>
        <v>320</v>
      </c>
      <c r="AA31" s="32">
        <f t="shared" si="44"/>
        <v>320</v>
      </c>
      <c r="AB31" s="32">
        <f t="shared" si="44"/>
        <v>320</v>
      </c>
    </row>
    <row r="32" ht="15.75" customHeight="1">
      <c r="A32" s="21">
        <f>'Soul Energy Tiers'!J8</f>
        <v>640</v>
      </c>
      <c r="B32" s="5"/>
      <c r="C32" s="55" t="s">
        <v>23</v>
      </c>
      <c r="D32" s="32">
        <f t="shared" si="40"/>
        <v>640</v>
      </c>
      <c r="E32" s="5"/>
      <c r="F32" s="55" t="s">
        <v>23</v>
      </c>
      <c r="G32" s="32">
        <f t="shared" ref="G32:AB32" si="45">$A32/G$5</f>
        <v>320</v>
      </c>
      <c r="H32" s="32">
        <f t="shared" si="45"/>
        <v>213.3333333</v>
      </c>
      <c r="I32" s="32">
        <f t="shared" si="45"/>
        <v>160</v>
      </c>
      <c r="J32" s="32">
        <f t="shared" si="45"/>
        <v>640</v>
      </c>
      <c r="K32" s="32">
        <f t="shared" si="45"/>
        <v>320</v>
      </c>
      <c r="L32" s="32">
        <f t="shared" si="45"/>
        <v>320</v>
      </c>
      <c r="M32" s="32">
        <f t="shared" si="45"/>
        <v>64</v>
      </c>
      <c r="N32" s="32">
        <f t="shared" si="45"/>
        <v>640</v>
      </c>
      <c r="O32" s="32">
        <f t="shared" si="45"/>
        <v>640</v>
      </c>
      <c r="P32" s="32">
        <f t="shared" si="45"/>
        <v>640</v>
      </c>
      <c r="Q32" s="32">
        <f t="shared" si="45"/>
        <v>640</v>
      </c>
      <c r="R32" s="32">
        <f t="shared" si="45"/>
        <v>640</v>
      </c>
      <c r="S32" s="32">
        <f t="shared" si="45"/>
        <v>640</v>
      </c>
      <c r="T32" s="32">
        <f t="shared" si="45"/>
        <v>640</v>
      </c>
      <c r="U32" s="32">
        <f t="shared" si="45"/>
        <v>640</v>
      </c>
      <c r="V32" s="32">
        <f t="shared" si="45"/>
        <v>640</v>
      </c>
      <c r="W32" s="32">
        <f t="shared" si="45"/>
        <v>640</v>
      </c>
      <c r="X32" s="32">
        <f t="shared" si="45"/>
        <v>640</v>
      </c>
      <c r="Y32" s="32">
        <f t="shared" si="45"/>
        <v>640</v>
      </c>
      <c r="Z32" s="32">
        <f t="shared" si="45"/>
        <v>640</v>
      </c>
      <c r="AA32" s="32">
        <f t="shared" si="45"/>
        <v>640</v>
      </c>
      <c r="AB32" s="32">
        <f t="shared" si="45"/>
        <v>640</v>
      </c>
    </row>
    <row r="33" ht="15.75" customHeight="1">
      <c r="A33" s="21">
        <f>'Soul Energy Tiers'!J9</f>
        <v>1280</v>
      </c>
      <c r="B33" s="5"/>
      <c r="C33" s="55" t="s">
        <v>25</v>
      </c>
      <c r="D33" s="32">
        <f t="shared" si="40"/>
        <v>1280</v>
      </c>
      <c r="E33" s="5"/>
      <c r="F33" s="55" t="s">
        <v>25</v>
      </c>
      <c r="G33" s="32">
        <f t="shared" ref="G33:AB33" si="46">$A33/G$5</f>
        <v>640</v>
      </c>
      <c r="H33" s="32">
        <f t="shared" si="46"/>
        <v>426.6666667</v>
      </c>
      <c r="I33" s="32">
        <f t="shared" si="46"/>
        <v>320</v>
      </c>
      <c r="J33" s="32">
        <f t="shared" si="46"/>
        <v>1280</v>
      </c>
      <c r="K33" s="32">
        <f t="shared" si="46"/>
        <v>640</v>
      </c>
      <c r="L33" s="32">
        <f t="shared" si="46"/>
        <v>640</v>
      </c>
      <c r="M33" s="32">
        <f t="shared" si="46"/>
        <v>128</v>
      </c>
      <c r="N33" s="32">
        <f t="shared" si="46"/>
        <v>1280</v>
      </c>
      <c r="O33" s="32">
        <f t="shared" si="46"/>
        <v>1280</v>
      </c>
      <c r="P33" s="32">
        <f t="shared" si="46"/>
        <v>1280</v>
      </c>
      <c r="Q33" s="32">
        <f t="shared" si="46"/>
        <v>1280</v>
      </c>
      <c r="R33" s="32">
        <f t="shared" si="46"/>
        <v>1280</v>
      </c>
      <c r="S33" s="32">
        <f t="shared" si="46"/>
        <v>1280</v>
      </c>
      <c r="T33" s="32">
        <f t="shared" si="46"/>
        <v>1280</v>
      </c>
      <c r="U33" s="32">
        <f t="shared" si="46"/>
        <v>1280</v>
      </c>
      <c r="V33" s="32">
        <f t="shared" si="46"/>
        <v>1280</v>
      </c>
      <c r="W33" s="32">
        <f t="shared" si="46"/>
        <v>1280</v>
      </c>
      <c r="X33" s="32">
        <f t="shared" si="46"/>
        <v>1280</v>
      </c>
      <c r="Y33" s="32">
        <f t="shared" si="46"/>
        <v>1280</v>
      </c>
      <c r="Z33" s="32">
        <f t="shared" si="46"/>
        <v>1280</v>
      </c>
      <c r="AA33" s="32">
        <f t="shared" si="46"/>
        <v>1280</v>
      </c>
      <c r="AB33" s="32">
        <f t="shared" si="46"/>
        <v>1280</v>
      </c>
    </row>
    <row r="34" ht="15.75" customHeight="1">
      <c r="A34" s="21">
        <f>'Soul Energy Tiers'!J10</f>
        <v>2560</v>
      </c>
      <c r="B34" s="5"/>
      <c r="C34" s="55" t="s">
        <v>27</v>
      </c>
      <c r="D34" s="32">
        <f t="shared" si="40"/>
        <v>2560</v>
      </c>
      <c r="E34" s="5"/>
      <c r="F34" s="55" t="s">
        <v>27</v>
      </c>
      <c r="G34" s="32">
        <f t="shared" ref="G34:AB34" si="47">$A34/G$5</f>
        <v>1280</v>
      </c>
      <c r="H34" s="32">
        <f t="shared" si="47"/>
        <v>853.3333333</v>
      </c>
      <c r="I34" s="32">
        <f t="shared" si="47"/>
        <v>640</v>
      </c>
      <c r="J34" s="32">
        <f t="shared" si="47"/>
        <v>2560</v>
      </c>
      <c r="K34" s="32">
        <f t="shared" si="47"/>
        <v>1280</v>
      </c>
      <c r="L34" s="32">
        <f t="shared" si="47"/>
        <v>1280</v>
      </c>
      <c r="M34" s="32">
        <f t="shared" si="47"/>
        <v>256</v>
      </c>
      <c r="N34" s="32">
        <f t="shared" si="47"/>
        <v>2560</v>
      </c>
      <c r="O34" s="32">
        <f t="shared" si="47"/>
        <v>2560</v>
      </c>
      <c r="P34" s="32">
        <f t="shared" si="47"/>
        <v>2560</v>
      </c>
      <c r="Q34" s="32">
        <f t="shared" si="47"/>
        <v>2560</v>
      </c>
      <c r="R34" s="32">
        <f t="shared" si="47"/>
        <v>2560</v>
      </c>
      <c r="S34" s="32">
        <f t="shared" si="47"/>
        <v>2560</v>
      </c>
      <c r="T34" s="32">
        <f t="shared" si="47"/>
        <v>2560</v>
      </c>
      <c r="U34" s="32">
        <f t="shared" si="47"/>
        <v>2560</v>
      </c>
      <c r="V34" s="32">
        <f t="shared" si="47"/>
        <v>2560</v>
      </c>
      <c r="W34" s="32">
        <f t="shared" si="47"/>
        <v>2560</v>
      </c>
      <c r="X34" s="32">
        <f t="shared" si="47"/>
        <v>2560</v>
      </c>
      <c r="Y34" s="32">
        <f t="shared" si="47"/>
        <v>2560</v>
      </c>
      <c r="Z34" s="32">
        <f t="shared" si="47"/>
        <v>2560</v>
      </c>
      <c r="AA34" s="32">
        <f t="shared" si="47"/>
        <v>2560</v>
      </c>
      <c r="AB34" s="32">
        <f t="shared" si="47"/>
        <v>2560</v>
      </c>
    </row>
    <row r="35" ht="15.75" customHeight="1">
      <c r="A35" s="21">
        <f>'Soul Energy Tiers'!J11</f>
        <v>5120</v>
      </c>
      <c r="B35" s="5"/>
      <c r="C35" s="55" t="s">
        <v>29</v>
      </c>
      <c r="D35" s="32">
        <f t="shared" si="40"/>
        <v>5120</v>
      </c>
      <c r="E35" s="5"/>
      <c r="F35" s="55" t="s">
        <v>29</v>
      </c>
      <c r="G35" s="32">
        <f t="shared" ref="G35:AB35" si="48">$A35/G$5</f>
        <v>2560</v>
      </c>
      <c r="H35" s="32">
        <f t="shared" si="48"/>
        <v>1706.666667</v>
      </c>
      <c r="I35" s="32">
        <f t="shared" si="48"/>
        <v>1280</v>
      </c>
      <c r="J35" s="32">
        <f t="shared" si="48"/>
        <v>5120</v>
      </c>
      <c r="K35" s="32">
        <f t="shared" si="48"/>
        <v>2560</v>
      </c>
      <c r="L35" s="32">
        <f t="shared" si="48"/>
        <v>2560</v>
      </c>
      <c r="M35" s="32">
        <f t="shared" si="48"/>
        <v>512</v>
      </c>
      <c r="N35" s="32">
        <f t="shared" si="48"/>
        <v>5120</v>
      </c>
      <c r="O35" s="32">
        <f t="shared" si="48"/>
        <v>5120</v>
      </c>
      <c r="P35" s="32">
        <f t="shared" si="48"/>
        <v>5120</v>
      </c>
      <c r="Q35" s="32">
        <f t="shared" si="48"/>
        <v>5120</v>
      </c>
      <c r="R35" s="32">
        <f t="shared" si="48"/>
        <v>5120</v>
      </c>
      <c r="S35" s="32">
        <f t="shared" si="48"/>
        <v>5120</v>
      </c>
      <c r="T35" s="32">
        <f t="shared" si="48"/>
        <v>5120</v>
      </c>
      <c r="U35" s="32">
        <f t="shared" si="48"/>
        <v>5120</v>
      </c>
      <c r="V35" s="32">
        <f t="shared" si="48"/>
        <v>5120</v>
      </c>
      <c r="W35" s="32">
        <f t="shared" si="48"/>
        <v>5120</v>
      </c>
      <c r="X35" s="32">
        <f t="shared" si="48"/>
        <v>5120</v>
      </c>
      <c r="Y35" s="32">
        <f t="shared" si="48"/>
        <v>5120</v>
      </c>
      <c r="Z35" s="32">
        <f t="shared" si="48"/>
        <v>5120</v>
      </c>
      <c r="AA35" s="32">
        <f t="shared" si="48"/>
        <v>5120</v>
      </c>
      <c r="AB35" s="32">
        <f t="shared" si="48"/>
        <v>5120</v>
      </c>
    </row>
    <row r="36" ht="15.75" customHeight="1">
      <c r="A36" s="21">
        <f>'Soul Energy Tiers'!J12</f>
        <v>10240</v>
      </c>
      <c r="B36" s="5"/>
      <c r="C36" s="55" t="s">
        <v>31</v>
      </c>
      <c r="D36" s="32">
        <f t="shared" si="40"/>
        <v>10240</v>
      </c>
      <c r="E36" s="5"/>
      <c r="F36" s="55" t="s">
        <v>31</v>
      </c>
      <c r="G36" s="32">
        <f t="shared" ref="G36:AB36" si="49">$A36/G$5</f>
        <v>5120</v>
      </c>
      <c r="H36" s="32">
        <f t="shared" si="49"/>
        <v>3413.333333</v>
      </c>
      <c r="I36" s="32">
        <f t="shared" si="49"/>
        <v>2560</v>
      </c>
      <c r="J36" s="32">
        <f t="shared" si="49"/>
        <v>10240</v>
      </c>
      <c r="K36" s="32">
        <f t="shared" si="49"/>
        <v>5120</v>
      </c>
      <c r="L36" s="32">
        <f t="shared" si="49"/>
        <v>5120</v>
      </c>
      <c r="M36" s="32">
        <f t="shared" si="49"/>
        <v>1024</v>
      </c>
      <c r="N36" s="32">
        <f t="shared" si="49"/>
        <v>10240</v>
      </c>
      <c r="O36" s="32">
        <f t="shared" si="49"/>
        <v>10240</v>
      </c>
      <c r="P36" s="32">
        <f t="shared" si="49"/>
        <v>10240</v>
      </c>
      <c r="Q36" s="32">
        <f t="shared" si="49"/>
        <v>10240</v>
      </c>
      <c r="R36" s="32">
        <f t="shared" si="49"/>
        <v>10240</v>
      </c>
      <c r="S36" s="32">
        <f t="shared" si="49"/>
        <v>10240</v>
      </c>
      <c r="T36" s="32">
        <f t="shared" si="49"/>
        <v>10240</v>
      </c>
      <c r="U36" s="32">
        <f t="shared" si="49"/>
        <v>10240</v>
      </c>
      <c r="V36" s="32">
        <f t="shared" si="49"/>
        <v>10240</v>
      </c>
      <c r="W36" s="32">
        <f t="shared" si="49"/>
        <v>10240</v>
      </c>
      <c r="X36" s="32">
        <f t="shared" si="49"/>
        <v>10240</v>
      </c>
      <c r="Y36" s="32">
        <f t="shared" si="49"/>
        <v>10240</v>
      </c>
      <c r="Z36" s="32">
        <f t="shared" si="49"/>
        <v>10240</v>
      </c>
      <c r="AA36" s="32">
        <f t="shared" si="49"/>
        <v>10240</v>
      </c>
      <c r="AB36" s="32">
        <f t="shared" si="49"/>
        <v>10240</v>
      </c>
    </row>
    <row r="37" ht="15.75" customHeight="1">
      <c r="A37" s="21">
        <f>'Soul Energy Tiers'!J13</f>
        <v>20480</v>
      </c>
      <c r="B37" s="5"/>
      <c r="C37" s="55" t="s">
        <v>33</v>
      </c>
      <c r="D37" s="32">
        <f t="shared" si="40"/>
        <v>20480</v>
      </c>
      <c r="E37" s="5"/>
      <c r="F37" s="55" t="s">
        <v>33</v>
      </c>
      <c r="G37" s="32">
        <f t="shared" ref="G37:AB37" si="50">$A37/G$5</f>
        <v>10240</v>
      </c>
      <c r="H37" s="32">
        <f t="shared" si="50"/>
        <v>6826.666667</v>
      </c>
      <c r="I37" s="32">
        <f t="shared" si="50"/>
        <v>5120</v>
      </c>
      <c r="J37" s="32">
        <f t="shared" si="50"/>
        <v>20480</v>
      </c>
      <c r="K37" s="32">
        <f t="shared" si="50"/>
        <v>10240</v>
      </c>
      <c r="L37" s="32">
        <f t="shared" si="50"/>
        <v>10240</v>
      </c>
      <c r="M37" s="32">
        <f t="shared" si="50"/>
        <v>2048</v>
      </c>
      <c r="N37" s="32">
        <f t="shared" si="50"/>
        <v>20480</v>
      </c>
      <c r="O37" s="32">
        <f t="shared" si="50"/>
        <v>20480</v>
      </c>
      <c r="P37" s="32">
        <f t="shared" si="50"/>
        <v>20480</v>
      </c>
      <c r="Q37" s="32">
        <f t="shared" si="50"/>
        <v>20480</v>
      </c>
      <c r="R37" s="32">
        <f t="shared" si="50"/>
        <v>20480</v>
      </c>
      <c r="S37" s="32">
        <f t="shared" si="50"/>
        <v>20480</v>
      </c>
      <c r="T37" s="32">
        <f t="shared" si="50"/>
        <v>20480</v>
      </c>
      <c r="U37" s="32">
        <f t="shared" si="50"/>
        <v>20480</v>
      </c>
      <c r="V37" s="32">
        <f t="shared" si="50"/>
        <v>20480</v>
      </c>
      <c r="W37" s="32">
        <f t="shared" si="50"/>
        <v>20480</v>
      </c>
      <c r="X37" s="32">
        <f t="shared" si="50"/>
        <v>20480</v>
      </c>
      <c r="Y37" s="32">
        <f t="shared" si="50"/>
        <v>20480</v>
      </c>
      <c r="Z37" s="32">
        <f t="shared" si="50"/>
        <v>20480</v>
      </c>
      <c r="AA37" s="32">
        <f t="shared" si="50"/>
        <v>20480</v>
      </c>
      <c r="AB37" s="32">
        <f t="shared" si="50"/>
        <v>20480</v>
      </c>
    </row>
    <row r="38" ht="15.75" customHeight="1">
      <c r="A38" s="21">
        <f>'Soul Energy Tiers'!J14</f>
        <v>40960</v>
      </c>
      <c r="B38" s="5"/>
      <c r="C38" s="55" t="s">
        <v>35</v>
      </c>
      <c r="D38" s="32">
        <f t="shared" si="40"/>
        <v>40960</v>
      </c>
      <c r="E38" s="5"/>
      <c r="F38" s="55" t="s">
        <v>35</v>
      </c>
      <c r="G38" s="32">
        <f t="shared" ref="G38:AB38" si="51">$A38/G$5</f>
        <v>20480</v>
      </c>
      <c r="H38" s="32">
        <f t="shared" si="51"/>
        <v>13653.33333</v>
      </c>
      <c r="I38" s="32">
        <f t="shared" si="51"/>
        <v>10240</v>
      </c>
      <c r="J38" s="32">
        <f t="shared" si="51"/>
        <v>40960</v>
      </c>
      <c r="K38" s="32">
        <f t="shared" si="51"/>
        <v>20480</v>
      </c>
      <c r="L38" s="32">
        <f t="shared" si="51"/>
        <v>20480</v>
      </c>
      <c r="M38" s="32">
        <f t="shared" si="51"/>
        <v>4096</v>
      </c>
      <c r="N38" s="32">
        <f t="shared" si="51"/>
        <v>40960</v>
      </c>
      <c r="O38" s="32">
        <f t="shared" si="51"/>
        <v>40960</v>
      </c>
      <c r="P38" s="32">
        <f t="shared" si="51"/>
        <v>40960</v>
      </c>
      <c r="Q38" s="32">
        <f t="shared" si="51"/>
        <v>40960</v>
      </c>
      <c r="R38" s="32">
        <f t="shared" si="51"/>
        <v>40960</v>
      </c>
      <c r="S38" s="32">
        <f t="shared" si="51"/>
        <v>40960</v>
      </c>
      <c r="T38" s="32">
        <f t="shared" si="51"/>
        <v>40960</v>
      </c>
      <c r="U38" s="32">
        <f t="shared" si="51"/>
        <v>40960</v>
      </c>
      <c r="V38" s="32">
        <f t="shared" si="51"/>
        <v>40960</v>
      </c>
      <c r="W38" s="32">
        <f t="shared" si="51"/>
        <v>40960</v>
      </c>
      <c r="X38" s="32">
        <f t="shared" si="51"/>
        <v>40960</v>
      </c>
      <c r="Y38" s="32">
        <f t="shared" si="51"/>
        <v>40960</v>
      </c>
      <c r="Z38" s="32">
        <f t="shared" si="51"/>
        <v>40960</v>
      </c>
      <c r="AA38" s="32">
        <f t="shared" si="51"/>
        <v>40960</v>
      </c>
      <c r="AB38" s="32">
        <f t="shared" si="51"/>
        <v>40960</v>
      </c>
    </row>
    <row r="39" ht="15.75" customHeight="1">
      <c r="A39" s="21">
        <f>'Soul Energy Tiers'!J15</f>
        <v>81920</v>
      </c>
      <c r="B39" s="5"/>
      <c r="C39" s="55" t="s">
        <v>37</v>
      </c>
      <c r="D39" s="32">
        <f t="shared" si="40"/>
        <v>81920</v>
      </c>
      <c r="E39" s="5"/>
      <c r="F39" s="55" t="s">
        <v>37</v>
      </c>
      <c r="G39" s="32">
        <f t="shared" ref="G39:AB39" si="52">$A39/G$5</f>
        <v>40960</v>
      </c>
      <c r="H39" s="32">
        <f t="shared" si="52"/>
        <v>27306.66667</v>
      </c>
      <c r="I39" s="32">
        <f t="shared" si="52"/>
        <v>20480</v>
      </c>
      <c r="J39" s="32">
        <f t="shared" si="52"/>
        <v>81920</v>
      </c>
      <c r="K39" s="32">
        <f t="shared" si="52"/>
        <v>40960</v>
      </c>
      <c r="L39" s="32">
        <f t="shared" si="52"/>
        <v>40960</v>
      </c>
      <c r="M39" s="32">
        <f t="shared" si="52"/>
        <v>8192</v>
      </c>
      <c r="N39" s="32">
        <f t="shared" si="52"/>
        <v>81920</v>
      </c>
      <c r="O39" s="32">
        <f t="shared" si="52"/>
        <v>81920</v>
      </c>
      <c r="P39" s="32">
        <f t="shared" si="52"/>
        <v>81920</v>
      </c>
      <c r="Q39" s="32">
        <f t="shared" si="52"/>
        <v>81920</v>
      </c>
      <c r="R39" s="32">
        <f t="shared" si="52"/>
        <v>81920</v>
      </c>
      <c r="S39" s="32">
        <f t="shared" si="52"/>
        <v>81920</v>
      </c>
      <c r="T39" s="32">
        <f t="shared" si="52"/>
        <v>81920</v>
      </c>
      <c r="U39" s="32">
        <f t="shared" si="52"/>
        <v>81920</v>
      </c>
      <c r="V39" s="32">
        <f t="shared" si="52"/>
        <v>81920</v>
      </c>
      <c r="W39" s="32">
        <f t="shared" si="52"/>
        <v>81920</v>
      </c>
      <c r="X39" s="32">
        <f t="shared" si="52"/>
        <v>81920</v>
      </c>
      <c r="Y39" s="32">
        <f t="shared" si="52"/>
        <v>81920</v>
      </c>
      <c r="Z39" s="32">
        <f t="shared" si="52"/>
        <v>81920</v>
      </c>
      <c r="AA39" s="32">
        <f t="shared" si="52"/>
        <v>81920</v>
      </c>
      <c r="AB39" s="32">
        <f t="shared" si="52"/>
        <v>81920</v>
      </c>
    </row>
    <row r="40" ht="15.75" customHeight="1">
      <c r="A40" s="21">
        <f>'Soul Energy Tiers'!J16</f>
        <v>163840</v>
      </c>
      <c r="B40" s="5"/>
      <c r="C40" s="55" t="s">
        <v>39</v>
      </c>
      <c r="D40" s="32">
        <f t="shared" si="40"/>
        <v>163840</v>
      </c>
      <c r="E40" s="5"/>
      <c r="F40" s="55" t="s">
        <v>39</v>
      </c>
      <c r="G40" s="32">
        <f t="shared" ref="G40:AB40" si="53">$A40/G$5</f>
        <v>81920</v>
      </c>
      <c r="H40" s="32">
        <f t="shared" si="53"/>
        <v>54613.33333</v>
      </c>
      <c r="I40" s="32">
        <f t="shared" si="53"/>
        <v>40960</v>
      </c>
      <c r="J40" s="32">
        <f t="shared" si="53"/>
        <v>163840</v>
      </c>
      <c r="K40" s="32">
        <f t="shared" si="53"/>
        <v>81920</v>
      </c>
      <c r="L40" s="32">
        <f t="shared" si="53"/>
        <v>81920</v>
      </c>
      <c r="M40" s="32">
        <f t="shared" si="53"/>
        <v>16384</v>
      </c>
      <c r="N40" s="32">
        <f t="shared" si="53"/>
        <v>163840</v>
      </c>
      <c r="O40" s="32">
        <f t="shared" si="53"/>
        <v>163840</v>
      </c>
      <c r="P40" s="32">
        <f t="shared" si="53"/>
        <v>163840</v>
      </c>
      <c r="Q40" s="32">
        <f t="shared" si="53"/>
        <v>163840</v>
      </c>
      <c r="R40" s="32">
        <f t="shared" si="53"/>
        <v>163840</v>
      </c>
      <c r="S40" s="32">
        <f t="shared" si="53"/>
        <v>163840</v>
      </c>
      <c r="T40" s="32">
        <f t="shared" si="53"/>
        <v>163840</v>
      </c>
      <c r="U40" s="32">
        <f t="shared" si="53"/>
        <v>163840</v>
      </c>
      <c r="V40" s="32">
        <f t="shared" si="53"/>
        <v>163840</v>
      </c>
      <c r="W40" s="32">
        <f t="shared" si="53"/>
        <v>163840</v>
      </c>
      <c r="X40" s="32">
        <f t="shared" si="53"/>
        <v>163840</v>
      </c>
      <c r="Y40" s="32">
        <f t="shared" si="53"/>
        <v>163840</v>
      </c>
      <c r="Z40" s="32">
        <f t="shared" si="53"/>
        <v>163840</v>
      </c>
      <c r="AA40" s="32">
        <f t="shared" si="53"/>
        <v>163840</v>
      </c>
      <c r="AB40" s="32">
        <f t="shared" si="53"/>
        <v>163840</v>
      </c>
    </row>
    <row r="41" ht="15.75" customHeight="1">
      <c r="A41" s="21">
        <f>'Soul Energy Tiers'!J17</f>
        <v>327680</v>
      </c>
      <c r="B41" s="5"/>
      <c r="C41" s="55" t="s">
        <v>41</v>
      </c>
      <c r="D41" s="32">
        <f t="shared" si="40"/>
        <v>327680</v>
      </c>
      <c r="E41" s="5"/>
      <c r="F41" s="55" t="s">
        <v>41</v>
      </c>
      <c r="G41" s="32">
        <f t="shared" ref="G41:AB41" si="54">$A41/G$5</f>
        <v>163840</v>
      </c>
      <c r="H41" s="32">
        <f t="shared" si="54"/>
        <v>109226.6667</v>
      </c>
      <c r="I41" s="32">
        <f t="shared" si="54"/>
        <v>81920</v>
      </c>
      <c r="J41" s="32">
        <f t="shared" si="54"/>
        <v>327680</v>
      </c>
      <c r="K41" s="32">
        <f t="shared" si="54"/>
        <v>163840</v>
      </c>
      <c r="L41" s="32">
        <f t="shared" si="54"/>
        <v>163840</v>
      </c>
      <c r="M41" s="32">
        <f t="shared" si="54"/>
        <v>32768</v>
      </c>
      <c r="N41" s="32">
        <f t="shared" si="54"/>
        <v>327680</v>
      </c>
      <c r="O41" s="32">
        <f t="shared" si="54"/>
        <v>327680</v>
      </c>
      <c r="P41" s="32">
        <f t="shared" si="54"/>
        <v>327680</v>
      </c>
      <c r="Q41" s="32">
        <f t="shared" si="54"/>
        <v>327680</v>
      </c>
      <c r="R41" s="32">
        <f t="shared" si="54"/>
        <v>327680</v>
      </c>
      <c r="S41" s="32">
        <f t="shared" si="54"/>
        <v>327680</v>
      </c>
      <c r="T41" s="32">
        <f t="shared" si="54"/>
        <v>327680</v>
      </c>
      <c r="U41" s="32">
        <f t="shared" si="54"/>
        <v>327680</v>
      </c>
      <c r="V41" s="32">
        <f t="shared" si="54"/>
        <v>327680</v>
      </c>
      <c r="W41" s="32">
        <f t="shared" si="54"/>
        <v>327680</v>
      </c>
      <c r="X41" s="32">
        <f t="shared" si="54"/>
        <v>327680</v>
      </c>
      <c r="Y41" s="32">
        <f t="shared" si="54"/>
        <v>327680</v>
      </c>
      <c r="Z41" s="32">
        <f t="shared" si="54"/>
        <v>327680</v>
      </c>
      <c r="AA41" s="32">
        <f t="shared" si="54"/>
        <v>327680</v>
      </c>
      <c r="AB41" s="32">
        <f t="shared" si="54"/>
        <v>327680</v>
      </c>
    </row>
    <row r="42" ht="15.75" customHeight="1">
      <c r="A42" s="21">
        <f>'Soul Energy Tiers'!J18</f>
        <v>655360</v>
      </c>
      <c r="B42" s="5"/>
      <c r="C42" s="55" t="s">
        <v>43</v>
      </c>
      <c r="D42" s="32">
        <f t="shared" si="40"/>
        <v>655360</v>
      </c>
      <c r="E42" s="5"/>
      <c r="F42" s="55" t="s">
        <v>43</v>
      </c>
      <c r="G42" s="32">
        <f t="shared" ref="G42:AB42" si="55">$A42/G$5</f>
        <v>327680</v>
      </c>
      <c r="H42" s="32">
        <f t="shared" si="55"/>
        <v>218453.3333</v>
      </c>
      <c r="I42" s="32">
        <f t="shared" si="55"/>
        <v>163840</v>
      </c>
      <c r="J42" s="32">
        <f t="shared" si="55"/>
        <v>655360</v>
      </c>
      <c r="K42" s="32">
        <f t="shared" si="55"/>
        <v>327680</v>
      </c>
      <c r="L42" s="32">
        <f t="shared" si="55"/>
        <v>327680</v>
      </c>
      <c r="M42" s="32">
        <f t="shared" si="55"/>
        <v>65536</v>
      </c>
      <c r="N42" s="32">
        <f t="shared" si="55"/>
        <v>655360</v>
      </c>
      <c r="O42" s="32">
        <f t="shared" si="55"/>
        <v>655360</v>
      </c>
      <c r="P42" s="32">
        <f t="shared" si="55"/>
        <v>655360</v>
      </c>
      <c r="Q42" s="32">
        <f t="shared" si="55"/>
        <v>655360</v>
      </c>
      <c r="R42" s="32">
        <f t="shared" si="55"/>
        <v>655360</v>
      </c>
      <c r="S42" s="32">
        <f t="shared" si="55"/>
        <v>655360</v>
      </c>
      <c r="T42" s="32">
        <f t="shared" si="55"/>
        <v>655360</v>
      </c>
      <c r="U42" s="32">
        <f t="shared" si="55"/>
        <v>655360</v>
      </c>
      <c r="V42" s="32">
        <f t="shared" si="55"/>
        <v>655360</v>
      </c>
      <c r="W42" s="32">
        <f t="shared" si="55"/>
        <v>655360</v>
      </c>
      <c r="X42" s="32">
        <f t="shared" si="55"/>
        <v>655360</v>
      </c>
      <c r="Y42" s="32">
        <f t="shared" si="55"/>
        <v>655360</v>
      </c>
      <c r="Z42" s="32">
        <f t="shared" si="55"/>
        <v>655360</v>
      </c>
      <c r="AA42" s="32">
        <f t="shared" si="55"/>
        <v>655360</v>
      </c>
      <c r="AB42" s="32">
        <f t="shared" si="55"/>
        <v>655360</v>
      </c>
    </row>
    <row r="43" ht="15.75" customHeight="1">
      <c r="A43" s="21">
        <f>'Soul Energy Tiers'!J19</f>
        <v>1310720</v>
      </c>
      <c r="B43" s="5"/>
      <c r="C43" s="55" t="s">
        <v>45</v>
      </c>
      <c r="D43" s="32">
        <f t="shared" si="40"/>
        <v>1310720</v>
      </c>
      <c r="E43" s="5"/>
      <c r="F43" s="55" t="s">
        <v>45</v>
      </c>
      <c r="G43" s="32">
        <f t="shared" ref="G43:AB43" si="56">$A43/G$5</f>
        <v>655360</v>
      </c>
      <c r="H43" s="32">
        <f t="shared" si="56"/>
        <v>436906.6667</v>
      </c>
      <c r="I43" s="32">
        <f t="shared" si="56"/>
        <v>327680</v>
      </c>
      <c r="J43" s="32">
        <f t="shared" si="56"/>
        <v>1310720</v>
      </c>
      <c r="K43" s="32">
        <f t="shared" si="56"/>
        <v>655360</v>
      </c>
      <c r="L43" s="32">
        <f t="shared" si="56"/>
        <v>655360</v>
      </c>
      <c r="M43" s="32">
        <f t="shared" si="56"/>
        <v>131072</v>
      </c>
      <c r="N43" s="32">
        <f t="shared" si="56"/>
        <v>1310720</v>
      </c>
      <c r="O43" s="32">
        <f t="shared" si="56"/>
        <v>1310720</v>
      </c>
      <c r="P43" s="32">
        <f t="shared" si="56"/>
        <v>1310720</v>
      </c>
      <c r="Q43" s="32">
        <f t="shared" si="56"/>
        <v>1310720</v>
      </c>
      <c r="R43" s="32">
        <f t="shared" si="56"/>
        <v>1310720</v>
      </c>
      <c r="S43" s="32">
        <f t="shared" si="56"/>
        <v>1310720</v>
      </c>
      <c r="T43" s="32">
        <f t="shared" si="56"/>
        <v>1310720</v>
      </c>
      <c r="U43" s="32">
        <f t="shared" si="56"/>
        <v>1310720</v>
      </c>
      <c r="V43" s="32">
        <f t="shared" si="56"/>
        <v>1310720</v>
      </c>
      <c r="W43" s="32">
        <f t="shared" si="56"/>
        <v>1310720</v>
      </c>
      <c r="X43" s="32">
        <f t="shared" si="56"/>
        <v>1310720</v>
      </c>
      <c r="Y43" s="32">
        <f t="shared" si="56"/>
        <v>1310720</v>
      </c>
      <c r="Z43" s="32">
        <f t="shared" si="56"/>
        <v>1310720</v>
      </c>
      <c r="AA43" s="32">
        <f t="shared" si="56"/>
        <v>1310720</v>
      </c>
      <c r="AB43" s="32">
        <f t="shared" si="56"/>
        <v>1310720</v>
      </c>
    </row>
    <row r="44" ht="15.75" customHeight="1">
      <c r="A44" s="35"/>
      <c r="B44" s="5"/>
      <c r="C44" s="5"/>
      <c r="E44" s="5"/>
      <c r="F44" s="35"/>
      <c r="G44" s="35" t="s">
        <v>76</v>
      </c>
    </row>
    <row r="45" ht="15.75" customHeight="1">
      <c r="A45" s="52" t="s">
        <v>75</v>
      </c>
      <c r="B45" s="5"/>
      <c r="C45" s="10" t="s">
        <v>3</v>
      </c>
      <c r="D45" s="10" t="s">
        <v>55</v>
      </c>
      <c r="E45" s="5"/>
      <c r="F45" s="53" t="s">
        <v>3</v>
      </c>
      <c r="G45" s="45" t="str">
        <f t="shared" ref="G45:AB45" si="57">G26</f>
        <v>Barina</v>
      </c>
      <c r="H45" s="45" t="str">
        <f t="shared" si="57"/>
        <v>Crocus</v>
      </c>
      <c r="I45" s="45" t="str">
        <f t="shared" si="57"/>
        <v>Fatupari</v>
      </c>
      <c r="J45" s="45" t="str">
        <f t="shared" si="57"/>
        <v>Fihi</v>
      </c>
      <c r="K45" s="45" t="str">
        <f t="shared" si="57"/>
        <v>Sanbi</v>
      </c>
      <c r="L45" s="45" t="str">
        <f t="shared" si="57"/>
        <v>Sayna</v>
      </c>
      <c r="M45" s="45" t="str">
        <f t="shared" si="57"/>
        <v>Wozen</v>
      </c>
      <c r="N45" s="45" t="str">
        <f t="shared" si="57"/>
        <v/>
      </c>
      <c r="O45" s="45" t="str">
        <f t="shared" si="57"/>
        <v/>
      </c>
      <c r="P45" s="45" t="str">
        <f t="shared" si="57"/>
        <v/>
      </c>
      <c r="Q45" s="45" t="str">
        <f t="shared" si="57"/>
        <v/>
      </c>
      <c r="R45" s="45" t="str">
        <f t="shared" si="57"/>
        <v/>
      </c>
      <c r="S45" s="45" t="str">
        <f t="shared" si="57"/>
        <v/>
      </c>
      <c r="T45" s="45" t="str">
        <f t="shared" si="57"/>
        <v/>
      </c>
      <c r="U45" s="45" t="str">
        <f t="shared" si="57"/>
        <v/>
      </c>
      <c r="V45" s="45" t="str">
        <f t="shared" si="57"/>
        <v/>
      </c>
      <c r="W45" s="45" t="str">
        <f t="shared" si="57"/>
        <v/>
      </c>
      <c r="X45" s="45" t="str">
        <f t="shared" si="57"/>
        <v/>
      </c>
      <c r="Y45" s="45" t="str">
        <f t="shared" si="57"/>
        <v/>
      </c>
      <c r="Z45" s="45" t="str">
        <f t="shared" si="57"/>
        <v/>
      </c>
      <c r="AA45" s="45" t="str">
        <f t="shared" si="57"/>
        <v/>
      </c>
      <c r="AB45" s="45" t="str">
        <f t="shared" si="57"/>
        <v/>
      </c>
    </row>
    <row r="46" ht="15.75" customHeight="1">
      <c r="A46" s="21">
        <f>'Soul Energy Tiers'!J3</f>
        <v>20</v>
      </c>
      <c r="B46" s="5"/>
      <c r="C46" s="54" t="s">
        <v>13</v>
      </c>
      <c r="D46" s="23">
        <f t="shared" ref="D46:D62" si="59">($A46/D$5)/365</f>
        <v>0.05479452055</v>
      </c>
      <c r="E46" s="5"/>
      <c r="F46" s="54" t="s">
        <v>13</v>
      </c>
      <c r="G46" s="32">
        <f t="shared" ref="G46:AB46" si="58">($A46/G$5)/365</f>
        <v>0.02739726027</v>
      </c>
      <c r="H46" s="32">
        <f t="shared" si="58"/>
        <v>0.01826484018</v>
      </c>
      <c r="I46" s="32">
        <f t="shared" si="58"/>
        <v>0.01369863014</v>
      </c>
      <c r="J46" s="32">
        <f t="shared" si="58"/>
        <v>0.05479452055</v>
      </c>
      <c r="K46" s="32">
        <f t="shared" si="58"/>
        <v>0.02739726027</v>
      </c>
      <c r="L46" s="32">
        <f t="shared" si="58"/>
        <v>0.02739726027</v>
      </c>
      <c r="M46" s="32">
        <f t="shared" si="58"/>
        <v>0.005479452055</v>
      </c>
      <c r="N46" s="32">
        <f t="shared" si="58"/>
        <v>0.05479452055</v>
      </c>
      <c r="O46" s="32">
        <f t="shared" si="58"/>
        <v>0.05479452055</v>
      </c>
      <c r="P46" s="32">
        <f t="shared" si="58"/>
        <v>0.05479452055</v>
      </c>
      <c r="Q46" s="32">
        <f t="shared" si="58"/>
        <v>0.05479452055</v>
      </c>
      <c r="R46" s="32">
        <f t="shared" si="58"/>
        <v>0.05479452055</v>
      </c>
      <c r="S46" s="32">
        <f t="shared" si="58"/>
        <v>0.05479452055</v>
      </c>
      <c r="T46" s="32">
        <f t="shared" si="58"/>
        <v>0.05479452055</v>
      </c>
      <c r="U46" s="32">
        <f t="shared" si="58"/>
        <v>0.05479452055</v>
      </c>
      <c r="V46" s="32">
        <f t="shared" si="58"/>
        <v>0.05479452055</v>
      </c>
      <c r="W46" s="32">
        <f t="shared" si="58"/>
        <v>0.05479452055</v>
      </c>
      <c r="X46" s="32">
        <f t="shared" si="58"/>
        <v>0.05479452055</v>
      </c>
      <c r="Y46" s="32">
        <f t="shared" si="58"/>
        <v>0.05479452055</v>
      </c>
      <c r="Z46" s="32">
        <f t="shared" si="58"/>
        <v>0.05479452055</v>
      </c>
      <c r="AA46" s="32">
        <f t="shared" si="58"/>
        <v>0.05479452055</v>
      </c>
      <c r="AB46" s="32">
        <f t="shared" si="58"/>
        <v>0.05479452055</v>
      </c>
    </row>
    <row r="47" ht="15.75" customHeight="1">
      <c r="A47" s="21">
        <f>'Soul Energy Tiers'!J4</f>
        <v>40</v>
      </c>
      <c r="B47" s="5"/>
      <c r="C47" s="55" t="s">
        <v>15</v>
      </c>
      <c r="D47" s="32">
        <f t="shared" si="59"/>
        <v>0.1095890411</v>
      </c>
      <c r="E47" s="5"/>
      <c r="F47" s="55" t="s">
        <v>15</v>
      </c>
      <c r="G47" s="32">
        <f t="shared" ref="G47:AB47" si="60">($A47/G$5)/365</f>
        <v>0.05479452055</v>
      </c>
      <c r="H47" s="32">
        <f t="shared" si="60"/>
        <v>0.03652968037</v>
      </c>
      <c r="I47" s="32">
        <f t="shared" si="60"/>
        <v>0.02739726027</v>
      </c>
      <c r="J47" s="32">
        <f t="shared" si="60"/>
        <v>0.1095890411</v>
      </c>
      <c r="K47" s="32">
        <f t="shared" si="60"/>
        <v>0.05479452055</v>
      </c>
      <c r="L47" s="32">
        <f t="shared" si="60"/>
        <v>0.05479452055</v>
      </c>
      <c r="M47" s="32">
        <f t="shared" si="60"/>
        <v>0.01095890411</v>
      </c>
      <c r="N47" s="32">
        <f t="shared" si="60"/>
        <v>0.1095890411</v>
      </c>
      <c r="O47" s="32">
        <f t="shared" si="60"/>
        <v>0.1095890411</v>
      </c>
      <c r="P47" s="32">
        <f t="shared" si="60"/>
        <v>0.1095890411</v>
      </c>
      <c r="Q47" s="32">
        <f t="shared" si="60"/>
        <v>0.1095890411</v>
      </c>
      <c r="R47" s="32">
        <f t="shared" si="60"/>
        <v>0.1095890411</v>
      </c>
      <c r="S47" s="32">
        <f t="shared" si="60"/>
        <v>0.1095890411</v>
      </c>
      <c r="T47" s="32">
        <f t="shared" si="60"/>
        <v>0.1095890411</v>
      </c>
      <c r="U47" s="32">
        <f t="shared" si="60"/>
        <v>0.1095890411</v>
      </c>
      <c r="V47" s="32">
        <f t="shared" si="60"/>
        <v>0.1095890411</v>
      </c>
      <c r="W47" s="32">
        <f t="shared" si="60"/>
        <v>0.1095890411</v>
      </c>
      <c r="X47" s="32">
        <f t="shared" si="60"/>
        <v>0.1095890411</v>
      </c>
      <c r="Y47" s="32">
        <f t="shared" si="60"/>
        <v>0.1095890411</v>
      </c>
      <c r="Z47" s="32">
        <f t="shared" si="60"/>
        <v>0.1095890411</v>
      </c>
      <c r="AA47" s="32">
        <f t="shared" si="60"/>
        <v>0.1095890411</v>
      </c>
      <c r="AB47" s="32">
        <f t="shared" si="60"/>
        <v>0.1095890411</v>
      </c>
    </row>
    <row r="48" ht="15.75" customHeight="1">
      <c r="A48" s="21">
        <f>'Soul Energy Tiers'!J5</f>
        <v>80</v>
      </c>
      <c r="B48" s="5"/>
      <c r="C48" s="55" t="s">
        <v>17</v>
      </c>
      <c r="D48" s="32">
        <f t="shared" si="59"/>
        <v>0.2191780822</v>
      </c>
      <c r="E48" s="5"/>
      <c r="F48" s="55" t="s">
        <v>17</v>
      </c>
      <c r="G48" s="32">
        <f t="shared" ref="G48:AB48" si="61">($A48/G$5)/365</f>
        <v>0.1095890411</v>
      </c>
      <c r="H48" s="32">
        <f t="shared" si="61"/>
        <v>0.07305936073</v>
      </c>
      <c r="I48" s="32">
        <f t="shared" si="61"/>
        <v>0.05479452055</v>
      </c>
      <c r="J48" s="32">
        <f t="shared" si="61"/>
        <v>0.2191780822</v>
      </c>
      <c r="K48" s="32">
        <f t="shared" si="61"/>
        <v>0.1095890411</v>
      </c>
      <c r="L48" s="32">
        <f t="shared" si="61"/>
        <v>0.1095890411</v>
      </c>
      <c r="M48" s="32">
        <f t="shared" si="61"/>
        <v>0.02191780822</v>
      </c>
      <c r="N48" s="32">
        <f t="shared" si="61"/>
        <v>0.2191780822</v>
      </c>
      <c r="O48" s="32">
        <f t="shared" si="61"/>
        <v>0.2191780822</v>
      </c>
      <c r="P48" s="32">
        <f t="shared" si="61"/>
        <v>0.2191780822</v>
      </c>
      <c r="Q48" s="32">
        <f t="shared" si="61"/>
        <v>0.2191780822</v>
      </c>
      <c r="R48" s="32">
        <f t="shared" si="61"/>
        <v>0.2191780822</v>
      </c>
      <c r="S48" s="32">
        <f t="shared" si="61"/>
        <v>0.2191780822</v>
      </c>
      <c r="T48" s="32">
        <f t="shared" si="61"/>
        <v>0.2191780822</v>
      </c>
      <c r="U48" s="32">
        <f t="shared" si="61"/>
        <v>0.2191780822</v>
      </c>
      <c r="V48" s="32">
        <f t="shared" si="61"/>
        <v>0.2191780822</v>
      </c>
      <c r="W48" s="32">
        <f t="shared" si="61"/>
        <v>0.2191780822</v>
      </c>
      <c r="X48" s="32">
        <f t="shared" si="61"/>
        <v>0.2191780822</v>
      </c>
      <c r="Y48" s="32">
        <f t="shared" si="61"/>
        <v>0.2191780822</v>
      </c>
      <c r="Z48" s="32">
        <f t="shared" si="61"/>
        <v>0.2191780822</v>
      </c>
      <c r="AA48" s="32">
        <f t="shared" si="61"/>
        <v>0.2191780822</v>
      </c>
      <c r="AB48" s="32">
        <f t="shared" si="61"/>
        <v>0.2191780822</v>
      </c>
    </row>
    <row r="49" ht="15.75" customHeight="1">
      <c r="A49" s="21">
        <f>'Soul Energy Tiers'!J6</f>
        <v>160</v>
      </c>
      <c r="B49" s="5"/>
      <c r="C49" s="55" t="s">
        <v>19</v>
      </c>
      <c r="D49" s="32">
        <f t="shared" si="59"/>
        <v>0.4383561644</v>
      </c>
      <c r="E49" s="5"/>
      <c r="F49" s="55" t="s">
        <v>19</v>
      </c>
      <c r="G49" s="32">
        <f t="shared" ref="G49:AB49" si="62">($A49/G$5)/365</f>
        <v>0.2191780822</v>
      </c>
      <c r="H49" s="32">
        <f t="shared" si="62"/>
        <v>0.1461187215</v>
      </c>
      <c r="I49" s="32">
        <f t="shared" si="62"/>
        <v>0.1095890411</v>
      </c>
      <c r="J49" s="32">
        <f t="shared" si="62"/>
        <v>0.4383561644</v>
      </c>
      <c r="K49" s="32">
        <f t="shared" si="62"/>
        <v>0.2191780822</v>
      </c>
      <c r="L49" s="32">
        <f t="shared" si="62"/>
        <v>0.2191780822</v>
      </c>
      <c r="M49" s="32">
        <f t="shared" si="62"/>
        <v>0.04383561644</v>
      </c>
      <c r="N49" s="32">
        <f t="shared" si="62"/>
        <v>0.4383561644</v>
      </c>
      <c r="O49" s="32">
        <f t="shared" si="62"/>
        <v>0.4383561644</v>
      </c>
      <c r="P49" s="32">
        <f t="shared" si="62"/>
        <v>0.4383561644</v>
      </c>
      <c r="Q49" s="32">
        <f t="shared" si="62"/>
        <v>0.4383561644</v>
      </c>
      <c r="R49" s="32">
        <f t="shared" si="62"/>
        <v>0.4383561644</v>
      </c>
      <c r="S49" s="32">
        <f t="shared" si="62"/>
        <v>0.4383561644</v>
      </c>
      <c r="T49" s="32">
        <f t="shared" si="62"/>
        <v>0.4383561644</v>
      </c>
      <c r="U49" s="32">
        <f t="shared" si="62"/>
        <v>0.4383561644</v>
      </c>
      <c r="V49" s="32">
        <f t="shared" si="62"/>
        <v>0.4383561644</v>
      </c>
      <c r="W49" s="32">
        <f t="shared" si="62"/>
        <v>0.4383561644</v>
      </c>
      <c r="X49" s="32">
        <f t="shared" si="62"/>
        <v>0.4383561644</v>
      </c>
      <c r="Y49" s="32">
        <f t="shared" si="62"/>
        <v>0.4383561644</v>
      </c>
      <c r="Z49" s="32">
        <f t="shared" si="62"/>
        <v>0.4383561644</v>
      </c>
      <c r="AA49" s="32">
        <f t="shared" si="62"/>
        <v>0.4383561644</v>
      </c>
      <c r="AB49" s="32">
        <f t="shared" si="62"/>
        <v>0.4383561644</v>
      </c>
    </row>
    <row r="50" ht="15.75" customHeight="1">
      <c r="A50" s="21">
        <f>'Soul Energy Tiers'!J7</f>
        <v>320</v>
      </c>
      <c r="B50" s="5"/>
      <c r="C50" s="55" t="s">
        <v>21</v>
      </c>
      <c r="D50" s="32">
        <f t="shared" si="59"/>
        <v>0.8767123288</v>
      </c>
      <c r="E50" s="5"/>
      <c r="F50" s="55" t="s">
        <v>21</v>
      </c>
      <c r="G50" s="32">
        <f t="shared" ref="G50:AB50" si="63">($A50/G$5)/365</f>
        <v>0.4383561644</v>
      </c>
      <c r="H50" s="32">
        <f t="shared" si="63"/>
        <v>0.2922374429</v>
      </c>
      <c r="I50" s="32">
        <f t="shared" si="63"/>
        <v>0.2191780822</v>
      </c>
      <c r="J50" s="32">
        <f t="shared" si="63"/>
        <v>0.8767123288</v>
      </c>
      <c r="K50" s="32">
        <f t="shared" si="63"/>
        <v>0.4383561644</v>
      </c>
      <c r="L50" s="32">
        <f t="shared" si="63"/>
        <v>0.4383561644</v>
      </c>
      <c r="M50" s="32">
        <f t="shared" si="63"/>
        <v>0.08767123288</v>
      </c>
      <c r="N50" s="32">
        <f t="shared" si="63"/>
        <v>0.8767123288</v>
      </c>
      <c r="O50" s="32">
        <f t="shared" si="63"/>
        <v>0.8767123288</v>
      </c>
      <c r="P50" s="32">
        <f t="shared" si="63"/>
        <v>0.8767123288</v>
      </c>
      <c r="Q50" s="32">
        <f t="shared" si="63"/>
        <v>0.8767123288</v>
      </c>
      <c r="R50" s="32">
        <f t="shared" si="63"/>
        <v>0.8767123288</v>
      </c>
      <c r="S50" s="32">
        <f t="shared" si="63"/>
        <v>0.8767123288</v>
      </c>
      <c r="T50" s="32">
        <f t="shared" si="63"/>
        <v>0.8767123288</v>
      </c>
      <c r="U50" s="32">
        <f t="shared" si="63"/>
        <v>0.8767123288</v>
      </c>
      <c r="V50" s="32">
        <f t="shared" si="63"/>
        <v>0.8767123288</v>
      </c>
      <c r="W50" s="32">
        <f t="shared" si="63"/>
        <v>0.8767123288</v>
      </c>
      <c r="X50" s="32">
        <f t="shared" si="63"/>
        <v>0.8767123288</v>
      </c>
      <c r="Y50" s="32">
        <f t="shared" si="63"/>
        <v>0.8767123288</v>
      </c>
      <c r="Z50" s="32">
        <f t="shared" si="63"/>
        <v>0.8767123288</v>
      </c>
      <c r="AA50" s="32">
        <f t="shared" si="63"/>
        <v>0.8767123288</v>
      </c>
      <c r="AB50" s="32">
        <f t="shared" si="63"/>
        <v>0.8767123288</v>
      </c>
    </row>
    <row r="51" ht="15.75" customHeight="1">
      <c r="A51" s="21">
        <f>'Soul Energy Tiers'!J8</f>
        <v>640</v>
      </c>
      <c r="B51" s="5"/>
      <c r="C51" s="55" t="s">
        <v>23</v>
      </c>
      <c r="D51" s="32">
        <f t="shared" si="59"/>
        <v>1.753424658</v>
      </c>
      <c r="E51" s="5"/>
      <c r="F51" s="55" t="s">
        <v>23</v>
      </c>
      <c r="G51" s="32">
        <f t="shared" ref="G51:AB51" si="64">($A51/G$5)/365</f>
        <v>0.8767123288</v>
      </c>
      <c r="H51" s="32">
        <f t="shared" si="64"/>
        <v>0.5844748858</v>
      </c>
      <c r="I51" s="32">
        <f t="shared" si="64"/>
        <v>0.4383561644</v>
      </c>
      <c r="J51" s="32">
        <f t="shared" si="64"/>
        <v>1.753424658</v>
      </c>
      <c r="K51" s="32">
        <f t="shared" si="64"/>
        <v>0.8767123288</v>
      </c>
      <c r="L51" s="32">
        <f t="shared" si="64"/>
        <v>0.8767123288</v>
      </c>
      <c r="M51" s="32">
        <f t="shared" si="64"/>
        <v>0.1753424658</v>
      </c>
      <c r="N51" s="32">
        <f t="shared" si="64"/>
        <v>1.753424658</v>
      </c>
      <c r="O51" s="32">
        <f t="shared" si="64"/>
        <v>1.753424658</v>
      </c>
      <c r="P51" s="32">
        <f t="shared" si="64"/>
        <v>1.753424658</v>
      </c>
      <c r="Q51" s="32">
        <f t="shared" si="64"/>
        <v>1.753424658</v>
      </c>
      <c r="R51" s="32">
        <f t="shared" si="64"/>
        <v>1.753424658</v>
      </c>
      <c r="S51" s="32">
        <f t="shared" si="64"/>
        <v>1.753424658</v>
      </c>
      <c r="T51" s="32">
        <f t="shared" si="64"/>
        <v>1.753424658</v>
      </c>
      <c r="U51" s="32">
        <f t="shared" si="64"/>
        <v>1.753424658</v>
      </c>
      <c r="V51" s="32">
        <f t="shared" si="64"/>
        <v>1.753424658</v>
      </c>
      <c r="W51" s="32">
        <f t="shared" si="64"/>
        <v>1.753424658</v>
      </c>
      <c r="X51" s="32">
        <f t="shared" si="64"/>
        <v>1.753424658</v>
      </c>
      <c r="Y51" s="32">
        <f t="shared" si="64"/>
        <v>1.753424658</v>
      </c>
      <c r="Z51" s="32">
        <f t="shared" si="64"/>
        <v>1.753424658</v>
      </c>
      <c r="AA51" s="32">
        <f t="shared" si="64"/>
        <v>1.753424658</v>
      </c>
      <c r="AB51" s="32">
        <f t="shared" si="64"/>
        <v>1.753424658</v>
      </c>
    </row>
    <row r="52" ht="15.75" customHeight="1">
      <c r="A52" s="21">
        <f>'Soul Energy Tiers'!J9</f>
        <v>1280</v>
      </c>
      <c r="B52" s="5"/>
      <c r="C52" s="55" t="s">
        <v>25</v>
      </c>
      <c r="D52" s="32">
        <f t="shared" si="59"/>
        <v>3.506849315</v>
      </c>
      <c r="E52" s="5"/>
      <c r="F52" s="55" t="s">
        <v>25</v>
      </c>
      <c r="G52" s="32">
        <f t="shared" ref="G52:AB52" si="65">($A52/G$5)/365</f>
        <v>1.753424658</v>
      </c>
      <c r="H52" s="32">
        <f t="shared" si="65"/>
        <v>1.168949772</v>
      </c>
      <c r="I52" s="32">
        <f t="shared" si="65"/>
        <v>0.8767123288</v>
      </c>
      <c r="J52" s="32">
        <f t="shared" si="65"/>
        <v>3.506849315</v>
      </c>
      <c r="K52" s="32">
        <f t="shared" si="65"/>
        <v>1.753424658</v>
      </c>
      <c r="L52" s="32">
        <f t="shared" si="65"/>
        <v>1.753424658</v>
      </c>
      <c r="M52" s="32">
        <f t="shared" si="65"/>
        <v>0.3506849315</v>
      </c>
      <c r="N52" s="32">
        <f t="shared" si="65"/>
        <v>3.506849315</v>
      </c>
      <c r="O52" s="32">
        <f t="shared" si="65"/>
        <v>3.506849315</v>
      </c>
      <c r="P52" s="32">
        <f t="shared" si="65"/>
        <v>3.506849315</v>
      </c>
      <c r="Q52" s="32">
        <f t="shared" si="65"/>
        <v>3.506849315</v>
      </c>
      <c r="R52" s="32">
        <f t="shared" si="65"/>
        <v>3.506849315</v>
      </c>
      <c r="S52" s="32">
        <f t="shared" si="65"/>
        <v>3.506849315</v>
      </c>
      <c r="T52" s="32">
        <f t="shared" si="65"/>
        <v>3.506849315</v>
      </c>
      <c r="U52" s="32">
        <f t="shared" si="65"/>
        <v>3.506849315</v>
      </c>
      <c r="V52" s="32">
        <f t="shared" si="65"/>
        <v>3.506849315</v>
      </c>
      <c r="W52" s="32">
        <f t="shared" si="65"/>
        <v>3.506849315</v>
      </c>
      <c r="X52" s="32">
        <f t="shared" si="65"/>
        <v>3.506849315</v>
      </c>
      <c r="Y52" s="32">
        <f t="shared" si="65"/>
        <v>3.506849315</v>
      </c>
      <c r="Z52" s="32">
        <f t="shared" si="65"/>
        <v>3.506849315</v>
      </c>
      <c r="AA52" s="32">
        <f t="shared" si="65"/>
        <v>3.506849315</v>
      </c>
      <c r="AB52" s="32">
        <f t="shared" si="65"/>
        <v>3.506849315</v>
      </c>
    </row>
    <row r="53" ht="15.75" customHeight="1">
      <c r="A53" s="21">
        <f>'Soul Energy Tiers'!J10</f>
        <v>2560</v>
      </c>
      <c r="B53" s="5"/>
      <c r="C53" s="55" t="s">
        <v>27</v>
      </c>
      <c r="D53" s="32">
        <f t="shared" si="59"/>
        <v>7.01369863</v>
      </c>
      <c r="E53" s="5"/>
      <c r="F53" s="55" t="s">
        <v>27</v>
      </c>
      <c r="G53" s="32">
        <f t="shared" ref="G53:AB53" si="66">($A53/G$5)/365</f>
        <v>3.506849315</v>
      </c>
      <c r="H53" s="32">
        <f t="shared" si="66"/>
        <v>2.337899543</v>
      </c>
      <c r="I53" s="32">
        <f t="shared" si="66"/>
        <v>1.753424658</v>
      </c>
      <c r="J53" s="32">
        <f t="shared" si="66"/>
        <v>7.01369863</v>
      </c>
      <c r="K53" s="32">
        <f t="shared" si="66"/>
        <v>3.506849315</v>
      </c>
      <c r="L53" s="32">
        <f t="shared" si="66"/>
        <v>3.506849315</v>
      </c>
      <c r="M53" s="32">
        <f t="shared" si="66"/>
        <v>0.701369863</v>
      </c>
      <c r="N53" s="32">
        <f t="shared" si="66"/>
        <v>7.01369863</v>
      </c>
      <c r="O53" s="32">
        <f t="shared" si="66"/>
        <v>7.01369863</v>
      </c>
      <c r="P53" s="32">
        <f t="shared" si="66"/>
        <v>7.01369863</v>
      </c>
      <c r="Q53" s="32">
        <f t="shared" si="66"/>
        <v>7.01369863</v>
      </c>
      <c r="R53" s="32">
        <f t="shared" si="66"/>
        <v>7.01369863</v>
      </c>
      <c r="S53" s="32">
        <f t="shared" si="66"/>
        <v>7.01369863</v>
      </c>
      <c r="T53" s="32">
        <f t="shared" si="66"/>
        <v>7.01369863</v>
      </c>
      <c r="U53" s="32">
        <f t="shared" si="66"/>
        <v>7.01369863</v>
      </c>
      <c r="V53" s="32">
        <f t="shared" si="66"/>
        <v>7.01369863</v>
      </c>
      <c r="W53" s="32">
        <f t="shared" si="66"/>
        <v>7.01369863</v>
      </c>
      <c r="X53" s="32">
        <f t="shared" si="66"/>
        <v>7.01369863</v>
      </c>
      <c r="Y53" s="32">
        <f t="shared" si="66"/>
        <v>7.01369863</v>
      </c>
      <c r="Z53" s="32">
        <f t="shared" si="66"/>
        <v>7.01369863</v>
      </c>
      <c r="AA53" s="32">
        <f t="shared" si="66"/>
        <v>7.01369863</v>
      </c>
      <c r="AB53" s="32">
        <f t="shared" si="66"/>
        <v>7.01369863</v>
      </c>
    </row>
    <row r="54" ht="15.75" customHeight="1">
      <c r="A54" s="21">
        <f>'Soul Energy Tiers'!J11</f>
        <v>5120</v>
      </c>
      <c r="B54" s="5"/>
      <c r="C54" s="55" t="s">
        <v>29</v>
      </c>
      <c r="D54" s="32">
        <f t="shared" si="59"/>
        <v>14.02739726</v>
      </c>
      <c r="E54" s="5"/>
      <c r="F54" s="55" t="s">
        <v>29</v>
      </c>
      <c r="G54" s="32">
        <f t="shared" ref="G54:AB54" si="67">($A54/G$5)/365</f>
        <v>7.01369863</v>
      </c>
      <c r="H54" s="32">
        <f t="shared" si="67"/>
        <v>4.675799087</v>
      </c>
      <c r="I54" s="32">
        <f t="shared" si="67"/>
        <v>3.506849315</v>
      </c>
      <c r="J54" s="32">
        <f t="shared" si="67"/>
        <v>14.02739726</v>
      </c>
      <c r="K54" s="32">
        <f t="shared" si="67"/>
        <v>7.01369863</v>
      </c>
      <c r="L54" s="32">
        <f t="shared" si="67"/>
        <v>7.01369863</v>
      </c>
      <c r="M54" s="32">
        <f t="shared" si="67"/>
        <v>1.402739726</v>
      </c>
      <c r="N54" s="32">
        <f t="shared" si="67"/>
        <v>14.02739726</v>
      </c>
      <c r="O54" s="32">
        <f t="shared" si="67"/>
        <v>14.02739726</v>
      </c>
      <c r="P54" s="32">
        <f t="shared" si="67"/>
        <v>14.02739726</v>
      </c>
      <c r="Q54" s="32">
        <f t="shared" si="67"/>
        <v>14.02739726</v>
      </c>
      <c r="R54" s="32">
        <f t="shared" si="67"/>
        <v>14.02739726</v>
      </c>
      <c r="S54" s="32">
        <f t="shared" si="67"/>
        <v>14.02739726</v>
      </c>
      <c r="T54" s="32">
        <f t="shared" si="67"/>
        <v>14.02739726</v>
      </c>
      <c r="U54" s="32">
        <f t="shared" si="67"/>
        <v>14.02739726</v>
      </c>
      <c r="V54" s="32">
        <f t="shared" si="67"/>
        <v>14.02739726</v>
      </c>
      <c r="W54" s="32">
        <f t="shared" si="67"/>
        <v>14.02739726</v>
      </c>
      <c r="X54" s="32">
        <f t="shared" si="67"/>
        <v>14.02739726</v>
      </c>
      <c r="Y54" s="32">
        <f t="shared" si="67"/>
        <v>14.02739726</v>
      </c>
      <c r="Z54" s="32">
        <f t="shared" si="67"/>
        <v>14.02739726</v>
      </c>
      <c r="AA54" s="32">
        <f t="shared" si="67"/>
        <v>14.02739726</v>
      </c>
      <c r="AB54" s="32">
        <f t="shared" si="67"/>
        <v>14.02739726</v>
      </c>
    </row>
    <row r="55" ht="15.75" customHeight="1">
      <c r="A55" s="21">
        <f>'Soul Energy Tiers'!J12</f>
        <v>10240</v>
      </c>
      <c r="B55" s="5"/>
      <c r="C55" s="55" t="s">
        <v>31</v>
      </c>
      <c r="D55" s="32">
        <f t="shared" si="59"/>
        <v>28.05479452</v>
      </c>
      <c r="E55" s="5"/>
      <c r="F55" s="55" t="s">
        <v>31</v>
      </c>
      <c r="G55" s="32">
        <f t="shared" ref="G55:AB55" si="68">($A55/G$5)/365</f>
        <v>14.02739726</v>
      </c>
      <c r="H55" s="32">
        <f t="shared" si="68"/>
        <v>9.351598174</v>
      </c>
      <c r="I55" s="32">
        <f t="shared" si="68"/>
        <v>7.01369863</v>
      </c>
      <c r="J55" s="32">
        <f t="shared" si="68"/>
        <v>28.05479452</v>
      </c>
      <c r="K55" s="32">
        <f t="shared" si="68"/>
        <v>14.02739726</v>
      </c>
      <c r="L55" s="32">
        <f t="shared" si="68"/>
        <v>14.02739726</v>
      </c>
      <c r="M55" s="32">
        <f t="shared" si="68"/>
        <v>2.805479452</v>
      </c>
      <c r="N55" s="32">
        <f t="shared" si="68"/>
        <v>28.05479452</v>
      </c>
      <c r="O55" s="32">
        <f t="shared" si="68"/>
        <v>28.05479452</v>
      </c>
      <c r="P55" s="32">
        <f t="shared" si="68"/>
        <v>28.05479452</v>
      </c>
      <c r="Q55" s="32">
        <f t="shared" si="68"/>
        <v>28.05479452</v>
      </c>
      <c r="R55" s="32">
        <f t="shared" si="68"/>
        <v>28.05479452</v>
      </c>
      <c r="S55" s="32">
        <f t="shared" si="68"/>
        <v>28.05479452</v>
      </c>
      <c r="T55" s="32">
        <f t="shared" si="68"/>
        <v>28.05479452</v>
      </c>
      <c r="U55" s="32">
        <f t="shared" si="68"/>
        <v>28.05479452</v>
      </c>
      <c r="V55" s="32">
        <f t="shared" si="68"/>
        <v>28.05479452</v>
      </c>
      <c r="W55" s="32">
        <f t="shared" si="68"/>
        <v>28.05479452</v>
      </c>
      <c r="X55" s="32">
        <f t="shared" si="68"/>
        <v>28.05479452</v>
      </c>
      <c r="Y55" s="32">
        <f t="shared" si="68"/>
        <v>28.05479452</v>
      </c>
      <c r="Z55" s="32">
        <f t="shared" si="68"/>
        <v>28.05479452</v>
      </c>
      <c r="AA55" s="32">
        <f t="shared" si="68"/>
        <v>28.05479452</v>
      </c>
      <c r="AB55" s="32">
        <f t="shared" si="68"/>
        <v>28.05479452</v>
      </c>
    </row>
    <row r="56" ht="15.75" customHeight="1">
      <c r="A56" s="21">
        <f>'Soul Energy Tiers'!J13</f>
        <v>20480</v>
      </c>
      <c r="B56" s="5"/>
      <c r="C56" s="55" t="s">
        <v>33</v>
      </c>
      <c r="D56" s="32">
        <f t="shared" si="59"/>
        <v>56.10958904</v>
      </c>
      <c r="E56" s="5"/>
      <c r="F56" s="55" t="s">
        <v>33</v>
      </c>
      <c r="G56" s="32">
        <f t="shared" ref="G56:AB56" si="69">($A56/G$5)/365</f>
        <v>28.05479452</v>
      </c>
      <c r="H56" s="32">
        <f t="shared" si="69"/>
        <v>18.70319635</v>
      </c>
      <c r="I56" s="32">
        <f t="shared" si="69"/>
        <v>14.02739726</v>
      </c>
      <c r="J56" s="32">
        <f t="shared" si="69"/>
        <v>56.10958904</v>
      </c>
      <c r="K56" s="32">
        <f t="shared" si="69"/>
        <v>28.05479452</v>
      </c>
      <c r="L56" s="32">
        <f t="shared" si="69"/>
        <v>28.05479452</v>
      </c>
      <c r="M56" s="32">
        <f t="shared" si="69"/>
        <v>5.610958904</v>
      </c>
      <c r="N56" s="32">
        <f t="shared" si="69"/>
        <v>56.10958904</v>
      </c>
      <c r="O56" s="32">
        <f t="shared" si="69"/>
        <v>56.10958904</v>
      </c>
      <c r="P56" s="32">
        <f t="shared" si="69"/>
        <v>56.10958904</v>
      </c>
      <c r="Q56" s="32">
        <f t="shared" si="69"/>
        <v>56.10958904</v>
      </c>
      <c r="R56" s="32">
        <f t="shared" si="69"/>
        <v>56.10958904</v>
      </c>
      <c r="S56" s="32">
        <f t="shared" si="69"/>
        <v>56.10958904</v>
      </c>
      <c r="T56" s="32">
        <f t="shared" si="69"/>
        <v>56.10958904</v>
      </c>
      <c r="U56" s="32">
        <f t="shared" si="69"/>
        <v>56.10958904</v>
      </c>
      <c r="V56" s="32">
        <f t="shared" si="69"/>
        <v>56.10958904</v>
      </c>
      <c r="W56" s="32">
        <f t="shared" si="69"/>
        <v>56.10958904</v>
      </c>
      <c r="X56" s="32">
        <f t="shared" si="69"/>
        <v>56.10958904</v>
      </c>
      <c r="Y56" s="32">
        <f t="shared" si="69"/>
        <v>56.10958904</v>
      </c>
      <c r="Z56" s="32">
        <f t="shared" si="69"/>
        <v>56.10958904</v>
      </c>
      <c r="AA56" s="32">
        <f t="shared" si="69"/>
        <v>56.10958904</v>
      </c>
      <c r="AB56" s="32">
        <f t="shared" si="69"/>
        <v>56.10958904</v>
      </c>
    </row>
    <row r="57" ht="15.75" customHeight="1">
      <c r="A57" s="21">
        <f>'Soul Energy Tiers'!J14</f>
        <v>40960</v>
      </c>
      <c r="B57" s="5"/>
      <c r="C57" s="55" t="s">
        <v>35</v>
      </c>
      <c r="D57" s="32">
        <f t="shared" si="59"/>
        <v>112.2191781</v>
      </c>
      <c r="E57" s="5"/>
      <c r="F57" s="55" t="s">
        <v>35</v>
      </c>
      <c r="G57" s="32">
        <f t="shared" ref="G57:AB57" si="70">($A57/G$5)/365</f>
        <v>56.10958904</v>
      </c>
      <c r="H57" s="32">
        <f t="shared" si="70"/>
        <v>37.40639269</v>
      </c>
      <c r="I57" s="32">
        <f t="shared" si="70"/>
        <v>28.05479452</v>
      </c>
      <c r="J57" s="32">
        <f t="shared" si="70"/>
        <v>112.2191781</v>
      </c>
      <c r="K57" s="32">
        <f t="shared" si="70"/>
        <v>56.10958904</v>
      </c>
      <c r="L57" s="32">
        <f t="shared" si="70"/>
        <v>56.10958904</v>
      </c>
      <c r="M57" s="32">
        <f t="shared" si="70"/>
        <v>11.22191781</v>
      </c>
      <c r="N57" s="32">
        <f t="shared" si="70"/>
        <v>112.2191781</v>
      </c>
      <c r="O57" s="32">
        <f t="shared" si="70"/>
        <v>112.2191781</v>
      </c>
      <c r="P57" s="32">
        <f t="shared" si="70"/>
        <v>112.2191781</v>
      </c>
      <c r="Q57" s="32">
        <f t="shared" si="70"/>
        <v>112.2191781</v>
      </c>
      <c r="R57" s="32">
        <f t="shared" si="70"/>
        <v>112.2191781</v>
      </c>
      <c r="S57" s="32">
        <f t="shared" si="70"/>
        <v>112.2191781</v>
      </c>
      <c r="T57" s="32">
        <f t="shared" si="70"/>
        <v>112.2191781</v>
      </c>
      <c r="U57" s="32">
        <f t="shared" si="70"/>
        <v>112.2191781</v>
      </c>
      <c r="V57" s="32">
        <f t="shared" si="70"/>
        <v>112.2191781</v>
      </c>
      <c r="W57" s="32">
        <f t="shared" si="70"/>
        <v>112.2191781</v>
      </c>
      <c r="X57" s="32">
        <f t="shared" si="70"/>
        <v>112.2191781</v>
      </c>
      <c r="Y57" s="32">
        <f t="shared" si="70"/>
        <v>112.2191781</v>
      </c>
      <c r="Z57" s="32">
        <f t="shared" si="70"/>
        <v>112.2191781</v>
      </c>
      <c r="AA57" s="32">
        <f t="shared" si="70"/>
        <v>112.2191781</v>
      </c>
      <c r="AB57" s="32">
        <f t="shared" si="70"/>
        <v>112.2191781</v>
      </c>
    </row>
    <row r="58" ht="15.75" customHeight="1">
      <c r="A58" s="21">
        <f>'Soul Energy Tiers'!J15</f>
        <v>81920</v>
      </c>
      <c r="B58" s="5"/>
      <c r="C58" s="55" t="s">
        <v>37</v>
      </c>
      <c r="D58" s="32">
        <f t="shared" si="59"/>
        <v>224.4383562</v>
      </c>
      <c r="E58" s="5"/>
      <c r="F58" s="55" t="s">
        <v>37</v>
      </c>
      <c r="G58" s="32">
        <f t="shared" ref="G58:AB58" si="71">($A58/G$5)/365</f>
        <v>112.2191781</v>
      </c>
      <c r="H58" s="32">
        <f t="shared" si="71"/>
        <v>74.81278539</v>
      </c>
      <c r="I58" s="32">
        <f t="shared" si="71"/>
        <v>56.10958904</v>
      </c>
      <c r="J58" s="32">
        <f t="shared" si="71"/>
        <v>224.4383562</v>
      </c>
      <c r="K58" s="32">
        <f t="shared" si="71"/>
        <v>112.2191781</v>
      </c>
      <c r="L58" s="32">
        <f t="shared" si="71"/>
        <v>112.2191781</v>
      </c>
      <c r="M58" s="32">
        <f t="shared" si="71"/>
        <v>22.44383562</v>
      </c>
      <c r="N58" s="32">
        <f t="shared" si="71"/>
        <v>224.4383562</v>
      </c>
      <c r="O58" s="32">
        <f t="shared" si="71"/>
        <v>224.4383562</v>
      </c>
      <c r="P58" s="32">
        <f t="shared" si="71"/>
        <v>224.4383562</v>
      </c>
      <c r="Q58" s="32">
        <f t="shared" si="71"/>
        <v>224.4383562</v>
      </c>
      <c r="R58" s="32">
        <f t="shared" si="71"/>
        <v>224.4383562</v>
      </c>
      <c r="S58" s="32">
        <f t="shared" si="71"/>
        <v>224.4383562</v>
      </c>
      <c r="T58" s="32">
        <f t="shared" si="71"/>
        <v>224.4383562</v>
      </c>
      <c r="U58" s="32">
        <f t="shared" si="71"/>
        <v>224.4383562</v>
      </c>
      <c r="V58" s="32">
        <f t="shared" si="71"/>
        <v>224.4383562</v>
      </c>
      <c r="W58" s="32">
        <f t="shared" si="71"/>
        <v>224.4383562</v>
      </c>
      <c r="X58" s="32">
        <f t="shared" si="71"/>
        <v>224.4383562</v>
      </c>
      <c r="Y58" s="32">
        <f t="shared" si="71"/>
        <v>224.4383562</v>
      </c>
      <c r="Z58" s="32">
        <f t="shared" si="71"/>
        <v>224.4383562</v>
      </c>
      <c r="AA58" s="32">
        <f t="shared" si="71"/>
        <v>224.4383562</v>
      </c>
      <c r="AB58" s="32">
        <f t="shared" si="71"/>
        <v>224.4383562</v>
      </c>
    </row>
    <row r="59" ht="15.75" customHeight="1">
      <c r="A59" s="21">
        <f>'Soul Energy Tiers'!J16</f>
        <v>163840</v>
      </c>
      <c r="B59" s="5"/>
      <c r="C59" s="55" t="s">
        <v>39</v>
      </c>
      <c r="D59" s="32">
        <f t="shared" si="59"/>
        <v>448.8767123</v>
      </c>
      <c r="E59" s="5"/>
      <c r="F59" s="55" t="s">
        <v>39</v>
      </c>
      <c r="G59" s="32">
        <f t="shared" ref="G59:AB59" si="72">($A59/G$5)/365</f>
        <v>224.4383562</v>
      </c>
      <c r="H59" s="32">
        <f t="shared" si="72"/>
        <v>149.6255708</v>
      </c>
      <c r="I59" s="32">
        <f t="shared" si="72"/>
        <v>112.2191781</v>
      </c>
      <c r="J59" s="32">
        <f t="shared" si="72"/>
        <v>448.8767123</v>
      </c>
      <c r="K59" s="32">
        <f t="shared" si="72"/>
        <v>224.4383562</v>
      </c>
      <c r="L59" s="32">
        <f t="shared" si="72"/>
        <v>224.4383562</v>
      </c>
      <c r="M59" s="32">
        <f t="shared" si="72"/>
        <v>44.88767123</v>
      </c>
      <c r="N59" s="32">
        <f t="shared" si="72"/>
        <v>448.8767123</v>
      </c>
      <c r="O59" s="32">
        <f t="shared" si="72"/>
        <v>448.8767123</v>
      </c>
      <c r="P59" s="32">
        <f t="shared" si="72"/>
        <v>448.8767123</v>
      </c>
      <c r="Q59" s="32">
        <f t="shared" si="72"/>
        <v>448.8767123</v>
      </c>
      <c r="R59" s="32">
        <f t="shared" si="72"/>
        <v>448.8767123</v>
      </c>
      <c r="S59" s="32">
        <f t="shared" si="72"/>
        <v>448.8767123</v>
      </c>
      <c r="T59" s="32">
        <f t="shared" si="72"/>
        <v>448.8767123</v>
      </c>
      <c r="U59" s="32">
        <f t="shared" si="72"/>
        <v>448.8767123</v>
      </c>
      <c r="V59" s="32">
        <f t="shared" si="72"/>
        <v>448.8767123</v>
      </c>
      <c r="W59" s="32">
        <f t="shared" si="72"/>
        <v>448.8767123</v>
      </c>
      <c r="X59" s="32">
        <f t="shared" si="72"/>
        <v>448.8767123</v>
      </c>
      <c r="Y59" s="32">
        <f t="shared" si="72"/>
        <v>448.8767123</v>
      </c>
      <c r="Z59" s="32">
        <f t="shared" si="72"/>
        <v>448.8767123</v>
      </c>
      <c r="AA59" s="32">
        <f t="shared" si="72"/>
        <v>448.8767123</v>
      </c>
      <c r="AB59" s="32">
        <f t="shared" si="72"/>
        <v>448.8767123</v>
      </c>
    </row>
    <row r="60" ht="15.75" customHeight="1">
      <c r="A60" s="21">
        <f>'Soul Energy Tiers'!J17</f>
        <v>327680</v>
      </c>
      <c r="B60" s="5"/>
      <c r="C60" s="55" t="s">
        <v>41</v>
      </c>
      <c r="D60" s="32">
        <f t="shared" si="59"/>
        <v>897.7534247</v>
      </c>
      <c r="E60" s="5"/>
      <c r="F60" s="55" t="s">
        <v>41</v>
      </c>
      <c r="G60" s="32">
        <f t="shared" ref="G60:AB60" si="73">($A60/G$5)/365</f>
        <v>448.8767123</v>
      </c>
      <c r="H60" s="32">
        <f t="shared" si="73"/>
        <v>299.2511416</v>
      </c>
      <c r="I60" s="32">
        <f t="shared" si="73"/>
        <v>224.4383562</v>
      </c>
      <c r="J60" s="32">
        <f t="shared" si="73"/>
        <v>897.7534247</v>
      </c>
      <c r="K60" s="32">
        <f t="shared" si="73"/>
        <v>448.8767123</v>
      </c>
      <c r="L60" s="32">
        <f t="shared" si="73"/>
        <v>448.8767123</v>
      </c>
      <c r="M60" s="32">
        <f t="shared" si="73"/>
        <v>89.77534247</v>
      </c>
      <c r="N60" s="32">
        <f t="shared" si="73"/>
        <v>897.7534247</v>
      </c>
      <c r="O60" s="32">
        <f t="shared" si="73"/>
        <v>897.7534247</v>
      </c>
      <c r="P60" s="32">
        <f t="shared" si="73"/>
        <v>897.7534247</v>
      </c>
      <c r="Q60" s="32">
        <f t="shared" si="73"/>
        <v>897.7534247</v>
      </c>
      <c r="R60" s="32">
        <f t="shared" si="73"/>
        <v>897.7534247</v>
      </c>
      <c r="S60" s="32">
        <f t="shared" si="73"/>
        <v>897.7534247</v>
      </c>
      <c r="T60" s="32">
        <f t="shared" si="73"/>
        <v>897.7534247</v>
      </c>
      <c r="U60" s="32">
        <f t="shared" si="73"/>
        <v>897.7534247</v>
      </c>
      <c r="V60" s="32">
        <f t="shared" si="73"/>
        <v>897.7534247</v>
      </c>
      <c r="W60" s="32">
        <f t="shared" si="73"/>
        <v>897.7534247</v>
      </c>
      <c r="X60" s="32">
        <f t="shared" si="73"/>
        <v>897.7534247</v>
      </c>
      <c r="Y60" s="32">
        <f t="shared" si="73"/>
        <v>897.7534247</v>
      </c>
      <c r="Z60" s="32">
        <f t="shared" si="73"/>
        <v>897.7534247</v>
      </c>
      <c r="AA60" s="32">
        <f t="shared" si="73"/>
        <v>897.7534247</v>
      </c>
      <c r="AB60" s="32">
        <f t="shared" si="73"/>
        <v>897.7534247</v>
      </c>
    </row>
    <row r="61" ht="15.75" customHeight="1">
      <c r="A61" s="21">
        <f>'Soul Energy Tiers'!J18</f>
        <v>655360</v>
      </c>
      <c r="B61" s="5"/>
      <c r="C61" s="55" t="s">
        <v>43</v>
      </c>
      <c r="D61" s="32">
        <f t="shared" si="59"/>
        <v>1795.506849</v>
      </c>
      <c r="E61" s="5"/>
      <c r="F61" s="55" t="s">
        <v>43</v>
      </c>
      <c r="G61" s="32">
        <f t="shared" ref="G61:AB61" si="74">($A61/G$5)/365</f>
        <v>897.7534247</v>
      </c>
      <c r="H61" s="32">
        <f t="shared" si="74"/>
        <v>598.5022831</v>
      </c>
      <c r="I61" s="32">
        <f t="shared" si="74"/>
        <v>448.8767123</v>
      </c>
      <c r="J61" s="32">
        <f t="shared" si="74"/>
        <v>1795.506849</v>
      </c>
      <c r="K61" s="32">
        <f t="shared" si="74"/>
        <v>897.7534247</v>
      </c>
      <c r="L61" s="32">
        <f t="shared" si="74"/>
        <v>897.7534247</v>
      </c>
      <c r="M61" s="32">
        <f t="shared" si="74"/>
        <v>179.5506849</v>
      </c>
      <c r="N61" s="32">
        <f t="shared" si="74"/>
        <v>1795.506849</v>
      </c>
      <c r="O61" s="32">
        <f t="shared" si="74"/>
        <v>1795.506849</v>
      </c>
      <c r="P61" s="32">
        <f t="shared" si="74"/>
        <v>1795.506849</v>
      </c>
      <c r="Q61" s="32">
        <f t="shared" si="74"/>
        <v>1795.506849</v>
      </c>
      <c r="R61" s="32">
        <f t="shared" si="74"/>
        <v>1795.506849</v>
      </c>
      <c r="S61" s="32">
        <f t="shared" si="74"/>
        <v>1795.506849</v>
      </c>
      <c r="T61" s="32">
        <f t="shared" si="74"/>
        <v>1795.506849</v>
      </c>
      <c r="U61" s="32">
        <f t="shared" si="74"/>
        <v>1795.506849</v>
      </c>
      <c r="V61" s="32">
        <f t="shared" si="74"/>
        <v>1795.506849</v>
      </c>
      <c r="W61" s="32">
        <f t="shared" si="74"/>
        <v>1795.506849</v>
      </c>
      <c r="X61" s="32">
        <f t="shared" si="74"/>
        <v>1795.506849</v>
      </c>
      <c r="Y61" s="32">
        <f t="shared" si="74"/>
        <v>1795.506849</v>
      </c>
      <c r="Z61" s="32">
        <f t="shared" si="74"/>
        <v>1795.506849</v>
      </c>
      <c r="AA61" s="32">
        <f t="shared" si="74"/>
        <v>1795.506849</v>
      </c>
      <c r="AB61" s="32">
        <f t="shared" si="74"/>
        <v>1795.506849</v>
      </c>
    </row>
    <row r="62" ht="15.75" customHeight="1">
      <c r="A62" s="21">
        <f>'Soul Energy Tiers'!J19</f>
        <v>1310720</v>
      </c>
      <c r="B62" s="5"/>
      <c r="C62" s="55" t="s">
        <v>45</v>
      </c>
      <c r="D62" s="32">
        <f t="shared" si="59"/>
        <v>3591.013699</v>
      </c>
      <c r="E62" s="5"/>
      <c r="F62" s="55" t="s">
        <v>45</v>
      </c>
      <c r="G62" s="32">
        <f t="shared" ref="G62:AB62" si="75">($A62/G$5)/365</f>
        <v>1795.506849</v>
      </c>
      <c r="H62" s="32">
        <f t="shared" si="75"/>
        <v>1197.004566</v>
      </c>
      <c r="I62" s="32">
        <f t="shared" si="75"/>
        <v>897.7534247</v>
      </c>
      <c r="J62" s="32">
        <f t="shared" si="75"/>
        <v>3591.013699</v>
      </c>
      <c r="K62" s="32">
        <f t="shared" si="75"/>
        <v>1795.506849</v>
      </c>
      <c r="L62" s="32">
        <f t="shared" si="75"/>
        <v>1795.506849</v>
      </c>
      <c r="M62" s="32">
        <f t="shared" si="75"/>
        <v>359.1013699</v>
      </c>
      <c r="N62" s="32">
        <f t="shared" si="75"/>
        <v>3591.013699</v>
      </c>
      <c r="O62" s="32">
        <f t="shared" si="75"/>
        <v>3591.013699</v>
      </c>
      <c r="P62" s="32">
        <f t="shared" si="75"/>
        <v>3591.013699</v>
      </c>
      <c r="Q62" s="32">
        <f t="shared" si="75"/>
        <v>3591.013699</v>
      </c>
      <c r="R62" s="32">
        <f t="shared" si="75"/>
        <v>3591.013699</v>
      </c>
      <c r="S62" s="32">
        <f t="shared" si="75"/>
        <v>3591.013699</v>
      </c>
      <c r="T62" s="32">
        <f t="shared" si="75"/>
        <v>3591.013699</v>
      </c>
      <c r="U62" s="32">
        <f t="shared" si="75"/>
        <v>3591.013699</v>
      </c>
      <c r="V62" s="32">
        <f t="shared" si="75"/>
        <v>3591.013699</v>
      </c>
      <c r="W62" s="32">
        <f t="shared" si="75"/>
        <v>3591.013699</v>
      </c>
      <c r="X62" s="32">
        <f t="shared" si="75"/>
        <v>3591.013699</v>
      </c>
      <c r="Y62" s="32">
        <f t="shared" si="75"/>
        <v>3591.013699</v>
      </c>
      <c r="Z62" s="32">
        <f t="shared" si="75"/>
        <v>3591.013699</v>
      </c>
      <c r="AA62" s="32">
        <f t="shared" si="75"/>
        <v>3591.013699</v>
      </c>
      <c r="AB62" s="32">
        <f t="shared" si="75"/>
        <v>3591.013699</v>
      </c>
    </row>
    <row r="63" ht="15.75" customHeight="1">
      <c r="B63" s="5"/>
      <c r="E63" s="5"/>
    </row>
    <row r="64" ht="15.75" customHeight="1">
      <c r="B64" s="5"/>
      <c r="E64" s="5"/>
    </row>
    <row r="65" ht="15.75" customHeight="1">
      <c r="B65" s="5"/>
      <c r="E65" s="5"/>
    </row>
    <row r="66" ht="15.75" customHeight="1">
      <c r="B66" s="5"/>
      <c r="E66" s="5"/>
    </row>
    <row r="67" ht="15.75" customHeight="1">
      <c r="B67" s="5"/>
      <c r="E67" s="5"/>
    </row>
    <row r="68" ht="15.75" customHeight="1">
      <c r="B68" s="5"/>
      <c r="E68" s="5"/>
    </row>
    <row r="69" ht="15.75" customHeight="1">
      <c r="B69" s="5"/>
      <c r="E69" s="5"/>
    </row>
    <row r="70" ht="15.75" customHeight="1">
      <c r="B70" s="5"/>
      <c r="E70" s="5"/>
    </row>
    <row r="71" ht="15.75" customHeight="1">
      <c r="B71" s="5"/>
      <c r="E71" s="5"/>
    </row>
    <row r="72" ht="15.75" customHeight="1">
      <c r="B72" s="5"/>
      <c r="E72" s="5"/>
    </row>
    <row r="73" ht="15.75" customHeight="1">
      <c r="B73" s="5"/>
      <c r="E73" s="5"/>
    </row>
    <row r="74" ht="15.75" customHeight="1">
      <c r="B74" s="5"/>
      <c r="E74" s="5"/>
    </row>
    <row r="75" ht="15.75" customHeight="1">
      <c r="B75" s="5"/>
      <c r="E75" s="5"/>
    </row>
    <row r="76" ht="15.75" customHeight="1">
      <c r="B76" s="5"/>
      <c r="E76" s="5"/>
    </row>
    <row r="77" ht="15.75" customHeight="1">
      <c r="B77" s="5"/>
      <c r="E77" s="5"/>
    </row>
    <row r="78" ht="15.75" customHeight="1">
      <c r="B78" s="5"/>
      <c r="E78" s="5"/>
    </row>
    <row r="79" ht="15.75" customHeight="1">
      <c r="B79" s="5"/>
      <c r="E79" s="5"/>
    </row>
    <row r="80" ht="15.75" customHeight="1">
      <c r="B80" s="5"/>
      <c r="E80" s="5"/>
    </row>
    <row r="81" ht="15.75" customHeight="1">
      <c r="B81" s="5"/>
      <c r="E81" s="5"/>
    </row>
    <row r="82" ht="15.75" customHeight="1">
      <c r="B82" s="5"/>
      <c r="E82" s="5"/>
    </row>
    <row r="83" ht="15.75" customHeight="1">
      <c r="B83" s="5"/>
      <c r="E83" s="5"/>
    </row>
    <row r="84" ht="15.75" customHeight="1">
      <c r="B84" s="5"/>
      <c r="E84" s="5"/>
    </row>
    <row r="85" ht="15.75" customHeight="1">
      <c r="B85" s="5"/>
      <c r="E85" s="5"/>
    </row>
    <row r="86" ht="15.75" customHeight="1">
      <c r="B86" s="5"/>
      <c r="E86" s="5"/>
    </row>
    <row r="87" ht="15.75" customHeight="1">
      <c r="B87" s="5"/>
      <c r="E87" s="5"/>
    </row>
    <row r="88" ht="15.75" customHeight="1">
      <c r="B88" s="5"/>
      <c r="E88" s="5"/>
    </row>
    <row r="89" ht="15.75" customHeight="1">
      <c r="B89" s="5"/>
      <c r="E89" s="5"/>
    </row>
    <row r="90" ht="15.75" customHeight="1">
      <c r="B90" s="5"/>
      <c r="E90" s="5"/>
    </row>
    <row r="91" ht="15.75" customHeight="1">
      <c r="B91" s="5"/>
      <c r="E91" s="5"/>
    </row>
    <row r="92" ht="15.75" customHeight="1">
      <c r="B92" s="5"/>
      <c r="E92" s="5"/>
    </row>
    <row r="93" ht="15.75" customHeight="1">
      <c r="B93" s="5"/>
      <c r="E93" s="5"/>
    </row>
    <row r="94" ht="15.75" customHeight="1">
      <c r="B94" s="5"/>
      <c r="E94" s="5"/>
    </row>
    <row r="95" ht="15.75" customHeight="1">
      <c r="B95" s="5"/>
      <c r="E95" s="5"/>
    </row>
    <row r="96" ht="15.75" customHeight="1">
      <c r="B96" s="5"/>
      <c r="E96" s="5"/>
    </row>
    <row r="97" ht="15.75" customHeight="1">
      <c r="B97" s="5"/>
      <c r="E97" s="5"/>
    </row>
    <row r="98" ht="15.75" customHeight="1">
      <c r="B98" s="5"/>
      <c r="E98" s="5"/>
    </row>
    <row r="99" ht="15.75" customHeight="1">
      <c r="B99" s="5"/>
      <c r="E99" s="5"/>
    </row>
    <row r="100" ht="15.75" customHeight="1">
      <c r="B100" s="5"/>
      <c r="E100" s="5"/>
    </row>
    <row r="101" ht="15.75" customHeight="1">
      <c r="B101" s="5"/>
      <c r="E101" s="5"/>
    </row>
    <row r="102" ht="15.75" customHeight="1">
      <c r="B102" s="5"/>
      <c r="E102" s="5"/>
    </row>
    <row r="103" ht="15.75" customHeight="1">
      <c r="B103" s="5"/>
      <c r="E103" s="5"/>
    </row>
    <row r="104" ht="15.75" customHeight="1">
      <c r="B104" s="5"/>
      <c r="E104" s="5"/>
    </row>
    <row r="105" ht="15.75" customHeight="1">
      <c r="B105" s="5"/>
      <c r="E105" s="5"/>
    </row>
    <row r="106" ht="15.75" customHeight="1">
      <c r="B106" s="5"/>
      <c r="E106" s="5"/>
    </row>
    <row r="107" ht="15.75" customHeight="1">
      <c r="B107" s="5"/>
      <c r="E107" s="5"/>
    </row>
    <row r="108" ht="15.75" customHeight="1">
      <c r="B108" s="5"/>
      <c r="E108" s="5"/>
    </row>
    <row r="109" ht="15.75" customHeight="1">
      <c r="B109" s="5"/>
      <c r="E109" s="5"/>
    </row>
    <row r="110" ht="15.75" customHeight="1">
      <c r="B110" s="5"/>
      <c r="E110" s="5"/>
    </row>
    <row r="111" ht="15.75" customHeight="1">
      <c r="B111" s="5"/>
      <c r="E111" s="5"/>
    </row>
    <row r="112" ht="15.75" customHeight="1">
      <c r="B112" s="5"/>
      <c r="E112" s="5"/>
    </row>
    <row r="113" ht="15.75" customHeight="1">
      <c r="B113" s="5"/>
      <c r="E113" s="5"/>
    </row>
    <row r="114" ht="15.75" customHeight="1">
      <c r="B114" s="5"/>
      <c r="E114" s="5"/>
    </row>
    <row r="115" ht="15.75" customHeight="1">
      <c r="B115" s="5"/>
      <c r="E115" s="5"/>
    </row>
    <row r="116" ht="15.75" customHeight="1">
      <c r="B116" s="5"/>
      <c r="E116" s="5"/>
    </row>
    <row r="117" ht="15.75" customHeight="1">
      <c r="B117" s="5"/>
      <c r="E117" s="5"/>
    </row>
    <row r="118" ht="15.75" customHeight="1">
      <c r="B118" s="5"/>
      <c r="E118" s="5"/>
    </row>
    <row r="119" ht="15.75" customHeight="1">
      <c r="B119" s="5"/>
      <c r="E119" s="5"/>
    </row>
    <row r="120" ht="15.75" customHeight="1">
      <c r="B120" s="5"/>
      <c r="E120" s="5"/>
    </row>
    <row r="121" ht="15.75" customHeight="1">
      <c r="B121" s="5"/>
      <c r="E121" s="5"/>
    </row>
    <row r="122" ht="15.75" customHeight="1">
      <c r="B122" s="5"/>
      <c r="E122" s="5"/>
    </row>
    <row r="123" ht="15.75" customHeight="1">
      <c r="B123" s="5"/>
      <c r="E123" s="5"/>
    </row>
    <row r="124" ht="15.75" customHeight="1">
      <c r="B124" s="5"/>
      <c r="E124" s="5"/>
    </row>
    <row r="125" ht="15.75" customHeight="1">
      <c r="B125" s="5"/>
      <c r="E125" s="5"/>
    </row>
    <row r="126" ht="15.75" customHeight="1">
      <c r="B126" s="5"/>
      <c r="E126" s="5"/>
    </row>
    <row r="127" ht="15.75" customHeight="1">
      <c r="B127" s="5"/>
      <c r="E127" s="5"/>
    </row>
    <row r="128" ht="15.75" customHeight="1">
      <c r="B128" s="5"/>
      <c r="E128" s="5"/>
    </row>
    <row r="129" ht="15.75" customHeight="1">
      <c r="B129" s="5"/>
      <c r="E129" s="5"/>
    </row>
    <row r="130" ht="15.75" customHeight="1">
      <c r="B130" s="5"/>
      <c r="E130" s="5"/>
    </row>
    <row r="131" ht="15.75" customHeight="1">
      <c r="B131" s="5"/>
      <c r="E131" s="5"/>
    </row>
    <row r="132" ht="15.75" customHeight="1">
      <c r="B132" s="5"/>
      <c r="E132" s="5"/>
    </row>
    <row r="133" ht="15.75" customHeight="1">
      <c r="B133" s="5"/>
      <c r="E133" s="5"/>
    </row>
    <row r="134" ht="15.75" customHeight="1">
      <c r="B134" s="5"/>
      <c r="E134" s="5"/>
    </row>
    <row r="135" ht="15.75" customHeight="1">
      <c r="B135" s="5"/>
      <c r="E135" s="5"/>
    </row>
    <row r="136" ht="15.75" customHeight="1">
      <c r="B136" s="5"/>
      <c r="E136" s="5"/>
    </row>
    <row r="137" ht="15.75" customHeight="1">
      <c r="B137" s="5"/>
      <c r="E137" s="5"/>
    </row>
    <row r="138" ht="15.75" customHeight="1">
      <c r="B138" s="5"/>
      <c r="E138" s="5"/>
    </row>
    <row r="139" ht="15.75" customHeight="1">
      <c r="B139" s="5"/>
      <c r="E139" s="5"/>
    </row>
    <row r="140" ht="15.75" customHeight="1">
      <c r="B140" s="5"/>
      <c r="E140" s="5"/>
    </row>
    <row r="141" ht="15.75" customHeight="1">
      <c r="B141" s="5"/>
      <c r="E141" s="5"/>
    </row>
    <row r="142" ht="15.75" customHeight="1">
      <c r="B142" s="5"/>
      <c r="E142" s="5"/>
    </row>
    <row r="143" ht="15.75" customHeight="1">
      <c r="B143" s="5"/>
      <c r="E143" s="5"/>
    </row>
    <row r="144" ht="15.75" customHeight="1">
      <c r="B144" s="5"/>
      <c r="E144" s="5"/>
    </row>
    <row r="145" ht="15.75" customHeight="1">
      <c r="B145" s="5"/>
      <c r="E145" s="5"/>
    </row>
    <row r="146" ht="15.75" customHeight="1">
      <c r="B146" s="5"/>
      <c r="E146" s="5"/>
    </row>
    <row r="147" ht="15.75" customHeight="1">
      <c r="B147" s="5"/>
      <c r="E147" s="5"/>
    </row>
    <row r="148" ht="15.75" customHeight="1">
      <c r="B148" s="5"/>
      <c r="E148" s="5"/>
    </row>
    <row r="149" ht="15.75" customHeight="1">
      <c r="B149" s="5"/>
      <c r="E149" s="5"/>
    </row>
    <row r="150" ht="15.75" customHeight="1">
      <c r="B150" s="5"/>
      <c r="E150" s="5"/>
    </row>
    <row r="151" ht="15.75" customHeight="1">
      <c r="B151" s="5"/>
      <c r="E151" s="5"/>
    </row>
    <row r="152" ht="15.75" customHeight="1">
      <c r="B152" s="5"/>
      <c r="E152" s="5"/>
    </row>
    <row r="153" ht="15.75" customHeight="1">
      <c r="B153" s="5"/>
      <c r="E153" s="5"/>
    </row>
    <row r="154" ht="15.75" customHeight="1">
      <c r="B154" s="5"/>
      <c r="E154" s="5"/>
    </row>
    <row r="155" ht="15.75" customHeight="1">
      <c r="B155" s="5"/>
      <c r="E155" s="5"/>
    </row>
    <row r="156" ht="15.75" customHeight="1">
      <c r="B156" s="5"/>
      <c r="E156" s="5"/>
    </row>
    <row r="157" ht="15.75" customHeight="1">
      <c r="B157" s="5"/>
      <c r="E157" s="5"/>
    </row>
    <row r="158" ht="15.75" customHeight="1">
      <c r="B158" s="5"/>
      <c r="E158" s="5"/>
    </row>
    <row r="159" ht="15.75" customHeight="1">
      <c r="B159" s="5"/>
      <c r="E159" s="5"/>
    </row>
    <row r="160" ht="15.75" customHeight="1">
      <c r="B160" s="5"/>
      <c r="E160" s="5"/>
    </row>
    <row r="161" ht="15.75" customHeight="1">
      <c r="B161" s="5"/>
      <c r="E161" s="5"/>
    </row>
    <row r="162" ht="15.75" customHeight="1">
      <c r="B162" s="5"/>
      <c r="E162" s="5"/>
    </row>
    <row r="163" ht="15.75" customHeight="1">
      <c r="B163" s="5"/>
      <c r="E163" s="5"/>
    </row>
    <row r="164" ht="15.75" customHeight="1">
      <c r="B164" s="5"/>
      <c r="E164" s="5"/>
    </row>
    <row r="165" ht="15.75" customHeight="1">
      <c r="B165" s="5"/>
      <c r="E165" s="5"/>
    </row>
    <row r="166" ht="15.75" customHeight="1">
      <c r="B166" s="5"/>
      <c r="E166" s="5"/>
    </row>
    <row r="167" ht="15.75" customHeight="1">
      <c r="B167" s="5"/>
      <c r="E167" s="5"/>
    </row>
    <row r="168" ht="15.75" customHeight="1">
      <c r="B168" s="5"/>
      <c r="E168" s="5"/>
    </row>
    <row r="169" ht="15.75" customHeight="1">
      <c r="B169" s="5"/>
      <c r="E169" s="5"/>
    </row>
    <row r="170" ht="15.75" customHeight="1">
      <c r="B170" s="5"/>
      <c r="E170" s="5"/>
    </row>
    <row r="171" ht="15.75" customHeight="1">
      <c r="B171" s="5"/>
      <c r="E171" s="5"/>
    </row>
    <row r="172" ht="15.75" customHeight="1">
      <c r="B172" s="5"/>
      <c r="E172" s="5"/>
    </row>
    <row r="173" ht="15.75" customHeight="1">
      <c r="B173" s="5"/>
      <c r="E173" s="5"/>
    </row>
    <row r="174" ht="15.75" customHeight="1">
      <c r="B174" s="5"/>
      <c r="E174" s="5"/>
    </row>
    <row r="175" ht="15.75" customHeight="1">
      <c r="B175" s="5"/>
      <c r="E175" s="5"/>
    </row>
    <row r="176" ht="15.75" customHeight="1">
      <c r="B176" s="5"/>
      <c r="E176" s="5"/>
    </row>
    <row r="177" ht="15.75" customHeight="1">
      <c r="B177" s="5"/>
      <c r="E177" s="5"/>
    </row>
    <row r="178" ht="15.75" customHeight="1">
      <c r="B178" s="5"/>
      <c r="E178" s="5"/>
    </row>
    <row r="179" ht="15.75" customHeight="1">
      <c r="B179" s="5"/>
      <c r="E179" s="5"/>
    </row>
    <row r="180" ht="15.75" customHeight="1">
      <c r="B180" s="5"/>
      <c r="E180" s="5"/>
    </row>
    <row r="181" ht="15.75" customHeight="1">
      <c r="B181" s="5"/>
      <c r="E181" s="5"/>
    </row>
    <row r="182" ht="15.75" customHeight="1">
      <c r="B182" s="5"/>
      <c r="E182" s="5"/>
    </row>
    <row r="183" ht="15.75" customHeight="1">
      <c r="B183" s="5"/>
      <c r="E183" s="5"/>
    </row>
    <row r="184" ht="15.75" customHeight="1">
      <c r="B184" s="5"/>
      <c r="E184" s="5"/>
    </row>
    <row r="185" ht="15.75" customHeight="1">
      <c r="B185" s="5"/>
      <c r="E185" s="5"/>
    </row>
    <row r="186" ht="15.75" customHeight="1">
      <c r="B186" s="5"/>
      <c r="E186" s="5"/>
    </row>
    <row r="187" ht="15.75" customHeight="1">
      <c r="B187" s="5"/>
      <c r="E187" s="5"/>
    </row>
    <row r="188" ht="15.75" customHeight="1">
      <c r="B188" s="5"/>
      <c r="E188" s="5"/>
    </row>
    <row r="189" ht="15.75" customHeight="1">
      <c r="B189" s="5"/>
      <c r="E189" s="5"/>
    </row>
    <row r="190" ht="15.75" customHeight="1">
      <c r="B190" s="5"/>
      <c r="E190" s="5"/>
    </row>
    <row r="191" ht="15.75" customHeight="1">
      <c r="B191" s="5"/>
      <c r="E191" s="5"/>
    </row>
    <row r="192" ht="15.75" customHeight="1">
      <c r="B192" s="5"/>
      <c r="E192" s="5"/>
    </row>
    <row r="193" ht="15.75" customHeight="1">
      <c r="B193" s="5"/>
      <c r="E193" s="5"/>
    </row>
    <row r="194" ht="15.75" customHeight="1">
      <c r="B194" s="5"/>
      <c r="E194" s="5"/>
    </row>
    <row r="195" ht="15.75" customHeight="1">
      <c r="B195" s="5"/>
      <c r="E195" s="5"/>
    </row>
    <row r="196" ht="15.75" customHeight="1">
      <c r="B196" s="5"/>
      <c r="E196" s="5"/>
    </row>
    <row r="197" ht="15.75" customHeight="1">
      <c r="B197" s="5"/>
      <c r="E197" s="5"/>
    </row>
    <row r="198" ht="15.75" customHeight="1">
      <c r="B198" s="5"/>
      <c r="E198" s="5"/>
    </row>
    <row r="199" ht="15.75" customHeight="1">
      <c r="B199" s="5"/>
      <c r="E199" s="5"/>
    </row>
    <row r="200" ht="15.75" customHeight="1">
      <c r="B200" s="5"/>
      <c r="E200" s="5"/>
    </row>
    <row r="201" ht="15.75" customHeight="1">
      <c r="B201" s="5"/>
      <c r="E201" s="5"/>
    </row>
    <row r="202" ht="15.75" customHeight="1">
      <c r="B202" s="5"/>
      <c r="E202" s="5"/>
    </row>
    <row r="203" ht="15.75" customHeight="1">
      <c r="B203" s="5"/>
      <c r="E203" s="5"/>
    </row>
    <row r="204" ht="15.75" customHeight="1">
      <c r="B204" s="5"/>
      <c r="E204" s="5"/>
    </row>
    <row r="205" ht="15.75" customHeight="1">
      <c r="B205" s="5"/>
      <c r="E205" s="5"/>
    </row>
    <row r="206" ht="15.75" customHeight="1">
      <c r="B206" s="5"/>
      <c r="E206" s="5"/>
    </row>
    <row r="207" ht="15.75" customHeight="1">
      <c r="B207" s="5"/>
      <c r="E207" s="5"/>
    </row>
    <row r="208" ht="15.75" customHeight="1">
      <c r="B208" s="5"/>
      <c r="E208" s="5"/>
    </row>
    <row r="209" ht="15.75" customHeight="1">
      <c r="B209" s="5"/>
      <c r="E209" s="5"/>
    </row>
    <row r="210" ht="15.75" customHeight="1">
      <c r="B210" s="5"/>
      <c r="E210" s="5"/>
    </row>
    <row r="211" ht="15.75" customHeight="1">
      <c r="B211" s="5"/>
      <c r="E211" s="5"/>
    </row>
    <row r="212" ht="15.75" customHeight="1">
      <c r="B212" s="5"/>
      <c r="E212" s="5"/>
    </row>
    <row r="213" ht="15.75" customHeight="1">
      <c r="B213" s="5"/>
      <c r="E213" s="5"/>
    </row>
    <row r="214" ht="15.75" customHeight="1">
      <c r="B214" s="5"/>
      <c r="E214" s="5"/>
    </row>
    <row r="215" ht="15.75" customHeight="1">
      <c r="B215" s="5"/>
      <c r="E215" s="5"/>
    </row>
    <row r="216" ht="15.75" customHeight="1">
      <c r="B216" s="5"/>
      <c r="E216" s="5"/>
    </row>
    <row r="217" ht="15.75" customHeight="1">
      <c r="B217" s="5"/>
      <c r="E217" s="5"/>
    </row>
    <row r="218" ht="15.75" customHeight="1">
      <c r="B218" s="5"/>
      <c r="E218" s="5"/>
    </row>
    <row r="219" ht="15.75" customHeight="1">
      <c r="B219" s="5"/>
      <c r="E219" s="5"/>
    </row>
    <row r="220" ht="15.75" customHeight="1">
      <c r="B220" s="5"/>
      <c r="E220" s="5"/>
    </row>
    <row r="221" ht="15.75" customHeight="1">
      <c r="B221" s="5"/>
      <c r="E221" s="5"/>
    </row>
    <row r="222" ht="15.75" customHeight="1">
      <c r="B222" s="5"/>
      <c r="E222" s="5"/>
    </row>
    <row r="223" ht="15.75" customHeight="1">
      <c r="B223" s="5"/>
      <c r="E223" s="5"/>
    </row>
    <row r="224" ht="15.75" customHeight="1">
      <c r="B224" s="5"/>
      <c r="E224" s="5"/>
    </row>
    <row r="225" ht="15.75" customHeight="1">
      <c r="B225" s="5"/>
      <c r="E225" s="5"/>
    </row>
    <row r="226" ht="15.75" customHeight="1">
      <c r="B226" s="5"/>
      <c r="E226" s="5"/>
    </row>
    <row r="227" ht="15.75" customHeight="1">
      <c r="B227" s="5"/>
      <c r="E227" s="5"/>
    </row>
    <row r="228" ht="15.75" customHeight="1">
      <c r="B228" s="5"/>
      <c r="E228" s="5"/>
    </row>
    <row r="229" ht="15.75" customHeight="1">
      <c r="B229" s="5"/>
      <c r="E229" s="5"/>
    </row>
    <row r="230" ht="15.75" customHeight="1">
      <c r="B230" s="5"/>
      <c r="E230" s="5"/>
    </row>
    <row r="231" ht="15.75" customHeight="1">
      <c r="B231" s="5"/>
      <c r="E231" s="5"/>
    </row>
    <row r="232" ht="15.75" customHeight="1">
      <c r="B232" s="5"/>
      <c r="E232" s="5"/>
    </row>
    <row r="233" ht="15.75" customHeight="1">
      <c r="B233" s="5"/>
      <c r="E233" s="5"/>
    </row>
    <row r="234" ht="15.75" customHeight="1">
      <c r="B234" s="5"/>
      <c r="E234" s="5"/>
    </row>
    <row r="235" ht="15.75" customHeight="1">
      <c r="B235" s="5"/>
      <c r="E235" s="5"/>
    </row>
    <row r="236" ht="15.75" customHeight="1">
      <c r="B236" s="5"/>
      <c r="E236" s="5"/>
    </row>
    <row r="237" ht="15.75" customHeight="1">
      <c r="B237" s="5"/>
      <c r="E237" s="5"/>
    </row>
    <row r="238" ht="15.75" customHeight="1">
      <c r="B238" s="5"/>
      <c r="E238" s="5"/>
    </row>
    <row r="239" ht="15.75" customHeight="1">
      <c r="B239" s="5"/>
      <c r="E239" s="5"/>
    </row>
    <row r="240" ht="15.75" customHeight="1">
      <c r="B240" s="5"/>
      <c r="E240" s="5"/>
    </row>
    <row r="241" ht="15.75" customHeight="1">
      <c r="B241" s="5"/>
      <c r="E241" s="5"/>
    </row>
    <row r="242" ht="15.75" customHeight="1">
      <c r="B242" s="5"/>
      <c r="E242" s="5"/>
    </row>
    <row r="243" ht="15.75" customHeight="1">
      <c r="B243" s="5"/>
      <c r="E243" s="5"/>
    </row>
    <row r="244" ht="15.75" customHeight="1">
      <c r="B244" s="5"/>
      <c r="E244" s="5"/>
    </row>
    <row r="245" ht="15.75" customHeight="1">
      <c r="B245" s="5"/>
      <c r="E245" s="5"/>
    </row>
    <row r="246" ht="15.75" customHeight="1">
      <c r="B246" s="5"/>
      <c r="E246" s="5"/>
    </row>
    <row r="247" ht="15.75" customHeight="1">
      <c r="B247" s="5"/>
      <c r="E247" s="5"/>
    </row>
    <row r="248" ht="15.75" customHeight="1">
      <c r="B248" s="5"/>
      <c r="E248" s="5"/>
    </row>
    <row r="249" ht="15.75" customHeight="1">
      <c r="B249" s="5"/>
      <c r="E249" s="5"/>
    </row>
    <row r="250" ht="15.75" customHeight="1">
      <c r="B250" s="5"/>
      <c r="E250" s="5"/>
    </row>
    <row r="251" ht="15.75" customHeight="1">
      <c r="B251" s="5"/>
      <c r="E251" s="5"/>
    </row>
    <row r="252" ht="15.75" customHeight="1">
      <c r="B252" s="5"/>
      <c r="E252" s="5"/>
    </row>
    <row r="253" ht="15.75" customHeight="1">
      <c r="B253" s="5"/>
      <c r="E253" s="5"/>
    </row>
    <row r="254" ht="15.75" customHeight="1">
      <c r="B254" s="5"/>
      <c r="E254" s="5"/>
    </row>
    <row r="255" ht="15.75" customHeight="1">
      <c r="B255" s="5"/>
      <c r="E255" s="5"/>
    </row>
    <row r="256" ht="15.75" customHeight="1">
      <c r="B256" s="5"/>
      <c r="E256" s="5"/>
    </row>
    <row r="257" ht="15.75" customHeight="1">
      <c r="B257" s="5"/>
      <c r="E257" s="5"/>
    </row>
    <row r="258" ht="15.75" customHeight="1">
      <c r="B258" s="5"/>
      <c r="E258" s="5"/>
    </row>
    <row r="259" ht="15.75" customHeight="1">
      <c r="B259" s="5"/>
      <c r="E259" s="5"/>
    </row>
    <row r="260" ht="15.75" customHeight="1">
      <c r="B260" s="5"/>
      <c r="E260" s="5"/>
    </row>
    <row r="261" ht="15.75" customHeight="1">
      <c r="B261" s="5"/>
      <c r="E261" s="5"/>
    </row>
    <row r="262" ht="15.75" customHeight="1">
      <c r="B262" s="5"/>
      <c r="E262" s="5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G8:G24">
    <cfRule type="cellIs" dxfId="0" priority="1" operator="greaterThanOrEqual">
      <formula>$G$4</formula>
    </cfRule>
  </conditionalFormatting>
  <conditionalFormatting sqref="H8:H24">
    <cfRule type="cellIs" dxfId="0" priority="2" operator="greaterThanOrEqual">
      <formula>$H$4</formula>
    </cfRule>
  </conditionalFormatting>
  <conditionalFormatting sqref="I8:I24">
    <cfRule type="cellIs" dxfId="0" priority="3" operator="greaterThanOrEqual">
      <formula>$I$4</formula>
    </cfRule>
  </conditionalFormatting>
  <conditionalFormatting sqref="J8:J24">
    <cfRule type="cellIs" dxfId="0" priority="4" operator="greaterThanOrEqual">
      <formula>$J$4</formula>
    </cfRule>
  </conditionalFormatting>
  <conditionalFormatting sqref="K8:K24">
    <cfRule type="cellIs" dxfId="0" priority="5" operator="greaterThanOrEqual">
      <formula>$K$4</formula>
    </cfRule>
  </conditionalFormatting>
  <conditionalFormatting sqref="L8:L24">
    <cfRule type="cellIs" dxfId="0" priority="6" operator="greaterThanOrEqual">
      <formula>$L$4</formula>
    </cfRule>
  </conditionalFormatting>
  <conditionalFormatting sqref="M8:M24">
    <cfRule type="cellIs" dxfId="0" priority="7" operator="greaterThanOrEqual">
      <formula>$M$4</formula>
    </cfRule>
  </conditionalFormatting>
  <conditionalFormatting sqref="N8:N24">
    <cfRule type="cellIs" dxfId="0" priority="8" operator="greaterThanOrEqual">
      <formula>$N$4</formula>
    </cfRule>
  </conditionalFormatting>
  <conditionalFormatting sqref="O8:O24">
    <cfRule type="cellIs" dxfId="0" priority="9" operator="greaterThanOrEqual">
      <formula>$O$4</formula>
    </cfRule>
  </conditionalFormatting>
  <conditionalFormatting sqref="G8:G24">
    <cfRule type="cellIs" dxfId="1" priority="10" operator="between">
      <formula>$G$3</formula>
      <formula>$G$4</formula>
    </cfRule>
  </conditionalFormatting>
  <conditionalFormatting sqref="H8:H24">
    <cfRule type="cellIs" dxfId="1" priority="11" operator="between">
      <formula>$H$3</formula>
      <formula>$H$4</formula>
    </cfRule>
  </conditionalFormatting>
  <conditionalFormatting sqref="I8:I24">
    <cfRule type="cellIs" dxfId="1" priority="12" operator="between">
      <formula>I$3</formula>
      <formula>I$4</formula>
    </cfRule>
  </conditionalFormatting>
  <conditionalFormatting sqref="J8:J24">
    <cfRule type="cellIs" dxfId="1" priority="13" operator="between">
      <formula>$J$3</formula>
      <formula>$J$4</formula>
    </cfRule>
  </conditionalFormatting>
  <conditionalFormatting sqref="K8:K24">
    <cfRule type="cellIs" dxfId="1" priority="14" operator="between">
      <formula>$K$3</formula>
      <formula>$K$4</formula>
    </cfRule>
  </conditionalFormatting>
  <conditionalFormatting sqref="L8:L24">
    <cfRule type="cellIs" dxfId="1" priority="15" operator="between">
      <formula>$L$3</formula>
      <formula>$L$4</formula>
    </cfRule>
  </conditionalFormatting>
  <conditionalFormatting sqref="M8:M24">
    <cfRule type="cellIs" dxfId="1" priority="16" operator="between">
      <formula>$M$3</formula>
      <formula>$M$4</formula>
    </cfRule>
  </conditionalFormatting>
  <conditionalFormatting sqref="N8:N24">
    <cfRule type="cellIs" dxfId="1" priority="17" operator="between">
      <formula>$N$3</formula>
      <formula>$N$4</formula>
    </cfRule>
  </conditionalFormatting>
  <conditionalFormatting sqref="O8:O24">
    <cfRule type="cellIs" dxfId="1" priority="18" operator="between">
      <formula>$O$3</formula>
      <formula>$O$4</formula>
    </cfRule>
  </conditionalFormatting>
  <conditionalFormatting sqref="G8:G24">
    <cfRule type="cellIs" dxfId="2" priority="19" operator="lessThanOrEqual">
      <formula>$G$2</formula>
    </cfRule>
  </conditionalFormatting>
  <conditionalFormatting sqref="D46:D62 G46:AB62">
    <cfRule type="cellIs" dxfId="3" priority="20" operator="lessThanOrEqual">
      <formula>1</formula>
    </cfRule>
  </conditionalFormatting>
  <conditionalFormatting sqref="D27:D43 G27:AB43">
    <cfRule type="cellIs" dxfId="3" priority="21" operator="greaterThanOrEqual">
      <formula>365</formula>
    </cfRule>
  </conditionalFormatting>
  <conditionalFormatting sqref="D8:D24">
    <cfRule type="cellIs" dxfId="4" priority="22" operator="greaterThanOrEqual">
      <formula>$D$4</formula>
    </cfRule>
  </conditionalFormatting>
  <conditionalFormatting sqref="D8:D24">
    <cfRule type="cellIs" dxfId="2" priority="23" operator="lessThanOrEqual">
      <formula>$D$2</formula>
    </cfRule>
  </conditionalFormatting>
  <conditionalFormatting sqref="D8:D24">
    <cfRule type="cellIs" dxfId="1" priority="24" operator="between">
      <formula>$D$3</formula>
      <formula>$D$4</formula>
    </cfRule>
  </conditionalFormatting>
  <conditionalFormatting sqref="P8:P24">
    <cfRule type="cellIs" dxfId="2" priority="25" operator="lessThanOrEqual">
      <formula>$P$2</formula>
    </cfRule>
  </conditionalFormatting>
  <conditionalFormatting sqref="H8:H24">
    <cfRule type="cellIs" dxfId="2" priority="26" operator="lessThanOrEqual">
      <formula>$H$2</formula>
    </cfRule>
  </conditionalFormatting>
  <conditionalFormatting sqref="I8:I24">
    <cfRule type="cellIs" dxfId="2" priority="27" operator="lessThanOrEqual">
      <formula>$I$2</formula>
    </cfRule>
  </conditionalFormatting>
  <conditionalFormatting sqref="J8:J24">
    <cfRule type="cellIs" dxfId="2" priority="28" operator="lessThanOrEqual">
      <formula>$J$2</formula>
    </cfRule>
  </conditionalFormatting>
  <conditionalFormatting sqref="K8:K24">
    <cfRule type="cellIs" dxfId="2" priority="29" operator="lessThanOrEqual">
      <formula>$K$2</formula>
    </cfRule>
  </conditionalFormatting>
  <conditionalFormatting sqref="L8:L24">
    <cfRule type="cellIs" dxfId="2" priority="30" operator="lessThanOrEqual">
      <formula>$L$2</formula>
    </cfRule>
  </conditionalFormatting>
  <conditionalFormatting sqref="M8:M24">
    <cfRule type="cellIs" dxfId="2" priority="31" operator="lessThanOrEqual">
      <formula>$M$2</formula>
    </cfRule>
  </conditionalFormatting>
  <conditionalFormatting sqref="N8:N24">
    <cfRule type="cellIs" dxfId="2" priority="32" operator="lessThanOrEqual">
      <formula>$N$2</formula>
    </cfRule>
  </conditionalFormatting>
  <conditionalFormatting sqref="O8:O24">
    <cfRule type="cellIs" dxfId="2" priority="33" operator="lessThanOrEqual">
      <formula>$O$2</formula>
    </cfRule>
  </conditionalFormatting>
  <conditionalFormatting sqref="Q8:Q24">
    <cfRule type="cellIs" dxfId="2" priority="34" operator="lessThanOrEqual">
      <formula>$Q$2</formula>
    </cfRule>
  </conditionalFormatting>
  <conditionalFormatting sqref="R8:R24">
    <cfRule type="cellIs" dxfId="2" priority="35" operator="lessThanOrEqual">
      <formula>$R$2</formula>
    </cfRule>
  </conditionalFormatting>
  <conditionalFormatting sqref="S8:S24">
    <cfRule type="cellIs" dxfId="2" priority="36" operator="lessThanOrEqual">
      <formula>$S$2</formula>
    </cfRule>
  </conditionalFormatting>
  <conditionalFormatting sqref="T8:T24">
    <cfRule type="cellIs" dxfId="2" priority="37" operator="lessThanOrEqual">
      <formula>$T$2</formula>
    </cfRule>
  </conditionalFormatting>
  <conditionalFormatting sqref="U8:U24">
    <cfRule type="cellIs" dxfId="2" priority="38" operator="lessThanOrEqual">
      <formula>$U$2</formula>
    </cfRule>
  </conditionalFormatting>
  <conditionalFormatting sqref="V8:V24">
    <cfRule type="cellIs" dxfId="2" priority="39" operator="lessThanOrEqual">
      <formula>$V$2</formula>
    </cfRule>
  </conditionalFormatting>
  <conditionalFormatting sqref="W8:W24">
    <cfRule type="cellIs" dxfId="2" priority="40" operator="lessThanOrEqual">
      <formula>$W$2</formula>
    </cfRule>
  </conditionalFormatting>
  <conditionalFormatting sqref="X8:X24">
    <cfRule type="cellIs" dxfId="2" priority="41" operator="lessThanOrEqual">
      <formula>$X$2</formula>
    </cfRule>
  </conditionalFormatting>
  <conditionalFormatting sqref="Y8:Y24">
    <cfRule type="cellIs" dxfId="2" priority="42" operator="lessThanOrEqual">
      <formula>$Y$2</formula>
    </cfRule>
  </conditionalFormatting>
  <conditionalFormatting sqref="Z8:Z24">
    <cfRule type="cellIs" dxfId="2" priority="43" operator="lessThanOrEqual">
      <formula>$Z$2</formula>
    </cfRule>
  </conditionalFormatting>
  <conditionalFormatting sqref="AA8:AA24">
    <cfRule type="cellIs" dxfId="2" priority="44" operator="lessThanOrEqual">
      <formula>$AA$2</formula>
    </cfRule>
  </conditionalFormatting>
  <conditionalFormatting sqref="AB8:AB24">
    <cfRule type="cellIs" dxfId="2" priority="45" operator="lessThanOrEqual">
      <formula>$AB$2</formula>
    </cfRule>
  </conditionalFormatting>
  <conditionalFormatting sqref="P7:P24">
    <cfRule type="cellIs" dxfId="1" priority="46" operator="between">
      <formula>$P$3</formula>
      <formula>$P$4</formula>
    </cfRule>
  </conditionalFormatting>
  <conditionalFormatting sqref="Q8:Q24">
    <cfRule type="cellIs" dxfId="1" priority="47" operator="between">
      <formula>$Q$3</formula>
      <formula>$Q$4</formula>
    </cfRule>
  </conditionalFormatting>
  <conditionalFormatting sqref="R8:R24">
    <cfRule type="cellIs" dxfId="1" priority="48" operator="between">
      <formula>$R$3</formula>
      <formula>$R$4</formula>
    </cfRule>
  </conditionalFormatting>
  <conditionalFormatting sqref="S8:S24">
    <cfRule type="cellIs" dxfId="1" priority="49" operator="between">
      <formula>$S$3</formula>
      <formula>$S$4</formula>
    </cfRule>
  </conditionalFormatting>
  <conditionalFormatting sqref="T8:T24">
    <cfRule type="cellIs" dxfId="1" priority="50" operator="between">
      <formula>$T$3</formula>
      <formula>$T$4</formula>
    </cfRule>
  </conditionalFormatting>
  <conditionalFormatting sqref="U8:U24">
    <cfRule type="cellIs" dxfId="1" priority="51" operator="between">
      <formula>$U$3</formula>
      <formula>$U$4</formula>
    </cfRule>
  </conditionalFormatting>
  <conditionalFormatting sqref="V8:V24">
    <cfRule type="cellIs" dxfId="1" priority="52" operator="between">
      <formula>$V$3</formula>
      <formula>$V$4</formula>
    </cfRule>
  </conditionalFormatting>
  <conditionalFormatting sqref="W8:W24">
    <cfRule type="cellIs" dxfId="1" priority="53" operator="between">
      <formula>$W$3</formula>
      <formula>$W$4</formula>
    </cfRule>
  </conditionalFormatting>
  <conditionalFormatting sqref="X8:X24">
    <cfRule type="cellIs" dxfId="1" priority="54" operator="between">
      <formula>$X$3</formula>
      <formula>$X$4</formula>
    </cfRule>
  </conditionalFormatting>
  <conditionalFormatting sqref="Y8:Y24">
    <cfRule type="cellIs" dxfId="1" priority="55" operator="between">
      <formula>$Y$3</formula>
      <formula>$Y$4</formula>
    </cfRule>
  </conditionalFormatting>
  <conditionalFormatting sqref="Z8:Z24">
    <cfRule type="cellIs" dxfId="1" priority="56" operator="between">
      <formula>$Z$3</formula>
      <formula>$Z$4</formula>
    </cfRule>
  </conditionalFormatting>
  <conditionalFormatting sqref="AA8:AA24">
    <cfRule type="cellIs" dxfId="1" priority="57" operator="between">
      <formula>$AA$3</formula>
      <formula>$AA$4</formula>
    </cfRule>
  </conditionalFormatting>
  <conditionalFormatting sqref="AB8:AB24">
    <cfRule type="cellIs" dxfId="1" priority="58" operator="between">
      <formula>$AB$3</formula>
      <formula>$AB$4</formula>
    </cfRule>
  </conditionalFormatting>
  <conditionalFormatting sqref="P8:P24">
    <cfRule type="cellIs" dxfId="0" priority="59" operator="greaterThanOrEqual">
      <formula>$P$4</formula>
    </cfRule>
  </conditionalFormatting>
  <conditionalFormatting sqref="Q8:Q24">
    <cfRule type="cellIs" dxfId="0" priority="60" operator="greaterThanOrEqual">
      <formula>$O$4</formula>
    </cfRule>
  </conditionalFormatting>
  <conditionalFormatting sqref="R8:R24">
    <cfRule type="cellIs" dxfId="0" priority="61" operator="greaterThanOrEqual">
      <formula>$R$4</formula>
    </cfRule>
  </conditionalFormatting>
  <conditionalFormatting sqref="S8:S24">
    <cfRule type="cellIs" dxfId="0" priority="62" operator="greaterThanOrEqual">
      <formula>$S$4</formula>
    </cfRule>
  </conditionalFormatting>
  <conditionalFormatting sqref="T8:T24">
    <cfRule type="cellIs" dxfId="0" priority="63" operator="greaterThanOrEqual">
      <formula>$T$4</formula>
    </cfRule>
  </conditionalFormatting>
  <conditionalFormatting sqref="U8:U24">
    <cfRule type="cellIs" dxfId="0" priority="64" operator="greaterThanOrEqual">
      <formula>$U$4</formula>
    </cfRule>
  </conditionalFormatting>
  <conditionalFormatting sqref="V8:V24">
    <cfRule type="cellIs" dxfId="0" priority="65" operator="greaterThanOrEqual">
      <formula>$V$4</formula>
    </cfRule>
  </conditionalFormatting>
  <conditionalFormatting sqref="W8:W24">
    <cfRule type="cellIs" dxfId="0" priority="66" operator="greaterThanOrEqual">
      <formula>$W$4</formula>
    </cfRule>
  </conditionalFormatting>
  <conditionalFormatting sqref="X8:X24">
    <cfRule type="cellIs" dxfId="0" priority="67" operator="greaterThanOrEqual">
      <formula>$X$4</formula>
    </cfRule>
  </conditionalFormatting>
  <conditionalFormatting sqref="Y8:Y24">
    <cfRule type="cellIs" dxfId="0" priority="68" operator="greaterThanOrEqual">
      <formula>$Y$4</formula>
    </cfRule>
  </conditionalFormatting>
  <conditionalFormatting sqref="Z8:Z24">
    <cfRule type="cellIs" dxfId="0" priority="69" operator="greaterThanOrEqual">
      <formula>$Z$4</formula>
    </cfRule>
  </conditionalFormatting>
  <conditionalFormatting sqref="AA8:AA24">
    <cfRule type="cellIs" dxfId="0" priority="70" operator="greaterThanOrEqual">
      <formula>$AA$4</formula>
    </cfRule>
  </conditionalFormatting>
  <conditionalFormatting sqref="AB8:AB24">
    <cfRule type="cellIs" dxfId="0" priority="71" operator="greaterThanOrEqual">
      <formula>$AB$4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.38"/>
    <col customWidth="1" min="3" max="3" width="10.5"/>
    <col customWidth="1" min="4" max="4" width="12.63"/>
    <col customWidth="1" min="5" max="5" width="2.38"/>
    <col customWidth="1" min="6" max="6" width="10.5"/>
    <col customWidth="1" min="9" max="10" width="14.63"/>
  </cols>
  <sheetData>
    <row r="1" ht="15.75" customHeight="1">
      <c r="A1" s="34"/>
      <c r="B1" s="5"/>
      <c r="C1" s="34" t="s">
        <v>47</v>
      </c>
      <c r="E1" s="5"/>
      <c r="F1" s="35"/>
      <c r="G1" s="34" t="s">
        <v>48</v>
      </c>
    </row>
    <row r="2" ht="15.75" customHeight="1">
      <c r="A2" s="36" t="s">
        <v>49</v>
      </c>
      <c r="B2" s="5"/>
      <c r="C2" s="37" t="s">
        <v>50</v>
      </c>
      <c r="D2" s="38">
        <f>D3/12</f>
        <v>0.01893939394</v>
      </c>
      <c r="E2" s="5"/>
      <c r="F2" s="37" t="s">
        <v>50</v>
      </c>
      <c r="G2" s="38">
        <f t="shared" ref="G2:AB2" si="1">G3/12</f>
        <v>0.3787878788</v>
      </c>
      <c r="H2" s="38">
        <f t="shared" si="1"/>
        <v>0.1325757576</v>
      </c>
      <c r="I2" s="38">
        <f t="shared" si="1"/>
        <v>0.05681818182</v>
      </c>
      <c r="J2" s="38">
        <f t="shared" si="1"/>
        <v>0.01893939394</v>
      </c>
      <c r="K2" s="38">
        <f t="shared" si="1"/>
        <v>0.01893939394</v>
      </c>
      <c r="L2" s="38">
        <f t="shared" si="1"/>
        <v>0.01893939394</v>
      </c>
      <c r="M2" s="38">
        <f t="shared" si="1"/>
        <v>0.01893939394</v>
      </c>
      <c r="N2" s="38">
        <f t="shared" si="1"/>
        <v>0.01893939394</v>
      </c>
      <c r="O2" s="38">
        <f t="shared" si="1"/>
        <v>0.01893939394</v>
      </c>
      <c r="P2" s="38">
        <f t="shared" si="1"/>
        <v>0.01893939394</v>
      </c>
      <c r="Q2" s="38">
        <f t="shared" si="1"/>
        <v>0.01893939394</v>
      </c>
      <c r="R2" s="38">
        <f t="shared" si="1"/>
        <v>0.01893939394</v>
      </c>
      <c r="S2" s="38">
        <f t="shared" si="1"/>
        <v>0.01893939394</v>
      </c>
      <c r="T2" s="38">
        <f t="shared" si="1"/>
        <v>0.01893939394</v>
      </c>
      <c r="U2" s="38">
        <f t="shared" si="1"/>
        <v>0.01893939394</v>
      </c>
      <c r="V2" s="38">
        <f t="shared" si="1"/>
        <v>0.01893939394</v>
      </c>
      <c r="W2" s="38">
        <f t="shared" si="1"/>
        <v>0.01893939394</v>
      </c>
      <c r="X2" s="38">
        <f t="shared" si="1"/>
        <v>0.01893939394</v>
      </c>
      <c r="Y2" s="38">
        <f t="shared" si="1"/>
        <v>0.01893939394</v>
      </c>
      <c r="Z2" s="38">
        <f t="shared" si="1"/>
        <v>0.01893939394</v>
      </c>
      <c r="AA2" s="38">
        <f t="shared" si="1"/>
        <v>0.01893939394</v>
      </c>
      <c r="AB2" s="38">
        <f t="shared" si="1"/>
        <v>0.01893939394</v>
      </c>
    </row>
    <row r="3" ht="15.75" customHeight="1">
      <c r="B3" s="5"/>
      <c r="C3" s="37" t="s">
        <v>51</v>
      </c>
      <c r="D3" s="38">
        <f>D4/4.4</f>
        <v>0.2272727273</v>
      </c>
      <c r="E3" s="5"/>
      <c r="F3" s="37" t="s">
        <v>51</v>
      </c>
      <c r="G3" s="38">
        <f t="shared" ref="G3:AB3" si="2">G4/4.4</f>
        <v>4.545454545</v>
      </c>
      <c r="H3" s="38">
        <f t="shared" si="2"/>
        <v>1.590909091</v>
      </c>
      <c r="I3" s="38">
        <f t="shared" si="2"/>
        <v>0.6818181818</v>
      </c>
      <c r="J3" s="38">
        <f t="shared" si="2"/>
        <v>0.2272727273</v>
      </c>
      <c r="K3" s="38">
        <f t="shared" si="2"/>
        <v>0.2272727273</v>
      </c>
      <c r="L3" s="38">
        <f t="shared" si="2"/>
        <v>0.2272727273</v>
      </c>
      <c r="M3" s="38">
        <f t="shared" si="2"/>
        <v>0.2272727273</v>
      </c>
      <c r="N3" s="38">
        <f t="shared" si="2"/>
        <v>0.2272727273</v>
      </c>
      <c r="O3" s="38">
        <f t="shared" si="2"/>
        <v>0.2272727273</v>
      </c>
      <c r="P3" s="38">
        <f t="shared" si="2"/>
        <v>0.2272727273</v>
      </c>
      <c r="Q3" s="38">
        <f t="shared" si="2"/>
        <v>0.2272727273</v>
      </c>
      <c r="R3" s="38">
        <f t="shared" si="2"/>
        <v>0.2272727273</v>
      </c>
      <c r="S3" s="38">
        <f t="shared" si="2"/>
        <v>0.2272727273</v>
      </c>
      <c r="T3" s="38">
        <f t="shared" si="2"/>
        <v>0.2272727273</v>
      </c>
      <c r="U3" s="38">
        <f t="shared" si="2"/>
        <v>0.2272727273</v>
      </c>
      <c r="V3" s="38">
        <f t="shared" si="2"/>
        <v>0.2272727273</v>
      </c>
      <c r="W3" s="38">
        <f t="shared" si="2"/>
        <v>0.2272727273</v>
      </c>
      <c r="X3" s="38">
        <f t="shared" si="2"/>
        <v>0.2272727273</v>
      </c>
      <c r="Y3" s="38">
        <f t="shared" si="2"/>
        <v>0.2272727273</v>
      </c>
      <c r="Z3" s="38">
        <f t="shared" si="2"/>
        <v>0.2272727273</v>
      </c>
      <c r="AA3" s="38">
        <f t="shared" si="2"/>
        <v>0.2272727273</v>
      </c>
      <c r="AB3" s="38">
        <f t="shared" si="2"/>
        <v>0.2272727273</v>
      </c>
    </row>
    <row r="4" ht="15.75" customHeight="1">
      <c r="B4" s="5"/>
      <c r="C4" s="37" t="s">
        <v>52</v>
      </c>
      <c r="D4" s="39">
        <v>1.0</v>
      </c>
      <c r="E4" s="5"/>
      <c r="F4" s="37" t="s">
        <v>52</v>
      </c>
      <c r="G4" s="39">
        <v>20.0</v>
      </c>
      <c r="H4" s="39">
        <v>7.0</v>
      </c>
      <c r="I4" s="39">
        <v>3.0</v>
      </c>
      <c r="J4" s="39">
        <v>1.0</v>
      </c>
      <c r="K4" s="39">
        <v>1.0</v>
      </c>
      <c r="L4" s="39">
        <v>1.0</v>
      </c>
      <c r="M4" s="39">
        <v>1.0</v>
      </c>
      <c r="N4" s="39">
        <v>1.0</v>
      </c>
      <c r="O4" s="39">
        <v>1.0</v>
      </c>
      <c r="P4" s="39">
        <v>1.0</v>
      </c>
      <c r="Q4" s="39">
        <v>1.0</v>
      </c>
      <c r="R4" s="39">
        <v>1.0</v>
      </c>
      <c r="S4" s="39">
        <v>1.0</v>
      </c>
      <c r="T4" s="39">
        <v>1.0</v>
      </c>
      <c r="U4" s="39">
        <v>1.0</v>
      </c>
      <c r="V4" s="39">
        <v>1.0</v>
      </c>
      <c r="W4" s="39">
        <v>1.0</v>
      </c>
      <c r="X4" s="39">
        <v>1.0</v>
      </c>
      <c r="Y4" s="39">
        <v>1.0</v>
      </c>
      <c r="Z4" s="39">
        <v>1.0</v>
      </c>
      <c r="AA4" s="39">
        <v>1.0</v>
      </c>
      <c r="AB4" s="39">
        <v>1.0</v>
      </c>
    </row>
    <row r="5" ht="25.5" customHeight="1">
      <c r="B5" s="56"/>
      <c r="C5" s="57" t="s">
        <v>53</v>
      </c>
      <c r="D5" s="58">
        <v>1.0</v>
      </c>
      <c r="E5" s="56"/>
      <c r="F5" s="57" t="s">
        <v>53</v>
      </c>
      <c r="G5" s="39">
        <v>3.0</v>
      </c>
      <c r="H5" s="39">
        <v>2.0</v>
      </c>
      <c r="I5" s="39">
        <v>1.0</v>
      </c>
      <c r="J5" s="39">
        <v>1.0</v>
      </c>
      <c r="K5" s="39">
        <v>1.0</v>
      </c>
      <c r="L5" s="39">
        <v>1.0</v>
      </c>
      <c r="M5" s="39">
        <v>1.0</v>
      </c>
      <c r="N5" s="39">
        <v>1.0</v>
      </c>
      <c r="O5" s="39">
        <v>1.0</v>
      </c>
      <c r="P5" s="39">
        <v>1.0</v>
      </c>
      <c r="Q5" s="39">
        <v>1.0</v>
      </c>
      <c r="R5" s="39">
        <v>1.0</v>
      </c>
      <c r="S5" s="39">
        <v>1.0</v>
      </c>
      <c r="T5" s="39">
        <v>1.0</v>
      </c>
      <c r="U5" s="39">
        <v>1.0</v>
      </c>
      <c r="V5" s="39">
        <v>1.0</v>
      </c>
      <c r="W5" s="39">
        <v>1.0</v>
      </c>
      <c r="X5" s="39">
        <v>1.0</v>
      </c>
      <c r="Y5" s="39">
        <v>1.0</v>
      </c>
      <c r="Z5" s="39">
        <v>1.0</v>
      </c>
      <c r="AA5" s="39">
        <v>1.0</v>
      </c>
      <c r="AB5" s="39">
        <v>1.0</v>
      </c>
    </row>
    <row r="6" ht="15.75" customHeight="1">
      <c r="A6" s="35"/>
      <c r="B6" s="5"/>
      <c r="C6" s="5"/>
      <c r="E6" s="5"/>
      <c r="F6" s="35"/>
      <c r="G6" s="35" t="s">
        <v>54</v>
      </c>
    </row>
    <row r="7" ht="15.75" customHeight="1">
      <c r="A7" s="42" t="s">
        <v>12</v>
      </c>
      <c r="B7" s="5"/>
      <c r="C7" s="10" t="s">
        <v>3</v>
      </c>
      <c r="D7" s="10" t="s">
        <v>55</v>
      </c>
      <c r="E7" s="5"/>
      <c r="F7" s="10" t="s">
        <v>3</v>
      </c>
      <c r="G7" s="10" t="s">
        <v>91</v>
      </c>
      <c r="H7" s="10" t="s">
        <v>92</v>
      </c>
      <c r="I7" s="10" t="s">
        <v>93</v>
      </c>
      <c r="J7" s="10"/>
      <c r="K7" s="10"/>
      <c r="L7" s="10"/>
      <c r="M7" s="10"/>
      <c r="N7" s="10"/>
      <c r="O7" s="10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ht="15.75" customHeight="1">
      <c r="A8" s="21">
        <f>'Soul Energy Tiers'!K3</f>
        <v>400</v>
      </c>
      <c r="B8" s="5"/>
      <c r="C8" s="15" t="s">
        <v>13</v>
      </c>
      <c r="D8" s="46">
        <f t="shared" ref="D8:D24" si="5">($A8/D$5)/365</f>
        <v>1.095890411</v>
      </c>
      <c r="E8" s="5"/>
      <c r="F8" s="15" t="s">
        <v>13</v>
      </c>
      <c r="G8" s="46">
        <f t="shared" ref="G8:O8" si="3">($A8/G$5)/365</f>
        <v>0.3652968037</v>
      </c>
      <c r="H8" s="46">
        <f t="shared" si="3"/>
        <v>0.5479452055</v>
      </c>
      <c r="I8" s="46">
        <f t="shared" si="3"/>
        <v>1.095890411</v>
      </c>
      <c r="J8" s="46">
        <f t="shared" si="3"/>
        <v>1.095890411</v>
      </c>
      <c r="K8" s="46">
        <f t="shared" si="3"/>
        <v>1.095890411</v>
      </c>
      <c r="L8" s="46">
        <f t="shared" si="3"/>
        <v>1.095890411</v>
      </c>
      <c r="M8" s="46">
        <f t="shared" si="3"/>
        <v>1.095890411</v>
      </c>
      <c r="N8" s="46">
        <f t="shared" si="3"/>
        <v>1.095890411</v>
      </c>
      <c r="O8" s="49">
        <f t="shared" si="3"/>
        <v>1.095890411</v>
      </c>
      <c r="P8" s="50">
        <f t="shared" ref="P8:AB8" si="4">($A8/N$5)/365</f>
        <v>1.095890411</v>
      </c>
      <c r="Q8" s="50">
        <f t="shared" si="4"/>
        <v>1.095890411</v>
      </c>
      <c r="R8" s="50">
        <f t="shared" si="4"/>
        <v>1.095890411</v>
      </c>
      <c r="S8" s="50">
        <f t="shared" si="4"/>
        <v>1.095890411</v>
      </c>
      <c r="T8" s="50">
        <f t="shared" si="4"/>
        <v>1.095890411</v>
      </c>
      <c r="U8" s="50">
        <f t="shared" si="4"/>
        <v>1.095890411</v>
      </c>
      <c r="V8" s="50">
        <f t="shared" si="4"/>
        <v>1.095890411</v>
      </c>
      <c r="W8" s="50">
        <f t="shared" si="4"/>
        <v>1.095890411</v>
      </c>
      <c r="X8" s="50">
        <f t="shared" si="4"/>
        <v>1.095890411</v>
      </c>
      <c r="Y8" s="50">
        <f t="shared" si="4"/>
        <v>1.095890411</v>
      </c>
      <c r="Z8" s="50">
        <f t="shared" si="4"/>
        <v>1.095890411</v>
      </c>
      <c r="AA8" s="50">
        <f t="shared" si="4"/>
        <v>1.095890411</v>
      </c>
      <c r="AB8" s="50">
        <f t="shared" si="4"/>
        <v>1.095890411</v>
      </c>
    </row>
    <row r="9" ht="15.75" customHeight="1">
      <c r="A9" s="21">
        <f>'Soul Energy Tiers'!K4</f>
        <v>1200</v>
      </c>
      <c r="B9" s="5"/>
      <c r="C9" s="24" t="s">
        <v>15</v>
      </c>
      <c r="D9" s="46">
        <f t="shared" si="5"/>
        <v>3.287671233</v>
      </c>
      <c r="E9" s="5"/>
      <c r="F9" s="24" t="s">
        <v>15</v>
      </c>
      <c r="G9" s="46">
        <f t="shared" ref="G9:O9" si="6">($A9/G$5)/365</f>
        <v>1.095890411</v>
      </c>
      <c r="H9" s="46">
        <f t="shared" si="6"/>
        <v>1.643835616</v>
      </c>
      <c r="I9" s="46">
        <f t="shared" si="6"/>
        <v>3.287671233</v>
      </c>
      <c r="J9" s="46">
        <f t="shared" si="6"/>
        <v>3.287671233</v>
      </c>
      <c r="K9" s="46">
        <f t="shared" si="6"/>
        <v>3.287671233</v>
      </c>
      <c r="L9" s="46">
        <f t="shared" si="6"/>
        <v>3.287671233</v>
      </c>
      <c r="M9" s="46">
        <f t="shared" si="6"/>
        <v>3.287671233</v>
      </c>
      <c r="N9" s="46">
        <f t="shared" si="6"/>
        <v>3.287671233</v>
      </c>
      <c r="O9" s="49">
        <f t="shared" si="6"/>
        <v>3.287671233</v>
      </c>
      <c r="P9" s="50">
        <f t="shared" ref="P9:AB9" si="7">($A9/N$5)/365</f>
        <v>3.287671233</v>
      </c>
      <c r="Q9" s="50">
        <f t="shared" si="7"/>
        <v>3.287671233</v>
      </c>
      <c r="R9" s="50">
        <f t="shared" si="7"/>
        <v>3.287671233</v>
      </c>
      <c r="S9" s="50">
        <f t="shared" si="7"/>
        <v>3.287671233</v>
      </c>
      <c r="T9" s="50">
        <f t="shared" si="7"/>
        <v>3.287671233</v>
      </c>
      <c r="U9" s="50">
        <f t="shared" si="7"/>
        <v>3.287671233</v>
      </c>
      <c r="V9" s="50">
        <f t="shared" si="7"/>
        <v>3.287671233</v>
      </c>
      <c r="W9" s="50">
        <f t="shared" si="7"/>
        <v>3.287671233</v>
      </c>
      <c r="X9" s="50">
        <f t="shared" si="7"/>
        <v>3.287671233</v>
      </c>
      <c r="Y9" s="50">
        <f t="shared" si="7"/>
        <v>3.287671233</v>
      </c>
      <c r="Z9" s="50">
        <f t="shared" si="7"/>
        <v>3.287671233</v>
      </c>
      <c r="AA9" s="50">
        <f t="shared" si="7"/>
        <v>3.287671233</v>
      </c>
      <c r="AB9" s="50">
        <f t="shared" si="7"/>
        <v>3.287671233</v>
      </c>
    </row>
    <row r="10" ht="15.75" customHeight="1">
      <c r="A10" s="21">
        <f>'Soul Energy Tiers'!K5</f>
        <v>2800</v>
      </c>
      <c r="B10" s="5"/>
      <c r="C10" s="24" t="s">
        <v>17</v>
      </c>
      <c r="D10" s="46">
        <f t="shared" si="5"/>
        <v>7.671232877</v>
      </c>
      <c r="E10" s="5"/>
      <c r="F10" s="24" t="s">
        <v>17</v>
      </c>
      <c r="G10" s="46">
        <f t="shared" ref="G10:O10" si="8">($A10/G$5)/365</f>
        <v>2.557077626</v>
      </c>
      <c r="H10" s="46">
        <f t="shared" si="8"/>
        <v>3.835616438</v>
      </c>
      <c r="I10" s="46">
        <f t="shared" si="8"/>
        <v>7.671232877</v>
      </c>
      <c r="J10" s="46">
        <f t="shared" si="8"/>
        <v>7.671232877</v>
      </c>
      <c r="K10" s="46">
        <f t="shared" si="8"/>
        <v>7.671232877</v>
      </c>
      <c r="L10" s="46">
        <f t="shared" si="8"/>
        <v>7.671232877</v>
      </c>
      <c r="M10" s="46">
        <f t="shared" si="8"/>
        <v>7.671232877</v>
      </c>
      <c r="N10" s="46">
        <f t="shared" si="8"/>
        <v>7.671232877</v>
      </c>
      <c r="O10" s="49">
        <f t="shared" si="8"/>
        <v>7.671232877</v>
      </c>
      <c r="P10" s="50">
        <f t="shared" ref="P10:AB10" si="9">($A10/N$5)/365</f>
        <v>7.671232877</v>
      </c>
      <c r="Q10" s="50">
        <f t="shared" si="9"/>
        <v>7.671232877</v>
      </c>
      <c r="R10" s="50">
        <f t="shared" si="9"/>
        <v>7.671232877</v>
      </c>
      <c r="S10" s="50">
        <f t="shared" si="9"/>
        <v>7.671232877</v>
      </c>
      <c r="T10" s="50">
        <f t="shared" si="9"/>
        <v>7.671232877</v>
      </c>
      <c r="U10" s="50">
        <f t="shared" si="9"/>
        <v>7.671232877</v>
      </c>
      <c r="V10" s="50">
        <f t="shared" si="9"/>
        <v>7.671232877</v>
      </c>
      <c r="W10" s="50">
        <f t="shared" si="9"/>
        <v>7.671232877</v>
      </c>
      <c r="X10" s="50">
        <f t="shared" si="9"/>
        <v>7.671232877</v>
      </c>
      <c r="Y10" s="50">
        <f t="shared" si="9"/>
        <v>7.671232877</v>
      </c>
      <c r="Z10" s="50">
        <f t="shared" si="9"/>
        <v>7.671232877</v>
      </c>
      <c r="AA10" s="50">
        <f t="shared" si="9"/>
        <v>7.671232877</v>
      </c>
      <c r="AB10" s="50">
        <f t="shared" si="9"/>
        <v>7.671232877</v>
      </c>
    </row>
    <row r="11" ht="15.75" customHeight="1">
      <c r="A11" s="21">
        <f>'Soul Energy Tiers'!K6</f>
        <v>6000</v>
      </c>
      <c r="B11" s="5"/>
      <c r="C11" s="24" t="s">
        <v>19</v>
      </c>
      <c r="D11" s="46">
        <f t="shared" si="5"/>
        <v>16.43835616</v>
      </c>
      <c r="E11" s="5"/>
      <c r="F11" s="24" t="s">
        <v>19</v>
      </c>
      <c r="G11" s="46">
        <f t="shared" ref="G11:O11" si="10">($A11/G$5)/365</f>
        <v>5.479452055</v>
      </c>
      <c r="H11" s="46">
        <f t="shared" si="10"/>
        <v>8.219178082</v>
      </c>
      <c r="I11" s="46">
        <f t="shared" si="10"/>
        <v>16.43835616</v>
      </c>
      <c r="J11" s="46">
        <f t="shared" si="10"/>
        <v>16.43835616</v>
      </c>
      <c r="K11" s="46">
        <f t="shared" si="10"/>
        <v>16.43835616</v>
      </c>
      <c r="L11" s="46">
        <f t="shared" si="10"/>
        <v>16.43835616</v>
      </c>
      <c r="M11" s="46">
        <f t="shared" si="10"/>
        <v>16.43835616</v>
      </c>
      <c r="N11" s="46">
        <f t="shared" si="10"/>
        <v>16.43835616</v>
      </c>
      <c r="O11" s="49">
        <f t="shared" si="10"/>
        <v>16.43835616</v>
      </c>
      <c r="P11" s="50">
        <f t="shared" ref="P11:AB11" si="11">($A11/N$5)/365</f>
        <v>16.43835616</v>
      </c>
      <c r="Q11" s="50">
        <f t="shared" si="11"/>
        <v>16.43835616</v>
      </c>
      <c r="R11" s="50">
        <f t="shared" si="11"/>
        <v>16.43835616</v>
      </c>
      <c r="S11" s="50">
        <f t="shared" si="11"/>
        <v>16.43835616</v>
      </c>
      <c r="T11" s="50">
        <f t="shared" si="11"/>
        <v>16.43835616</v>
      </c>
      <c r="U11" s="50">
        <f t="shared" si="11"/>
        <v>16.43835616</v>
      </c>
      <c r="V11" s="50">
        <f t="shared" si="11"/>
        <v>16.43835616</v>
      </c>
      <c r="W11" s="50">
        <f t="shared" si="11"/>
        <v>16.43835616</v>
      </c>
      <c r="X11" s="50">
        <f t="shared" si="11"/>
        <v>16.43835616</v>
      </c>
      <c r="Y11" s="50">
        <f t="shared" si="11"/>
        <v>16.43835616</v>
      </c>
      <c r="Z11" s="50">
        <f t="shared" si="11"/>
        <v>16.43835616</v>
      </c>
      <c r="AA11" s="50">
        <f t="shared" si="11"/>
        <v>16.43835616</v>
      </c>
      <c r="AB11" s="50">
        <f t="shared" si="11"/>
        <v>16.43835616</v>
      </c>
    </row>
    <row r="12" ht="15.75" customHeight="1">
      <c r="A12" s="21">
        <f>'Soul Energy Tiers'!K7</f>
        <v>12400</v>
      </c>
      <c r="B12" s="5"/>
      <c r="C12" s="24" t="s">
        <v>21</v>
      </c>
      <c r="D12" s="46">
        <f t="shared" si="5"/>
        <v>33.97260274</v>
      </c>
      <c r="E12" s="5"/>
      <c r="F12" s="24" t="s">
        <v>21</v>
      </c>
      <c r="G12" s="46">
        <f t="shared" ref="G12:O12" si="12">($A12/G$5)/365</f>
        <v>11.32420091</v>
      </c>
      <c r="H12" s="46">
        <f t="shared" si="12"/>
        <v>16.98630137</v>
      </c>
      <c r="I12" s="46">
        <f t="shared" si="12"/>
        <v>33.97260274</v>
      </c>
      <c r="J12" s="46">
        <f t="shared" si="12"/>
        <v>33.97260274</v>
      </c>
      <c r="K12" s="46">
        <f t="shared" si="12"/>
        <v>33.97260274</v>
      </c>
      <c r="L12" s="46">
        <f t="shared" si="12"/>
        <v>33.97260274</v>
      </c>
      <c r="M12" s="46">
        <f t="shared" si="12"/>
        <v>33.97260274</v>
      </c>
      <c r="N12" s="46">
        <f t="shared" si="12"/>
        <v>33.97260274</v>
      </c>
      <c r="O12" s="49">
        <f t="shared" si="12"/>
        <v>33.97260274</v>
      </c>
      <c r="P12" s="50">
        <f t="shared" ref="P12:AB12" si="13">($A12/N$5)/365</f>
        <v>33.97260274</v>
      </c>
      <c r="Q12" s="50">
        <f t="shared" si="13"/>
        <v>33.97260274</v>
      </c>
      <c r="R12" s="50">
        <f t="shared" si="13"/>
        <v>33.97260274</v>
      </c>
      <c r="S12" s="50">
        <f t="shared" si="13"/>
        <v>33.97260274</v>
      </c>
      <c r="T12" s="50">
        <f t="shared" si="13"/>
        <v>33.97260274</v>
      </c>
      <c r="U12" s="50">
        <f t="shared" si="13"/>
        <v>33.97260274</v>
      </c>
      <c r="V12" s="50">
        <f t="shared" si="13"/>
        <v>33.97260274</v>
      </c>
      <c r="W12" s="50">
        <f t="shared" si="13"/>
        <v>33.97260274</v>
      </c>
      <c r="X12" s="50">
        <f t="shared" si="13"/>
        <v>33.97260274</v>
      </c>
      <c r="Y12" s="50">
        <f t="shared" si="13"/>
        <v>33.97260274</v>
      </c>
      <c r="Z12" s="50">
        <f t="shared" si="13"/>
        <v>33.97260274</v>
      </c>
      <c r="AA12" s="50">
        <f t="shared" si="13"/>
        <v>33.97260274</v>
      </c>
      <c r="AB12" s="50">
        <f t="shared" si="13"/>
        <v>33.97260274</v>
      </c>
    </row>
    <row r="13" ht="15.75" customHeight="1">
      <c r="A13" s="21">
        <f>'Soul Energy Tiers'!K8</f>
        <v>25200</v>
      </c>
      <c r="B13" s="5"/>
      <c r="C13" s="24" t="s">
        <v>23</v>
      </c>
      <c r="D13" s="46">
        <f t="shared" si="5"/>
        <v>69.04109589</v>
      </c>
      <c r="E13" s="5"/>
      <c r="F13" s="24" t="s">
        <v>23</v>
      </c>
      <c r="G13" s="46">
        <f t="shared" ref="G13:O13" si="14">($A13/G$5)/365</f>
        <v>23.01369863</v>
      </c>
      <c r="H13" s="46">
        <f t="shared" si="14"/>
        <v>34.52054795</v>
      </c>
      <c r="I13" s="46">
        <f t="shared" si="14"/>
        <v>69.04109589</v>
      </c>
      <c r="J13" s="46">
        <f t="shared" si="14"/>
        <v>69.04109589</v>
      </c>
      <c r="K13" s="46">
        <f t="shared" si="14"/>
        <v>69.04109589</v>
      </c>
      <c r="L13" s="46">
        <f t="shared" si="14"/>
        <v>69.04109589</v>
      </c>
      <c r="M13" s="46">
        <f t="shared" si="14"/>
        <v>69.04109589</v>
      </c>
      <c r="N13" s="46">
        <f t="shared" si="14"/>
        <v>69.04109589</v>
      </c>
      <c r="O13" s="49">
        <f t="shared" si="14"/>
        <v>69.04109589</v>
      </c>
      <c r="P13" s="50">
        <f t="shared" ref="P13:AB13" si="15">($A13/N$5)/365</f>
        <v>69.04109589</v>
      </c>
      <c r="Q13" s="50">
        <f t="shared" si="15"/>
        <v>69.04109589</v>
      </c>
      <c r="R13" s="50">
        <f t="shared" si="15"/>
        <v>69.04109589</v>
      </c>
      <c r="S13" s="50">
        <f t="shared" si="15"/>
        <v>69.04109589</v>
      </c>
      <c r="T13" s="50">
        <f t="shared" si="15"/>
        <v>69.04109589</v>
      </c>
      <c r="U13" s="50">
        <f t="shared" si="15"/>
        <v>69.04109589</v>
      </c>
      <c r="V13" s="50">
        <f t="shared" si="15"/>
        <v>69.04109589</v>
      </c>
      <c r="W13" s="50">
        <f t="shared" si="15"/>
        <v>69.04109589</v>
      </c>
      <c r="X13" s="50">
        <f t="shared" si="15"/>
        <v>69.04109589</v>
      </c>
      <c r="Y13" s="50">
        <f t="shared" si="15"/>
        <v>69.04109589</v>
      </c>
      <c r="Z13" s="50">
        <f t="shared" si="15"/>
        <v>69.04109589</v>
      </c>
      <c r="AA13" s="50">
        <f t="shared" si="15"/>
        <v>69.04109589</v>
      </c>
      <c r="AB13" s="50">
        <f t="shared" si="15"/>
        <v>69.04109589</v>
      </c>
    </row>
    <row r="14" ht="15.75" customHeight="1">
      <c r="A14" s="21">
        <f>'Soul Energy Tiers'!K9</f>
        <v>50800</v>
      </c>
      <c r="B14" s="5"/>
      <c r="C14" s="24" t="s">
        <v>25</v>
      </c>
      <c r="D14" s="46">
        <f t="shared" si="5"/>
        <v>139.1780822</v>
      </c>
      <c r="E14" s="5"/>
      <c r="F14" s="24" t="s">
        <v>25</v>
      </c>
      <c r="G14" s="46">
        <f t="shared" ref="G14:O14" si="16">($A14/G$5)/365</f>
        <v>46.39269406</v>
      </c>
      <c r="H14" s="46">
        <f t="shared" si="16"/>
        <v>69.5890411</v>
      </c>
      <c r="I14" s="46">
        <f t="shared" si="16"/>
        <v>139.1780822</v>
      </c>
      <c r="J14" s="46">
        <f t="shared" si="16"/>
        <v>139.1780822</v>
      </c>
      <c r="K14" s="46">
        <f t="shared" si="16"/>
        <v>139.1780822</v>
      </c>
      <c r="L14" s="46">
        <f t="shared" si="16"/>
        <v>139.1780822</v>
      </c>
      <c r="M14" s="46">
        <f t="shared" si="16"/>
        <v>139.1780822</v>
      </c>
      <c r="N14" s="46">
        <f t="shared" si="16"/>
        <v>139.1780822</v>
      </c>
      <c r="O14" s="49">
        <f t="shared" si="16"/>
        <v>139.1780822</v>
      </c>
      <c r="P14" s="50">
        <f t="shared" ref="P14:AB14" si="17">($A14/N$5)/365</f>
        <v>139.1780822</v>
      </c>
      <c r="Q14" s="50">
        <f t="shared" si="17"/>
        <v>139.1780822</v>
      </c>
      <c r="R14" s="50">
        <f t="shared" si="17"/>
        <v>139.1780822</v>
      </c>
      <c r="S14" s="50">
        <f t="shared" si="17"/>
        <v>139.1780822</v>
      </c>
      <c r="T14" s="50">
        <f t="shared" si="17"/>
        <v>139.1780822</v>
      </c>
      <c r="U14" s="50">
        <f t="shared" si="17"/>
        <v>139.1780822</v>
      </c>
      <c r="V14" s="50">
        <f t="shared" si="17"/>
        <v>139.1780822</v>
      </c>
      <c r="W14" s="50">
        <f t="shared" si="17"/>
        <v>139.1780822</v>
      </c>
      <c r="X14" s="50">
        <f t="shared" si="17"/>
        <v>139.1780822</v>
      </c>
      <c r="Y14" s="50">
        <f t="shared" si="17"/>
        <v>139.1780822</v>
      </c>
      <c r="Z14" s="50">
        <f t="shared" si="17"/>
        <v>139.1780822</v>
      </c>
      <c r="AA14" s="50">
        <f t="shared" si="17"/>
        <v>139.1780822</v>
      </c>
      <c r="AB14" s="50">
        <f t="shared" si="17"/>
        <v>139.1780822</v>
      </c>
    </row>
    <row r="15" ht="15.75" customHeight="1">
      <c r="A15" s="21">
        <f>'Soul Energy Tiers'!K10</f>
        <v>102000</v>
      </c>
      <c r="B15" s="5"/>
      <c r="C15" s="24" t="s">
        <v>27</v>
      </c>
      <c r="D15" s="46">
        <f t="shared" si="5"/>
        <v>279.4520548</v>
      </c>
      <c r="E15" s="5"/>
      <c r="F15" s="24" t="s">
        <v>27</v>
      </c>
      <c r="G15" s="46">
        <f t="shared" ref="G15:O15" si="18">($A15/G$5)/365</f>
        <v>93.15068493</v>
      </c>
      <c r="H15" s="46">
        <f t="shared" si="18"/>
        <v>139.7260274</v>
      </c>
      <c r="I15" s="46">
        <f t="shared" si="18"/>
        <v>279.4520548</v>
      </c>
      <c r="J15" s="46">
        <f t="shared" si="18"/>
        <v>279.4520548</v>
      </c>
      <c r="K15" s="46">
        <f t="shared" si="18"/>
        <v>279.4520548</v>
      </c>
      <c r="L15" s="46">
        <f t="shared" si="18"/>
        <v>279.4520548</v>
      </c>
      <c r="M15" s="46">
        <f t="shared" si="18"/>
        <v>279.4520548</v>
      </c>
      <c r="N15" s="46">
        <f t="shared" si="18"/>
        <v>279.4520548</v>
      </c>
      <c r="O15" s="49">
        <f t="shared" si="18"/>
        <v>279.4520548</v>
      </c>
      <c r="P15" s="50">
        <f t="shared" ref="P15:AB15" si="19">($A15/N$5)/365</f>
        <v>279.4520548</v>
      </c>
      <c r="Q15" s="50">
        <f t="shared" si="19"/>
        <v>279.4520548</v>
      </c>
      <c r="R15" s="50">
        <f t="shared" si="19"/>
        <v>279.4520548</v>
      </c>
      <c r="S15" s="50">
        <f t="shared" si="19"/>
        <v>279.4520548</v>
      </c>
      <c r="T15" s="50">
        <f t="shared" si="19"/>
        <v>279.4520548</v>
      </c>
      <c r="U15" s="50">
        <f t="shared" si="19"/>
        <v>279.4520548</v>
      </c>
      <c r="V15" s="50">
        <f t="shared" si="19"/>
        <v>279.4520548</v>
      </c>
      <c r="W15" s="50">
        <f t="shared" si="19"/>
        <v>279.4520548</v>
      </c>
      <c r="X15" s="50">
        <f t="shared" si="19"/>
        <v>279.4520548</v>
      </c>
      <c r="Y15" s="50">
        <f t="shared" si="19"/>
        <v>279.4520548</v>
      </c>
      <c r="Z15" s="50">
        <f t="shared" si="19"/>
        <v>279.4520548</v>
      </c>
      <c r="AA15" s="50">
        <f t="shared" si="19"/>
        <v>279.4520548</v>
      </c>
      <c r="AB15" s="50">
        <f t="shared" si="19"/>
        <v>279.4520548</v>
      </c>
    </row>
    <row r="16" ht="15.75" customHeight="1">
      <c r="A16" s="21">
        <f>'Soul Energy Tiers'!K11</f>
        <v>204400</v>
      </c>
      <c r="B16" s="5"/>
      <c r="C16" s="24" t="s">
        <v>29</v>
      </c>
      <c r="D16" s="46">
        <f t="shared" si="5"/>
        <v>560</v>
      </c>
      <c r="E16" s="5"/>
      <c r="F16" s="24" t="s">
        <v>29</v>
      </c>
      <c r="G16" s="46">
        <f t="shared" ref="G16:O16" si="20">($A16/G$5)/365</f>
        <v>186.6666667</v>
      </c>
      <c r="H16" s="46">
        <f t="shared" si="20"/>
        <v>280</v>
      </c>
      <c r="I16" s="46">
        <f t="shared" si="20"/>
        <v>560</v>
      </c>
      <c r="J16" s="46">
        <f t="shared" si="20"/>
        <v>560</v>
      </c>
      <c r="K16" s="46">
        <f t="shared" si="20"/>
        <v>560</v>
      </c>
      <c r="L16" s="46">
        <f t="shared" si="20"/>
        <v>560</v>
      </c>
      <c r="M16" s="46">
        <f t="shared" si="20"/>
        <v>560</v>
      </c>
      <c r="N16" s="46">
        <f t="shared" si="20"/>
        <v>560</v>
      </c>
      <c r="O16" s="49">
        <f t="shared" si="20"/>
        <v>560</v>
      </c>
      <c r="P16" s="50">
        <f t="shared" ref="P16:AB16" si="21">($A16/N$5)/365</f>
        <v>560</v>
      </c>
      <c r="Q16" s="50">
        <f t="shared" si="21"/>
        <v>560</v>
      </c>
      <c r="R16" s="50">
        <f t="shared" si="21"/>
        <v>560</v>
      </c>
      <c r="S16" s="50">
        <f t="shared" si="21"/>
        <v>560</v>
      </c>
      <c r="T16" s="50">
        <f t="shared" si="21"/>
        <v>560</v>
      </c>
      <c r="U16" s="50">
        <f t="shared" si="21"/>
        <v>560</v>
      </c>
      <c r="V16" s="50">
        <f t="shared" si="21"/>
        <v>560</v>
      </c>
      <c r="W16" s="50">
        <f t="shared" si="21"/>
        <v>560</v>
      </c>
      <c r="X16" s="50">
        <f t="shared" si="21"/>
        <v>560</v>
      </c>
      <c r="Y16" s="50">
        <f t="shared" si="21"/>
        <v>560</v>
      </c>
      <c r="Z16" s="50">
        <f t="shared" si="21"/>
        <v>560</v>
      </c>
      <c r="AA16" s="50">
        <f t="shared" si="21"/>
        <v>560</v>
      </c>
      <c r="AB16" s="50">
        <f t="shared" si="21"/>
        <v>560</v>
      </c>
    </row>
    <row r="17" ht="15.75" customHeight="1">
      <c r="A17" s="21">
        <f>'Soul Energy Tiers'!K12</f>
        <v>409200</v>
      </c>
      <c r="B17" s="5"/>
      <c r="C17" s="24" t="s">
        <v>31</v>
      </c>
      <c r="D17" s="46">
        <f t="shared" si="5"/>
        <v>1121.09589</v>
      </c>
      <c r="E17" s="5"/>
      <c r="F17" s="24" t="s">
        <v>31</v>
      </c>
      <c r="G17" s="46">
        <f t="shared" ref="G17:O17" si="22">($A17/G$5)/365</f>
        <v>373.6986301</v>
      </c>
      <c r="H17" s="46">
        <f t="shared" si="22"/>
        <v>560.5479452</v>
      </c>
      <c r="I17" s="46">
        <f t="shared" si="22"/>
        <v>1121.09589</v>
      </c>
      <c r="J17" s="46">
        <f t="shared" si="22"/>
        <v>1121.09589</v>
      </c>
      <c r="K17" s="46">
        <f t="shared" si="22"/>
        <v>1121.09589</v>
      </c>
      <c r="L17" s="46">
        <f t="shared" si="22"/>
        <v>1121.09589</v>
      </c>
      <c r="M17" s="46">
        <f t="shared" si="22"/>
        <v>1121.09589</v>
      </c>
      <c r="N17" s="46">
        <f t="shared" si="22"/>
        <v>1121.09589</v>
      </c>
      <c r="O17" s="49">
        <f t="shared" si="22"/>
        <v>1121.09589</v>
      </c>
      <c r="P17" s="50">
        <f t="shared" ref="P17:AB17" si="23">($A17/N$5)/365</f>
        <v>1121.09589</v>
      </c>
      <c r="Q17" s="50">
        <f t="shared" si="23"/>
        <v>1121.09589</v>
      </c>
      <c r="R17" s="50">
        <f t="shared" si="23"/>
        <v>1121.09589</v>
      </c>
      <c r="S17" s="50">
        <f t="shared" si="23"/>
        <v>1121.09589</v>
      </c>
      <c r="T17" s="50">
        <f t="shared" si="23"/>
        <v>1121.09589</v>
      </c>
      <c r="U17" s="50">
        <f t="shared" si="23"/>
        <v>1121.09589</v>
      </c>
      <c r="V17" s="50">
        <f t="shared" si="23"/>
        <v>1121.09589</v>
      </c>
      <c r="W17" s="50">
        <f t="shared" si="23"/>
        <v>1121.09589</v>
      </c>
      <c r="X17" s="50">
        <f t="shared" si="23"/>
        <v>1121.09589</v>
      </c>
      <c r="Y17" s="50">
        <f t="shared" si="23"/>
        <v>1121.09589</v>
      </c>
      <c r="Z17" s="50">
        <f t="shared" si="23"/>
        <v>1121.09589</v>
      </c>
      <c r="AA17" s="50">
        <f t="shared" si="23"/>
        <v>1121.09589</v>
      </c>
      <c r="AB17" s="50">
        <f t="shared" si="23"/>
        <v>1121.09589</v>
      </c>
    </row>
    <row r="18" ht="15.75" customHeight="1">
      <c r="A18" s="21">
        <f>'Soul Energy Tiers'!K13</f>
        <v>818800</v>
      </c>
      <c r="B18" s="5"/>
      <c r="C18" s="24" t="s">
        <v>33</v>
      </c>
      <c r="D18" s="46">
        <f t="shared" si="5"/>
        <v>2243.287671</v>
      </c>
      <c r="E18" s="5"/>
      <c r="F18" s="24" t="s">
        <v>33</v>
      </c>
      <c r="G18" s="46">
        <f t="shared" ref="G18:O18" si="24">($A18/G$5)/365</f>
        <v>747.7625571</v>
      </c>
      <c r="H18" s="46">
        <f t="shared" si="24"/>
        <v>1121.643836</v>
      </c>
      <c r="I18" s="46">
        <f t="shared" si="24"/>
        <v>2243.287671</v>
      </c>
      <c r="J18" s="46">
        <f t="shared" si="24"/>
        <v>2243.287671</v>
      </c>
      <c r="K18" s="46">
        <f t="shared" si="24"/>
        <v>2243.287671</v>
      </c>
      <c r="L18" s="46">
        <f t="shared" si="24"/>
        <v>2243.287671</v>
      </c>
      <c r="M18" s="46">
        <f t="shared" si="24"/>
        <v>2243.287671</v>
      </c>
      <c r="N18" s="46">
        <f t="shared" si="24"/>
        <v>2243.287671</v>
      </c>
      <c r="O18" s="49">
        <f t="shared" si="24"/>
        <v>2243.287671</v>
      </c>
      <c r="P18" s="50">
        <f t="shared" ref="P18:AB18" si="25">($A18/N$5)/365</f>
        <v>2243.287671</v>
      </c>
      <c r="Q18" s="50">
        <f t="shared" si="25"/>
        <v>2243.287671</v>
      </c>
      <c r="R18" s="50">
        <f t="shared" si="25"/>
        <v>2243.287671</v>
      </c>
      <c r="S18" s="50">
        <f t="shared" si="25"/>
        <v>2243.287671</v>
      </c>
      <c r="T18" s="50">
        <f t="shared" si="25"/>
        <v>2243.287671</v>
      </c>
      <c r="U18" s="50">
        <f t="shared" si="25"/>
        <v>2243.287671</v>
      </c>
      <c r="V18" s="50">
        <f t="shared" si="25"/>
        <v>2243.287671</v>
      </c>
      <c r="W18" s="50">
        <f t="shared" si="25"/>
        <v>2243.287671</v>
      </c>
      <c r="X18" s="50">
        <f t="shared" si="25"/>
        <v>2243.287671</v>
      </c>
      <c r="Y18" s="50">
        <f t="shared" si="25"/>
        <v>2243.287671</v>
      </c>
      <c r="Z18" s="50">
        <f t="shared" si="25"/>
        <v>2243.287671</v>
      </c>
      <c r="AA18" s="50">
        <f t="shared" si="25"/>
        <v>2243.287671</v>
      </c>
      <c r="AB18" s="50">
        <f t="shared" si="25"/>
        <v>2243.287671</v>
      </c>
    </row>
    <row r="19" ht="15.75" customHeight="1">
      <c r="A19" s="21">
        <f>'Soul Energy Tiers'!K14</f>
        <v>1638000</v>
      </c>
      <c r="B19" s="5"/>
      <c r="C19" s="24" t="s">
        <v>35</v>
      </c>
      <c r="D19" s="46">
        <f t="shared" si="5"/>
        <v>4487.671233</v>
      </c>
      <c r="E19" s="5"/>
      <c r="F19" s="24" t="s">
        <v>35</v>
      </c>
      <c r="G19" s="46">
        <f t="shared" ref="G19:O19" si="26">($A19/G$5)/365</f>
        <v>1495.890411</v>
      </c>
      <c r="H19" s="46">
        <f t="shared" si="26"/>
        <v>2243.835616</v>
      </c>
      <c r="I19" s="46">
        <f t="shared" si="26"/>
        <v>4487.671233</v>
      </c>
      <c r="J19" s="46">
        <f t="shared" si="26"/>
        <v>4487.671233</v>
      </c>
      <c r="K19" s="46">
        <f t="shared" si="26"/>
        <v>4487.671233</v>
      </c>
      <c r="L19" s="46">
        <f t="shared" si="26"/>
        <v>4487.671233</v>
      </c>
      <c r="M19" s="46">
        <f t="shared" si="26"/>
        <v>4487.671233</v>
      </c>
      <c r="N19" s="46">
        <f t="shared" si="26"/>
        <v>4487.671233</v>
      </c>
      <c r="O19" s="49">
        <f t="shared" si="26"/>
        <v>4487.671233</v>
      </c>
      <c r="P19" s="50">
        <f t="shared" ref="P19:AB19" si="27">($A19/N$5)/365</f>
        <v>4487.671233</v>
      </c>
      <c r="Q19" s="50">
        <f t="shared" si="27"/>
        <v>4487.671233</v>
      </c>
      <c r="R19" s="50">
        <f t="shared" si="27"/>
        <v>4487.671233</v>
      </c>
      <c r="S19" s="50">
        <f t="shared" si="27"/>
        <v>4487.671233</v>
      </c>
      <c r="T19" s="50">
        <f t="shared" si="27"/>
        <v>4487.671233</v>
      </c>
      <c r="U19" s="50">
        <f t="shared" si="27"/>
        <v>4487.671233</v>
      </c>
      <c r="V19" s="50">
        <f t="shared" si="27"/>
        <v>4487.671233</v>
      </c>
      <c r="W19" s="50">
        <f t="shared" si="27"/>
        <v>4487.671233</v>
      </c>
      <c r="X19" s="50">
        <f t="shared" si="27"/>
        <v>4487.671233</v>
      </c>
      <c r="Y19" s="50">
        <f t="shared" si="27"/>
        <v>4487.671233</v>
      </c>
      <c r="Z19" s="50">
        <f t="shared" si="27"/>
        <v>4487.671233</v>
      </c>
      <c r="AA19" s="50">
        <f t="shared" si="27"/>
        <v>4487.671233</v>
      </c>
      <c r="AB19" s="50">
        <f t="shared" si="27"/>
        <v>4487.671233</v>
      </c>
    </row>
    <row r="20" ht="15.75" customHeight="1">
      <c r="A20" s="21">
        <f>'Soul Energy Tiers'!K15</f>
        <v>3276400</v>
      </c>
      <c r="B20" s="5"/>
      <c r="C20" s="24" t="s">
        <v>37</v>
      </c>
      <c r="D20" s="46">
        <f t="shared" si="5"/>
        <v>8976.438356</v>
      </c>
      <c r="E20" s="5"/>
      <c r="F20" s="24" t="s">
        <v>37</v>
      </c>
      <c r="G20" s="46">
        <f t="shared" ref="G20:O20" si="28">($A20/G$5)/365</f>
        <v>2992.146119</v>
      </c>
      <c r="H20" s="46">
        <f t="shared" si="28"/>
        <v>4488.219178</v>
      </c>
      <c r="I20" s="46">
        <f t="shared" si="28"/>
        <v>8976.438356</v>
      </c>
      <c r="J20" s="46">
        <f t="shared" si="28"/>
        <v>8976.438356</v>
      </c>
      <c r="K20" s="46">
        <f t="shared" si="28"/>
        <v>8976.438356</v>
      </c>
      <c r="L20" s="46">
        <f t="shared" si="28"/>
        <v>8976.438356</v>
      </c>
      <c r="M20" s="46">
        <f t="shared" si="28"/>
        <v>8976.438356</v>
      </c>
      <c r="N20" s="46">
        <f t="shared" si="28"/>
        <v>8976.438356</v>
      </c>
      <c r="O20" s="49">
        <f t="shared" si="28"/>
        <v>8976.438356</v>
      </c>
      <c r="P20" s="50">
        <f t="shared" ref="P20:AB20" si="29">($A20/N$5)/365</f>
        <v>8976.438356</v>
      </c>
      <c r="Q20" s="50">
        <f t="shared" si="29"/>
        <v>8976.438356</v>
      </c>
      <c r="R20" s="50">
        <f t="shared" si="29"/>
        <v>8976.438356</v>
      </c>
      <c r="S20" s="50">
        <f t="shared" si="29"/>
        <v>8976.438356</v>
      </c>
      <c r="T20" s="50">
        <f t="shared" si="29"/>
        <v>8976.438356</v>
      </c>
      <c r="U20" s="50">
        <f t="shared" si="29"/>
        <v>8976.438356</v>
      </c>
      <c r="V20" s="50">
        <f t="shared" si="29"/>
        <v>8976.438356</v>
      </c>
      <c r="W20" s="50">
        <f t="shared" si="29"/>
        <v>8976.438356</v>
      </c>
      <c r="X20" s="50">
        <f t="shared" si="29"/>
        <v>8976.438356</v>
      </c>
      <c r="Y20" s="50">
        <f t="shared" si="29"/>
        <v>8976.438356</v>
      </c>
      <c r="Z20" s="50">
        <f t="shared" si="29"/>
        <v>8976.438356</v>
      </c>
      <c r="AA20" s="50">
        <f t="shared" si="29"/>
        <v>8976.438356</v>
      </c>
      <c r="AB20" s="50">
        <f t="shared" si="29"/>
        <v>8976.438356</v>
      </c>
    </row>
    <row r="21" ht="15.75" customHeight="1">
      <c r="A21" s="21">
        <f>'Soul Energy Tiers'!K16</f>
        <v>6553200</v>
      </c>
      <c r="B21" s="5"/>
      <c r="C21" s="24" t="s">
        <v>39</v>
      </c>
      <c r="D21" s="46">
        <f t="shared" si="5"/>
        <v>17953.9726</v>
      </c>
      <c r="E21" s="5"/>
      <c r="F21" s="24" t="s">
        <v>39</v>
      </c>
      <c r="G21" s="46">
        <f t="shared" ref="G21:O21" si="30">($A21/G$5)/365</f>
        <v>5984.657534</v>
      </c>
      <c r="H21" s="46">
        <f t="shared" si="30"/>
        <v>8976.986301</v>
      </c>
      <c r="I21" s="46">
        <f t="shared" si="30"/>
        <v>17953.9726</v>
      </c>
      <c r="J21" s="46">
        <f t="shared" si="30"/>
        <v>17953.9726</v>
      </c>
      <c r="K21" s="46">
        <f t="shared" si="30"/>
        <v>17953.9726</v>
      </c>
      <c r="L21" s="46">
        <f t="shared" si="30"/>
        <v>17953.9726</v>
      </c>
      <c r="M21" s="46">
        <f t="shared" si="30"/>
        <v>17953.9726</v>
      </c>
      <c r="N21" s="46">
        <f t="shared" si="30"/>
        <v>17953.9726</v>
      </c>
      <c r="O21" s="49">
        <f t="shared" si="30"/>
        <v>17953.9726</v>
      </c>
      <c r="P21" s="50">
        <f t="shared" ref="P21:AB21" si="31">($A21/N$5)/365</f>
        <v>17953.9726</v>
      </c>
      <c r="Q21" s="50">
        <f t="shared" si="31"/>
        <v>17953.9726</v>
      </c>
      <c r="R21" s="50">
        <f t="shared" si="31"/>
        <v>17953.9726</v>
      </c>
      <c r="S21" s="50">
        <f t="shared" si="31"/>
        <v>17953.9726</v>
      </c>
      <c r="T21" s="50">
        <f t="shared" si="31"/>
        <v>17953.9726</v>
      </c>
      <c r="U21" s="50">
        <f t="shared" si="31"/>
        <v>17953.9726</v>
      </c>
      <c r="V21" s="50">
        <f t="shared" si="31"/>
        <v>17953.9726</v>
      </c>
      <c r="W21" s="50">
        <f t="shared" si="31"/>
        <v>17953.9726</v>
      </c>
      <c r="X21" s="50">
        <f t="shared" si="31"/>
        <v>17953.9726</v>
      </c>
      <c r="Y21" s="50">
        <f t="shared" si="31"/>
        <v>17953.9726</v>
      </c>
      <c r="Z21" s="50">
        <f t="shared" si="31"/>
        <v>17953.9726</v>
      </c>
      <c r="AA21" s="50">
        <f t="shared" si="31"/>
        <v>17953.9726</v>
      </c>
      <c r="AB21" s="50">
        <f t="shared" si="31"/>
        <v>17953.9726</v>
      </c>
    </row>
    <row r="22" ht="15.75" customHeight="1">
      <c r="A22" s="21">
        <f>'Soul Energy Tiers'!K17</f>
        <v>13106800</v>
      </c>
      <c r="B22" s="5"/>
      <c r="C22" s="24" t="s">
        <v>41</v>
      </c>
      <c r="D22" s="46">
        <f t="shared" si="5"/>
        <v>35909.0411</v>
      </c>
      <c r="E22" s="5"/>
      <c r="F22" s="24" t="s">
        <v>41</v>
      </c>
      <c r="G22" s="46">
        <f t="shared" ref="G22:O22" si="32">($A22/G$5)/365</f>
        <v>11969.68037</v>
      </c>
      <c r="H22" s="46">
        <f t="shared" si="32"/>
        <v>17954.52055</v>
      </c>
      <c r="I22" s="46">
        <f t="shared" si="32"/>
        <v>35909.0411</v>
      </c>
      <c r="J22" s="46">
        <f t="shared" si="32"/>
        <v>35909.0411</v>
      </c>
      <c r="K22" s="46">
        <f t="shared" si="32"/>
        <v>35909.0411</v>
      </c>
      <c r="L22" s="46">
        <f t="shared" si="32"/>
        <v>35909.0411</v>
      </c>
      <c r="M22" s="46">
        <f t="shared" si="32"/>
        <v>35909.0411</v>
      </c>
      <c r="N22" s="46">
        <f t="shared" si="32"/>
        <v>35909.0411</v>
      </c>
      <c r="O22" s="49">
        <f t="shared" si="32"/>
        <v>35909.0411</v>
      </c>
      <c r="P22" s="50">
        <f t="shared" ref="P22:AB22" si="33">($A22/N$5)/365</f>
        <v>35909.0411</v>
      </c>
      <c r="Q22" s="50">
        <f t="shared" si="33"/>
        <v>35909.0411</v>
      </c>
      <c r="R22" s="50">
        <f t="shared" si="33"/>
        <v>35909.0411</v>
      </c>
      <c r="S22" s="50">
        <f t="shared" si="33"/>
        <v>35909.0411</v>
      </c>
      <c r="T22" s="50">
        <f t="shared" si="33"/>
        <v>35909.0411</v>
      </c>
      <c r="U22" s="50">
        <f t="shared" si="33"/>
        <v>35909.0411</v>
      </c>
      <c r="V22" s="50">
        <f t="shared" si="33"/>
        <v>35909.0411</v>
      </c>
      <c r="W22" s="50">
        <f t="shared" si="33"/>
        <v>35909.0411</v>
      </c>
      <c r="X22" s="50">
        <f t="shared" si="33"/>
        <v>35909.0411</v>
      </c>
      <c r="Y22" s="50">
        <f t="shared" si="33"/>
        <v>35909.0411</v>
      </c>
      <c r="Z22" s="50">
        <f t="shared" si="33"/>
        <v>35909.0411</v>
      </c>
      <c r="AA22" s="50">
        <f t="shared" si="33"/>
        <v>35909.0411</v>
      </c>
      <c r="AB22" s="50">
        <f t="shared" si="33"/>
        <v>35909.0411</v>
      </c>
    </row>
    <row r="23" ht="15.75" customHeight="1">
      <c r="A23" s="21">
        <f>'Soul Energy Tiers'!K18</f>
        <v>26214000</v>
      </c>
      <c r="B23" s="5"/>
      <c r="C23" s="24" t="s">
        <v>43</v>
      </c>
      <c r="D23" s="46">
        <f t="shared" si="5"/>
        <v>71819.17808</v>
      </c>
      <c r="E23" s="5"/>
      <c r="F23" s="24" t="s">
        <v>43</v>
      </c>
      <c r="G23" s="46">
        <f t="shared" ref="G23:O23" si="34">($A23/G$5)/365</f>
        <v>23939.72603</v>
      </c>
      <c r="H23" s="46">
        <f t="shared" si="34"/>
        <v>35909.58904</v>
      </c>
      <c r="I23" s="46">
        <f t="shared" si="34"/>
        <v>71819.17808</v>
      </c>
      <c r="J23" s="46">
        <f t="shared" si="34"/>
        <v>71819.17808</v>
      </c>
      <c r="K23" s="46">
        <f t="shared" si="34"/>
        <v>71819.17808</v>
      </c>
      <c r="L23" s="46">
        <f t="shared" si="34"/>
        <v>71819.17808</v>
      </c>
      <c r="M23" s="46">
        <f t="shared" si="34"/>
        <v>71819.17808</v>
      </c>
      <c r="N23" s="46">
        <f t="shared" si="34"/>
        <v>71819.17808</v>
      </c>
      <c r="O23" s="49">
        <f t="shared" si="34"/>
        <v>71819.17808</v>
      </c>
      <c r="P23" s="50">
        <f t="shared" ref="P23:AB23" si="35">($A23/N$5)/365</f>
        <v>71819.17808</v>
      </c>
      <c r="Q23" s="50">
        <f t="shared" si="35"/>
        <v>71819.17808</v>
      </c>
      <c r="R23" s="50">
        <f t="shared" si="35"/>
        <v>71819.17808</v>
      </c>
      <c r="S23" s="50">
        <f t="shared" si="35"/>
        <v>71819.17808</v>
      </c>
      <c r="T23" s="50">
        <f t="shared" si="35"/>
        <v>71819.17808</v>
      </c>
      <c r="U23" s="50">
        <f t="shared" si="35"/>
        <v>71819.17808</v>
      </c>
      <c r="V23" s="50">
        <f t="shared" si="35"/>
        <v>71819.17808</v>
      </c>
      <c r="W23" s="50">
        <f t="shared" si="35"/>
        <v>71819.17808</v>
      </c>
      <c r="X23" s="50">
        <f t="shared" si="35"/>
        <v>71819.17808</v>
      </c>
      <c r="Y23" s="50">
        <f t="shared" si="35"/>
        <v>71819.17808</v>
      </c>
      <c r="Z23" s="50">
        <f t="shared" si="35"/>
        <v>71819.17808</v>
      </c>
      <c r="AA23" s="50">
        <f t="shared" si="35"/>
        <v>71819.17808</v>
      </c>
      <c r="AB23" s="50">
        <f t="shared" si="35"/>
        <v>71819.17808</v>
      </c>
    </row>
    <row r="24" ht="15.75" customHeight="1">
      <c r="A24" s="21">
        <f>'Soul Energy Tiers'!K19</f>
        <v>52428400</v>
      </c>
      <c r="B24" s="5"/>
      <c r="C24" s="24" t="s">
        <v>45</v>
      </c>
      <c r="D24" s="46">
        <f t="shared" si="5"/>
        <v>143639.4521</v>
      </c>
      <c r="E24" s="5"/>
      <c r="F24" s="24" t="s">
        <v>45</v>
      </c>
      <c r="G24" s="46">
        <f t="shared" ref="G24:O24" si="36">($A24/G$5)/365</f>
        <v>47879.81735</v>
      </c>
      <c r="H24" s="46">
        <f t="shared" si="36"/>
        <v>71819.72603</v>
      </c>
      <c r="I24" s="46">
        <f t="shared" si="36"/>
        <v>143639.4521</v>
      </c>
      <c r="J24" s="46">
        <f t="shared" si="36"/>
        <v>143639.4521</v>
      </c>
      <c r="K24" s="46">
        <f t="shared" si="36"/>
        <v>143639.4521</v>
      </c>
      <c r="L24" s="46">
        <f t="shared" si="36"/>
        <v>143639.4521</v>
      </c>
      <c r="M24" s="46">
        <f t="shared" si="36"/>
        <v>143639.4521</v>
      </c>
      <c r="N24" s="46">
        <f t="shared" si="36"/>
        <v>143639.4521</v>
      </c>
      <c r="O24" s="49">
        <f t="shared" si="36"/>
        <v>143639.4521</v>
      </c>
      <c r="P24" s="50">
        <f t="shared" ref="P24:AB24" si="37">($A24/N$5)/365</f>
        <v>143639.4521</v>
      </c>
      <c r="Q24" s="50">
        <f t="shared" si="37"/>
        <v>143639.4521</v>
      </c>
      <c r="R24" s="50">
        <f t="shared" si="37"/>
        <v>143639.4521</v>
      </c>
      <c r="S24" s="50">
        <f t="shared" si="37"/>
        <v>143639.4521</v>
      </c>
      <c r="T24" s="50">
        <f t="shared" si="37"/>
        <v>143639.4521</v>
      </c>
      <c r="U24" s="50">
        <f t="shared" si="37"/>
        <v>143639.4521</v>
      </c>
      <c r="V24" s="50">
        <f t="shared" si="37"/>
        <v>143639.4521</v>
      </c>
      <c r="W24" s="50">
        <f t="shared" si="37"/>
        <v>143639.4521</v>
      </c>
      <c r="X24" s="50">
        <f t="shared" si="37"/>
        <v>143639.4521</v>
      </c>
      <c r="Y24" s="50">
        <f t="shared" si="37"/>
        <v>143639.4521</v>
      </c>
      <c r="Z24" s="50">
        <f t="shared" si="37"/>
        <v>143639.4521</v>
      </c>
      <c r="AA24" s="50">
        <f t="shared" si="37"/>
        <v>143639.4521</v>
      </c>
      <c r="AB24" s="50">
        <f t="shared" si="37"/>
        <v>143639.4521</v>
      </c>
    </row>
    <row r="25" ht="15.75" customHeight="1">
      <c r="A25" s="35"/>
      <c r="B25" s="5"/>
      <c r="C25" s="5"/>
      <c r="E25" s="5"/>
      <c r="F25" s="35"/>
      <c r="G25" s="35" t="s">
        <v>74</v>
      </c>
    </row>
    <row r="26" ht="15.75" customHeight="1">
      <c r="A26" s="52" t="s">
        <v>75</v>
      </c>
      <c r="B26" s="5"/>
      <c r="C26" s="10" t="s">
        <v>3</v>
      </c>
      <c r="D26" s="10" t="s">
        <v>55</v>
      </c>
      <c r="E26" s="5"/>
      <c r="F26" s="53" t="s">
        <v>3</v>
      </c>
      <c r="G26" s="45" t="str">
        <f t="shared" ref="G26:AB26" si="38">G7</f>
        <v>Bagarisa</v>
      </c>
      <c r="H26" s="45" t="str">
        <f t="shared" si="38"/>
        <v>Fanchaki</v>
      </c>
      <c r="I26" s="45" t="str">
        <f t="shared" si="38"/>
        <v>Soreno</v>
      </c>
      <c r="J26" s="45" t="str">
        <f t="shared" si="38"/>
        <v/>
      </c>
      <c r="K26" s="45" t="str">
        <f t="shared" si="38"/>
        <v/>
      </c>
      <c r="L26" s="45" t="str">
        <f t="shared" si="38"/>
        <v/>
      </c>
      <c r="M26" s="45" t="str">
        <f t="shared" si="38"/>
        <v/>
      </c>
      <c r="N26" s="45" t="str">
        <f t="shared" si="38"/>
        <v/>
      </c>
      <c r="O26" s="45" t="str">
        <f t="shared" si="38"/>
        <v/>
      </c>
      <c r="P26" s="45" t="str">
        <f t="shared" si="38"/>
        <v/>
      </c>
      <c r="Q26" s="45" t="str">
        <f t="shared" si="38"/>
        <v/>
      </c>
      <c r="R26" s="45" t="str">
        <f t="shared" si="38"/>
        <v/>
      </c>
      <c r="S26" s="45" t="str">
        <f t="shared" si="38"/>
        <v/>
      </c>
      <c r="T26" s="45" t="str">
        <f t="shared" si="38"/>
        <v/>
      </c>
      <c r="U26" s="45" t="str">
        <f t="shared" si="38"/>
        <v/>
      </c>
      <c r="V26" s="45" t="str">
        <f t="shared" si="38"/>
        <v/>
      </c>
      <c r="W26" s="45" t="str">
        <f t="shared" si="38"/>
        <v/>
      </c>
      <c r="X26" s="45" t="str">
        <f t="shared" si="38"/>
        <v/>
      </c>
      <c r="Y26" s="45" t="str">
        <f t="shared" si="38"/>
        <v/>
      </c>
      <c r="Z26" s="45" t="str">
        <f t="shared" si="38"/>
        <v/>
      </c>
      <c r="AA26" s="45" t="str">
        <f t="shared" si="38"/>
        <v/>
      </c>
      <c r="AB26" s="45" t="str">
        <f t="shared" si="38"/>
        <v/>
      </c>
    </row>
    <row r="27" ht="15.75" customHeight="1">
      <c r="A27" s="21">
        <f>'Soul Energy Tiers'!J3</f>
        <v>20</v>
      </c>
      <c r="B27" s="5"/>
      <c r="C27" s="54" t="s">
        <v>13</v>
      </c>
      <c r="D27" s="23">
        <f t="shared" ref="D27:D43" si="40">$A27/D$5</f>
        <v>20</v>
      </c>
      <c r="E27" s="5"/>
      <c r="F27" s="54" t="s">
        <v>13</v>
      </c>
      <c r="G27" s="32">
        <f t="shared" ref="G27:AB27" si="39">$A27/G$5</f>
        <v>6.666666667</v>
      </c>
      <c r="H27" s="32">
        <f t="shared" si="39"/>
        <v>10</v>
      </c>
      <c r="I27" s="32">
        <f t="shared" si="39"/>
        <v>20</v>
      </c>
      <c r="J27" s="32">
        <f t="shared" si="39"/>
        <v>20</v>
      </c>
      <c r="K27" s="32">
        <f t="shared" si="39"/>
        <v>20</v>
      </c>
      <c r="L27" s="32">
        <f t="shared" si="39"/>
        <v>20</v>
      </c>
      <c r="M27" s="32">
        <f t="shared" si="39"/>
        <v>20</v>
      </c>
      <c r="N27" s="32">
        <f t="shared" si="39"/>
        <v>20</v>
      </c>
      <c r="O27" s="32">
        <f t="shared" si="39"/>
        <v>20</v>
      </c>
      <c r="P27" s="32">
        <f t="shared" si="39"/>
        <v>20</v>
      </c>
      <c r="Q27" s="32">
        <f t="shared" si="39"/>
        <v>20</v>
      </c>
      <c r="R27" s="32">
        <f t="shared" si="39"/>
        <v>20</v>
      </c>
      <c r="S27" s="32">
        <f t="shared" si="39"/>
        <v>20</v>
      </c>
      <c r="T27" s="32">
        <f t="shared" si="39"/>
        <v>20</v>
      </c>
      <c r="U27" s="32">
        <f t="shared" si="39"/>
        <v>20</v>
      </c>
      <c r="V27" s="32">
        <f t="shared" si="39"/>
        <v>20</v>
      </c>
      <c r="W27" s="32">
        <f t="shared" si="39"/>
        <v>20</v>
      </c>
      <c r="X27" s="32">
        <f t="shared" si="39"/>
        <v>20</v>
      </c>
      <c r="Y27" s="32">
        <f t="shared" si="39"/>
        <v>20</v>
      </c>
      <c r="Z27" s="32">
        <f t="shared" si="39"/>
        <v>20</v>
      </c>
      <c r="AA27" s="32">
        <f t="shared" si="39"/>
        <v>20</v>
      </c>
      <c r="AB27" s="32">
        <f t="shared" si="39"/>
        <v>20</v>
      </c>
    </row>
    <row r="28" ht="15.75" customHeight="1">
      <c r="A28" s="21">
        <f>'Soul Energy Tiers'!J4</f>
        <v>40</v>
      </c>
      <c r="B28" s="5"/>
      <c r="C28" s="55" t="s">
        <v>15</v>
      </c>
      <c r="D28" s="32">
        <f t="shared" si="40"/>
        <v>40</v>
      </c>
      <c r="E28" s="5"/>
      <c r="F28" s="55" t="s">
        <v>15</v>
      </c>
      <c r="G28" s="32">
        <f t="shared" ref="G28:AB28" si="41">$A28/G$5</f>
        <v>13.33333333</v>
      </c>
      <c r="H28" s="32">
        <f t="shared" si="41"/>
        <v>20</v>
      </c>
      <c r="I28" s="32">
        <f t="shared" si="41"/>
        <v>40</v>
      </c>
      <c r="J28" s="32">
        <f t="shared" si="41"/>
        <v>40</v>
      </c>
      <c r="K28" s="32">
        <f t="shared" si="41"/>
        <v>40</v>
      </c>
      <c r="L28" s="32">
        <f t="shared" si="41"/>
        <v>40</v>
      </c>
      <c r="M28" s="32">
        <f t="shared" si="41"/>
        <v>40</v>
      </c>
      <c r="N28" s="32">
        <f t="shared" si="41"/>
        <v>40</v>
      </c>
      <c r="O28" s="32">
        <f t="shared" si="41"/>
        <v>40</v>
      </c>
      <c r="P28" s="32">
        <f t="shared" si="41"/>
        <v>40</v>
      </c>
      <c r="Q28" s="32">
        <f t="shared" si="41"/>
        <v>40</v>
      </c>
      <c r="R28" s="32">
        <f t="shared" si="41"/>
        <v>40</v>
      </c>
      <c r="S28" s="32">
        <f t="shared" si="41"/>
        <v>40</v>
      </c>
      <c r="T28" s="32">
        <f t="shared" si="41"/>
        <v>40</v>
      </c>
      <c r="U28" s="32">
        <f t="shared" si="41"/>
        <v>40</v>
      </c>
      <c r="V28" s="32">
        <f t="shared" si="41"/>
        <v>40</v>
      </c>
      <c r="W28" s="32">
        <f t="shared" si="41"/>
        <v>40</v>
      </c>
      <c r="X28" s="32">
        <f t="shared" si="41"/>
        <v>40</v>
      </c>
      <c r="Y28" s="32">
        <f t="shared" si="41"/>
        <v>40</v>
      </c>
      <c r="Z28" s="32">
        <f t="shared" si="41"/>
        <v>40</v>
      </c>
      <c r="AA28" s="32">
        <f t="shared" si="41"/>
        <v>40</v>
      </c>
      <c r="AB28" s="32">
        <f t="shared" si="41"/>
        <v>40</v>
      </c>
    </row>
    <row r="29" ht="15.75" customHeight="1">
      <c r="A29" s="21">
        <f>'Soul Energy Tiers'!J5</f>
        <v>80</v>
      </c>
      <c r="B29" s="5"/>
      <c r="C29" s="55" t="s">
        <v>17</v>
      </c>
      <c r="D29" s="32">
        <f t="shared" si="40"/>
        <v>80</v>
      </c>
      <c r="E29" s="5"/>
      <c r="F29" s="55" t="s">
        <v>17</v>
      </c>
      <c r="G29" s="32">
        <f t="shared" ref="G29:AB29" si="42">$A29/G$5</f>
        <v>26.66666667</v>
      </c>
      <c r="H29" s="32">
        <f t="shared" si="42"/>
        <v>40</v>
      </c>
      <c r="I29" s="32">
        <f t="shared" si="42"/>
        <v>80</v>
      </c>
      <c r="J29" s="32">
        <f t="shared" si="42"/>
        <v>80</v>
      </c>
      <c r="K29" s="32">
        <f t="shared" si="42"/>
        <v>80</v>
      </c>
      <c r="L29" s="32">
        <f t="shared" si="42"/>
        <v>80</v>
      </c>
      <c r="M29" s="32">
        <f t="shared" si="42"/>
        <v>80</v>
      </c>
      <c r="N29" s="32">
        <f t="shared" si="42"/>
        <v>80</v>
      </c>
      <c r="O29" s="32">
        <f t="shared" si="42"/>
        <v>80</v>
      </c>
      <c r="P29" s="32">
        <f t="shared" si="42"/>
        <v>80</v>
      </c>
      <c r="Q29" s="32">
        <f t="shared" si="42"/>
        <v>80</v>
      </c>
      <c r="R29" s="32">
        <f t="shared" si="42"/>
        <v>80</v>
      </c>
      <c r="S29" s="32">
        <f t="shared" si="42"/>
        <v>80</v>
      </c>
      <c r="T29" s="32">
        <f t="shared" si="42"/>
        <v>80</v>
      </c>
      <c r="U29" s="32">
        <f t="shared" si="42"/>
        <v>80</v>
      </c>
      <c r="V29" s="32">
        <f t="shared" si="42"/>
        <v>80</v>
      </c>
      <c r="W29" s="32">
        <f t="shared" si="42"/>
        <v>80</v>
      </c>
      <c r="X29" s="32">
        <f t="shared" si="42"/>
        <v>80</v>
      </c>
      <c r="Y29" s="32">
        <f t="shared" si="42"/>
        <v>80</v>
      </c>
      <c r="Z29" s="32">
        <f t="shared" si="42"/>
        <v>80</v>
      </c>
      <c r="AA29" s="32">
        <f t="shared" si="42"/>
        <v>80</v>
      </c>
      <c r="AB29" s="32">
        <f t="shared" si="42"/>
        <v>80</v>
      </c>
    </row>
    <row r="30" ht="15.75" customHeight="1">
      <c r="A30" s="21">
        <f>'Soul Energy Tiers'!J6</f>
        <v>160</v>
      </c>
      <c r="B30" s="5"/>
      <c r="C30" s="55" t="s">
        <v>19</v>
      </c>
      <c r="D30" s="32">
        <f t="shared" si="40"/>
        <v>160</v>
      </c>
      <c r="E30" s="5"/>
      <c r="F30" s="55" t="s">
        <v>19</v>
      </c>
      <c r="G30" s="32">
        <f t="shared" ref="G30:AB30" si="43">$A30/G$5</f>
        <v>53.33333333</v>
      </c>
      <c r="H30" s="32">
        <f t="shared" si="43"/>
        <v>80</v>
      </c>
      <c r="I30" s="32">
        <f t="shared" si="43"/>
        <v>160</v>
      </c>
      <c r="J30" s="32">
        <f t="shared" si="43"/>
        <v>160</v>
      </c>
      <c r="K30" s="32">
        <f t="shared" si="43"/>
        <v>160</v>
      </c>
      <c r="L30" s="32">
        <f t="shared" si="43"/>
        <v>160</v>
      </c>
      <c r="M30" s="32">
        <f t="shared" si="43"/>
        <v>160</v>
      </c>
      <c r="N30" s="32">
        <f t="shared" si="43"/>
        <v>160</v>
      </c>
      <c r="O30" s="32">
        <f t="shared" si="43"/>
        <v>160</v>
      </c>
      <c r="P30" s="32">
        <f t="shared" si="43"/>
        <v>160</v>
      </c>
      <c r="Q30" s="32">
        <f t="shared" si="43"/>
        <v>160</v>
      </c>
      <c r="R30" s="32">
        <f t="shared" si="43"/>
        <v>160</v>
      </c>
      <c r="S30" s="32">
        <f t="shared" si="43"/>
        <v>160</v>
      </c>
      <c r="T30" s="32">
        <f t="shared" si="43"/>
        <v>160</v>
      </c>
      <c r="U30" s="32">
        <f t="shared" si="43"/>
        <v>160</v>
      </c>
      <c r="V30" s="32">
        <f t="shared" si="43"/>
        <v>160</v>
      </c>
      <c r="W30" s="32">
        <f t="shared" si="43"/>
        <v>160</v>
      </c>
      <c r="X30" s="32">
        <f t="shared" si="43"/>
        <v>160</v>
      </c>
      <c r="Y30" s="32">
        <f t="shared" si="43"/>
        <v>160</v>
      </c>
      <c r="Z30" s="32">
        <f t="shared" si="43"/>
        <v>160</v>
      </c>
      <c r="AA30" s="32">
        <f t="shared" si="43"/>
        <v>160</v>
      </c>
      <c r="AB30" s="32">
        <f t="shared" si="43"/>
        <v>160</v>
      </c>
    </row>
    <row r="31" ht="15.75" customHeight="1">
      <c r="A31" s="21">
        <f>'Soul Energy Tiers'!J7</f>
        <v>320</v>
      </c>
      <c r="B31" s="5"/>
      <c r="C31" s="55" t="s">
        <v>21</v>
      </c>
      <c r="D31" s="32">
        <f t="shared" si="40"/>
        <v>320</v>
      </c>
      <c r="E31" s="5"/>
      <c r="F31" s="55" t="s">
        <v>21</v>
      </c>
      <c r="G31" s="32">
        <f t="shared" ref="G31:AB31" si="44">$A31/G$5</f>
        <v>106.6666667</v>
      </c>
      <c r="H31" s="32">
        <f t="shared" si="44"/>
        <v>160</v>
      </c>
      <c r="I31" s="32">
        <f t="shared" si="44"/>
        <v>320</v>
      </c>
      <c r="J31" s="32">
        <f t="shared" si="44"/>
        <v>320</v>
      </c>
      <c r="K31" s="32">
        <f t="shared" si="44"/>
        <v>320</v>
      </c>
      <c r="L31" s="32">
        <f t="shared" si="44"/>
        <v>320</v>
      </c>
      <c r="M31" s="32">
        <f t="shared" si="44"/>
        <v>320</v>
      </c>
      <c r="N31" s="32">
        <f t="shared" si="44"/>
        <v>320</v>
      </c>
      <c r="O31" s="32">
        <f t="shared" si="44"/>
        <v>320</v>
      </c>
      <c r="P31" s="32">
        <f t="shared" si="44"/>
        <v>320</v>
      </c>
      <c r="Q31" s="32">
        <f t="shared" si="44"/>
        <v>320</v>
      </c>
      <c r="R31" s="32">
        <f t="shared" si="44"/>
        <v>320</v>
      </c>
      <c r="S31" s="32">
        <f t="shared" si="44"/>
        <v>320</v>
      </c>
      <c r="T31" s="32">
        <f t="shared" si="44"/>
        <v>320</v>
      </c>
      <c r="U31" s="32">
        <f t="shared" si="44"/>
        <v>320</v>
      </c>
      <c r="V31" s="32">
        <f t="shared" si="44"/>
        <v>320</v>
      </c>
      <c r="W31" s="32">
        <f t="shared" si="44"/>
        <v>320</v>
      </c>
      <c r="X31" s="32">
        <f t="shared" si="44"/>
        <v>320</v>
      </c>
      <c r="Y31" s="32">
        <f t="shared" si="44"/>
        <v>320</v>
      </c>
      <c r="Z31" s="32">
        <f t="shared" si="44"/>
        <v>320</v>
      </c>
      <c r="AA31" s="32">
        <f t="shared" si="44"/>
        <v>320</v>
      </c>
      <c r="AB31" s="32">
        <f t="shared" si="44"/>
        <v>320</v>
      </c>
    </row>
    <row r="32" ht="15.75" customHeight="1">
      <c r="A32" s="21">
        <f>'Soul Energy Tiers'!J8</f>
        <v>640</v>
      </c>
      <c r="B32" s="5"/>
      <c r="C32" s="55" t="s">
        <v>23</v>
      </c>
      <c r="D32" s="32">
        <f t="shared" si="40"/>
        <v>640</v>
      </c>
      <c r="E32" s="5"/>
      <c r="F32" s="55" t="s">
        <v>23</v>
      </c>
      <c r="G32" s="32">
        <f t="shared" ref="G32:AB32" si="45">$A32/G$5</f>
        <v>213.3333333</v>
      </c>
      <c r="H32" s="32">
        <f t="shared" si="45"/>
        <v>320</v>
      </c>
      <c r="I32" s="32">
        <f t="shared" si="45"/>
        <v>640</v>
      </c>
      <c r="J32" s="32">
        <f t="shared" si="45"/>
        <v>640</v>
      </c>
      <c r="K32" s="32">
        <f t="shared" si="45"/>
        <v>640</v>
      </c>
      <c r="L32" s="32">
        <f t="shared" si="45"/>
        <v>640</v>
      </c>
      <c r="M32" s="32">
        <f t="shared" si="45"/>
        <v>640</v>
      </c>
      <c r="N32" s="32">
        <f t="shared" si="45"/>
        <v>640</v>
      </c>
      <c r="O32" s="32">
        <f t="shared" si="45"/>
        <v>640</v>
      </c>
      <c r="P32" s="32">
        <f t="shared" si="45"/>
        <v>640</v>
      </c>
      <c r="Q32" s="32">
        <f t="shared" si="45"/>
        <v>640</v>
      </c>
      <c r="R32" s="32">
        <f t="shared" si="45"/>
        <v>640</v>
      </c>
      <c r="S32" s="32">
        <f t="shared" si="45"/>
        <v>640</v>
      </c>
      <c r="T32" s="32">
        <f t="shared" si="45"/>
        <v>640</v>
      </c>
      <c r="U32" s="32">
        <f t="shared" si="45"/>
        <v>640</v>
      </c>
      <c r="V32" s="32">
        <f t="shared" si="45"/>
        <v>640</v>
      </c>
      <c r="W32" s="32">
        <f t="shared" si="45"/>
        <v>640</v>
      </c>
      <c r="X32" s="32">
        <f t="shared" si="45"/>
        <v>640</v>
      </c>
      <c r="Y32" s="32">
        <f t="shared" si="45"/>
        <v>640</v>
      </c>
      <c r="Z32" s="32">
        <f t="shared" si="45"/>
        <v>640</v>
      </c>
      <c r="AA32" s="32">
        <f t="shared" si="45"/>
        <v>640</v>
      </c>
      <c r="AB32" s="32">
        <f t="shared" si="45"/>
        <v>640</v>
      </c>
    </row>
    <row r="33" ht="15.75" customHeight="1">
      <c r="A33" s="21">
        <f>'Soul Energy Tiers'!J9</f>
        <v>1280</v>
      </c>
      <c r="B33" s="5"/>
      <c r="C33" s="55" t="s">
        <v>25</v>
      </c>
      <c r="D33" s="32">
        <f t="shared" si="40"/>
        <v>1280</v>
      </c>
      <c r="E33" s="5"/>
      <c r="F33" s="55" t="s">
        <v>25</v>
      </c>
      <c r="G33" s="32">
        <f t="shared" ref="G33:AB33" si="46">$A33/G$5</f>
        <v>426.6666667</v>
      </c>
      <c r="H33" s="32">
        <f t="shared" si="46"/>
        <v>640</v>
      </c>
      <c r="I33" s="32">
        <f t="shared" si="46"/>
        <v>1280</v>
      </c>
      <c r="J33" s="32">
        <f t="shared" si="46"/>
        <v>1280</v>
      </c>
      <c r="K33" s="32">
        <f t="shared" si="46"/>
        <v>1280</v>
      </c>
      <c r="L33" s="32">
        <f t="shared" si="46"/>
        <v>1280</v>
      </c>
      <c r="M33" s="32">
        <f t="shared" si="46"/>
        <v>1280</v>
      </c>
      <c r="N33" s="32">
        <f t="shared" si="46"/>
        <v>1280</v>
      </c>
      <c r="O33" s="32">
        <f t="shared" si="46"/>
        <v>1280</v>
      </c>
      <c r="P33" s="32">
        <f t="shared" si="46"/>
        <v>1280</v>
      </c>
      <c r="Q33" s="32">
        <f t="shared" si="46"/>
        <v>1280</v>
      </c>
      <c r="R33" s="32">
        <f t="shared" si="46"/>
        <v>1280</v>
      </c>
      <c r="S33" s="32">
        <f t="shared" si="46"/>
        <v>1280</v>
      </c>
      <c r="T33" s="32">
        <f t="shared" si="46"/>
        <v>1280</v>
      </c>
      <c r="U33" s="32">
        <f t="shared" si="46"/>
        <v>1280</v>
      </c>
      <c r="V33" s="32">
        <f t="shared" si="46"/>
        <v>1280</v>
      </c>
      <c r="W33" s="32">
        <f t="shared" si="46"/>
        <v>1280</v>
      </c>
      <c r="X33" s="32">
        <f t="shared" si="46"/>
        <v>1280</v>
      </c>
      <c r="Y33" s="32">
        <f t="shared" si="46"/>
        <v>1280</v>
      </c>
      <c r="Z33" s="32">
        <f t="shared" si="46"/>
        <v>1280</v>
      </c>
      <c r="AA33" s="32">
        <f t="shared" si="46"/>
        <v>1280</v>
      </c>
      <c r="AB33" s="32">
        <f t="shared" si="46"/>
        <v>1280</v>
      </c>
    </row>
    <row r="34" ht="15.75" customHeight="1">
      <c r="A34" s="21">
        <f>'Soul Energy Tiers'!J10</f>
        <v>2560</v>
      </c>
      <c r="B34" s="5"/>
      <c r="C34" s="55" t="s">
        <v>27</v>
      </c>
      <c r="D34" s="32">
        <f t="shared" si="40"/>
        <v>2560</v>
      </c>
      <c r="E34" s="5"/>
      <c r="F34" s="55" t="s">
        <v>27</v>
      </c>
      <c r="G34" s="32">
        <f t="shared" ref="G34:AB34" si="47">$A34/G$5</f>
        <v>853.3333333</v>
      </c>
      <c r="H34" s="32">
        <f t="shared" si="47"/>
        <v>1280</v>
      </c>
      <c r="I34" s="32">
        <f t="shared" si="47"/>
        <v>2560</v>
      </c>
      <c r="J34" s="32">
        <f t="shared" si="47"/>
        <v>2560</v>
      </c>
      <c r="K34" s="32">
        <f t="shared" si="47"/>
        <v>2560</v>
      </c>
      <c r="L34" s="32">
        <f t="shared" si="47"/>
        <v>2560</v>
      </c>
      <c r="M34" s="32">
        <f t="shared" si="47"/>
        <v>2560</v>
      </c>
      <c r="N34" s="32">
        <f t="shared" si="47"/>
        <v>2560</v>
      </c>
      <c r="O34" s="32">
        <f t="shared" si="47"/>
        <v>2560</v>
      </c>
      <c r="P34" s="32">
        <f t="shared" si="47"/>
        <v>2560</v>
      </c>
      <c r="Q34" s="32">
        <f t="shared" si="47"/>
        <v>2560</v>
      </c>
      <c r="R34" s="32">
        <f t="shared" si="47"/>
        <v>2560</v>
      </c>
      <c r="S34" s="32">
        <f t="shared" si="47"/>
        <v>2560</v>
      </c>
      <c r="T34" s="32">
        <f t="shared" si="47"/>
        <v>2560</v>
      </c>
      <c r="U34" s="32">
        <f t="shared" si="47"/>
        <v>2560</v>
      </c>
      <c r="V34" s="32">
        <f t="shared" si="47"/>
        <v>2560</v>
      </c>
      <c r="W34" s="32">
        <f t="shared" si="47"/>
        <v>2560</v>
      </c>
      <c r="X34" s="32">
        <f t="shared" si="47"/>
        <v>2560</v>
      </c>
      <c r="Y34" s="32">
        <f t="shared" si="47"/>
        <v>2560</v>
      </c>
      <c r="Z34" s="32">
        <f t="shared" si="47"/>
        <v>2560</v>
      </c>
      <c r="AA34" s="32">
        <f t="shared" si="47"/>
        <v>2560</v>
      </c>
      <c r="AB34" s="32">
        <f t="shared" si="47"/>
        <v>2560</v>
      </c>
    </row>
    <row r="35" ht="15.75" customHeight="1">
      <c r="A35" s="21">
        <f>'Soul Energy Tiers'!J11</f>
        <v>5120</v>
      </c>
      <c r="B35" s="5"/>
      <c r="C35" s="55" t="s">
        <v>29</v>
      </c>
      <c r="D35" s="32">
        <f t="shared" si="40"/>
        <v>5120</v>
      </c>
      <c r="E35" s="5"/>
      <c r="F35" s="55" t="s">
        <v>29</v>
      </c>
      <c r="G35" s="32">
        <f t="shared" ref="G35:AB35" si="48">$A35/G$5</f>
        <v>1706.666667</v>
      </c>
      <c r="H35" s="32">
        <f t="shared" si="48"/>
        <v>2560</v>
      </c>
      <c r="I35" s="32">
        <f t="shared" si="48"/>
        <v>5120</v>
      </c>
      <c r="J35" s="32">
        <f t="shared" si="48"/>
        <v>5120</v>
      </c>
      <c r="K35" s="32">
        <f t="shared" si="48"/>
        <v>5120</v>
      </c>
      <c r="L35" s="32">
        <f t="shared" si="48"/>
        <v>5120</v>
      </c>
      <c r="M35" s="32">
        <f t="shared" si="48"/>
        <v>5120</v>
      </c>
      <c r="N35" s="32">
        <f t="shared" si="48"/>
        <v>5120</v>
      </c>
      <c r="O35" s="32">
        <f t="shared" si="48"/>
        <v>5120</v>
      </c>
      <c r="P35" s="32">
        <f t="shared" si="48"/>
        <v>5120</v>
      </c>
      <c r="Q35" s="32">
        <f t="shared" si="48"/>
        <v>5120</v>
      </c>
      <c r="R35" s="32">
        <f t="shared" si="48"/>
        <v>5120</v>
      </c>
      <c r="S35" s="32">
        <f t="shared" si="48"/>
        <v>5120</v>
      </c>
      <c r="T35" s="32">
        <f t="shared" si="48"/>
        <v>5120</v>
      </c>
      <c r="U35" s="32">
        <f t="shared" si="48"/>
        <v>5120</v>
      </c>
      <c r="V35" s="32">
        <f t="shared" si="48"/>
        <v>5120</v>
      </c>
      <c r="W35" s="32">
        <f t="shared" si="48"/>
        <v>5120</v>
      </c>
      <c r="X35" s="32">
        <f t="shared" si="48"/>
        <v>5120</v>
      </c>
      <c r="Y35" s="32">
        <f t="shared" si="48"/>
        <v>5120</v>
      </c>
      <c r="Z35" s="32">
        <f t="shared" si="48"/>
        <v>5120</v>
      </c>
      <c r="AA35" s="32">
        <f t="shared" si="48"/>
        <v>5120</v>
      </c>
      <c r="AB35" s="32">
        <f t="shared" si="48"/>
        <v>5120</v>
      </c>
    </row>
    <row r="36" ht="15.75" customHeight="1">
      <c r="A36" s="21">
        <f>'Soul Energy Tiers'!J12</f>
        <v>10240</v>
      </c>
      <c r="B36" s="5"/>
      <c r="C36" s="55" t="s">
        <v>31</v>
      </c>
      <c r="D36" s="32">
        <f t="shared" si="40"/>
        <v>10240</v>
      </c>
      <c r="E36" s="5"/>
      <c r="F36" s="55" t="s">
        <v>31</v>
      </c>
      <c r="G36" s="32">
        <f t="shared" ref="G36:AB36" si="49">$A36/G$5</f>
        <v>3413.333333</v>
      </c>
      <c r="H36" s="32">
        <f t="shared" si="49"/>
        <v>5120</v>
      </c>
      <c r="I36" s="32">
        <f t="shared" si="49"/>
        <v>10240</v>
      </c>
      <c r="J36" s="32">
        <f t="shared" si="49"/>
        <v>10240</v>
      </c>
      <c r="K36" s="32">
        <f t="shared" si="49"/>
        <v>10240</v>
      </c>
      <c r="L36" s="32">
        <f t="shared" si="49"/>
        <v>10240</v>
      </c>
      <c r="M36" s="32">
        <f t="shared" si="49"/>
        <v>10240</v>
      </c>
      <c r="N36" s="32">
        <f t="shared" si="49"/>
        <v>10240</v>
      </c>
      <c r="O36" s="32">
        <f t="shared" si="49"/>
        <v>10240</v>
      </c>
      <c r="P36" s="32">
        <f t="shared" si="49"/>
        <v>10240</v>
      </c>
      <c r="Q36" s="32">
        <f t="shared" si="49"/>
        <v>10240</v>
      </c>
      <c r="R36" s="32">
        <f t="shared" si="49"/>
        <v>10240</v>
      </c>
      <c r="S36" s="32">
        <f t="shared" si="49"/>
        <v>10240</v>
      </c>
      <c r="T36" s="32">
        <f t="shared" si="49"/>
        <v>10240</v>
      </c>
      <c r="U36" s="32">
        <f t="shared" si="49"/>
        <v>10240</v>
      </c>
      <c r="V36" s="32">
        <f t="shared" si="49"/>
        <v>10240</v>
      </c>
      <c r="W36" s="32">
        <f t="shared" si="49"/>
        <v>10240</v>
      </c>
      <c r="X36" s="32">
        <f t="shared" si="49"/>
        <v>10240</v>
      </c>
      <c r="Y36" s="32">
        <f t="shared" si="49"/>
        <v>10240</v>
      </c>
      <c r="Z36" s="32">
        <f t="shared" si="49"/>
        <v>10240</v>
      </c>
      <c r="AA36" s="32">
        <f t="shared" si="49"/>
        <v>10240</v>
      </c>
      <c r="AB36" s="32">
        <f t="shared" si="49"/>
        <v>10240</v>
      </c>
    </row>
    <row r="37" ht="15.75" customHeight="1">
      <c r="A37" s="21">
        <f>'Soul Energy Tiers'!J13</f>
        <v>20480</v>
      </c>
      <c r="B37" s="5"/>
      <c r="C37" s="55" t="s">
        <v>33</v>
      </c>
      <c r="D37" s="32">
        <f t="shared" si="40"/>
        <v>20480</v>
      </c>
      <c r="E37" s="5"/>
      <c r="F37" s="55" t="s">
        <v>33</v>
      </c>
      <c r="G37" s="32">
        <f t="shared" ref="G37:AB37" si="50">$A37/G$5</f>
        <v>6826.666667</v>
      </c>
      <c r="H37" s="32">
        <f t="shared" si="50"/>
        <v>10240</v>
      </c>
      <c r="I37" s="32">
        <f t="shared" si="50"/>
        <v>20480</v>
      </c>
      <c r="J37" s="32">
        <f t="shared" si="50"/>
        <v>20480</v>
      </c>
      <c r="K37" s="32">
        <f t="shared" si="50"/>
        <v>20480</v>
      </c>
      <c r="L37" s="32">
        <f t="shared" si="50"/>
        <v>20480</v>
      </c>
      <c r="M37" s="32">
        <f t="shared" si="50"/>
        <v>20480</v>
      </c>
      <c r="N37" s="32">
        <f t="shared" si="50"/>
        <v>20480</v>
      </c>
      <c r="O37" s="32">
        <f t="shared" si="50"/>
        <v>20480</v>
      </c>
      <c r="P37" s="32">
        <f t="shared" si="50"/>
        <v>20480</v>
      </c>
      <c r="Q37" s="32">
        <f t="shared" si="50"/>
        <v>20480</v>
      </c>
      <c r="R37" s="32">
        <f t="shared" si="50"/>
        <v>20480</v>
      </c>
      <c r="S37" s="32">
        <f t="shared" si="50"/>
        <v>20480</v>
      </c>
      <c r="T37" s="32">
        <f t="shared" si="50"/>
        <v>20480</v>
      </c>
      <c r="U37" s="32">
        <f t="shared" si="50"/>
        <v>20480</v>
      </c>
      <c r="V37" s="32">
        <f t="shared" si="50"/>
        <v>20480</v>
      </c>
      <c r="W37" s="32">
        <f t="shared" si="50"/>
        <v>20480</v>
      </c>
      <c r="X37" s="32">
        <f t="shared" si="50"/>
        <v>20480</v>
      </c>
      <c r="Y37" s="32">
        <f t="shared" si="50"/>
        <v>20480</v>
      </c>
      <c r="Z37" s="32">
        <f t="shared" si="50"/>
        <v>20480</v>
      </c>
      <c r="AA37" s="32">
        <f t="shared" si="50"/>
        <v>20480</v>
      </c>
      <c r="AB37" s="32">
        <f t="shared" si="50"/>
        <v>20480</v>
      </c>
    </row>
    <row r="38" ht="15.75" customHeight="1">
      <c r="A38" s="21">
        <f>'Soul Energy Tiers'!J14</f>
        <v>40960</v>
      </c>
      <c r="B38" s="5"/>
      <c r="C38" s="55" t="s">
        <v>35</v>
      </c>
      <c r="D38" s="32">
        <f t="shared" si="40"/>
        <v>40960</v>
      </c>
      <c r="E38" s="5"/>
      <c r="F38" s="55" t="s">
        <v>35</v>
      </c>
      <c r="G38" s="32">
        <f t="shared" ref="G38:AB38" si="51">$A38/G$5</f>
        <v>13653.33333</v>
      </c>
      <c r="H38" s="32">
        <f t="shared" si="51"/>
        <v>20480</v>
      </c>
      <c r="I38" s="32">
        <f t="shared" si="51"/>
        <v>40960</v>
      </c>
      <c r="J38" s="32">
        <f t="shared" si="51"/>
        <v>40960</v>
      </c>
      <c r="K38" s="32">
        <f t="shared" si="51"/>
        <v>40960</v>
      </c>
      <c r="L38" s="32">
        <f t="shared" si="51"/>
        <v>40960</v>
      </c>
      <c r="M38" s="32">
        <f t="shared" si="51"/>
        <v>40960</v>
      </c>
      <c r="N38" s="32">
        <f t="shared" si="51"/>
        <v>40960</v>
      </c>
      <c r="O38" s="32">
        <f t="shared" si="51"/>
        <v>40960</v>
      </c>
      <c r="P38" s="32">
        <f t="shared" si="51"/>
        <v>40960</v>
      </c>
      <c r="Q38" s="32">
        <f t="shared" si="51"/>
        <v>40960</v>
      </c>
      <c r="R38" s="32">
        <f t="shared" si="51"/>
        <v>40960</v>
      </c>
      <c r="S38" s="32">
        <f t="shared" si="51"/>
        <v>40960</v>
      </c>
      <c r="T38" s="32">
        <f t="shared" si="51"/>
        <v>40960</v>
      </c>
      <c r="U38" s="32">
        <f t="shared" si="51"/>
        <v>40960</v>
      </c>
      <c r="V38" s="32">
        <f t="shared" si="51"/>
        <v>40960</v>
      </c>
      <c r="W38" s="32">
        <f t="shared" si="51"/>
        <v>40960</v>
      </c>
      <c r="X38" s="32">
        <f t="shared" si="51"/>
        <v>40960</v>
      </c>
      <c r="Y38" s="32">
        <f t="shared" si="51"/>
        <v>40960</v>
      </c>
      <c r="Z38" s="32">
        <f t="shared" si="51"/>
        <v>40960</v>
      </c>
      <c r="AA38" s="32">
        <f t="shared" si="51"/>
        <v>40960</v>
      </c>
      <c r="AB38" s="32">
        <f t="shared" si="51"/>
        <v>40960</v>
      </c>
    </row>
    <row r="39" ht="15.75" customHeight="1">
      <c r="A39" s="21">
        <f>'Soul Energy Tiers'!J15</f>
        <v>81920</v>
      </c>
      <c r="B39" s="5"/>
      <c r="C39" s="55" t="s">
        <v>37</v>
      </c>
      <c r="D39" s="32">
        <f t="shared" si="40"/>
        <v>81920</v>
      </c>
      <c r="E39" s="5"/>
      <c r="F39" s="55" t="s">
        <v>37</v>
      </c>
      <c r="G39" s="32">
        <f t="shared" ref="G39:AB39" si="52">$A39/G$5</f>
        <v>27306.66667</v>
      </c>
      <c r="H39" s="32">
        <f t="shared" si="52"/>
        <v>40960</v>
      </c>
      <c r="I39" s="32">
        <f t="shared" si="52"/>
        <v>81920</v>
      </c>
      <c r="J39" s="32">
        <f t="shared" si="52"/>
        <v>81920</v>
      </c>
      <c r="K39" s="32">
        <f t="shared" si="52"/>
        <v>81920</v>
      </c>
      <c r="L39" s="32">
        <f t="shared" si="52"/>
        <v>81920</v>
      </c>
      <c r="M39" s="32">
        <f t="shared" si="52"/>
        <v>81920</v>
      </c>
      <c r="N39" s="32">
        <f t="shared" si="52"/>
        <v>81920</v>
      </c>
      <c r="O39" s="32">
        <f t="shared" si="52"/>
        <v>81920</v>
      </c>
      <c r="P39" s="32">
        <f t="shared" si="52"/>
        <v>81920</v>
      </c>
      <c r="Q39" s="32">
        <f t="shared" si="52"/>
        <v>81920</v>
      </c>
      <c r="R39" s="32">
        <f t="shared" si="52"/>
        <v>81920</v>
      </c>
      <c r="S39" s="32">
        <f t="shared" si="52"/>
        <v>81920</v>
      </c>
      <c r="T39" s="32">
        <f t="shared" si="52"/>
        <v>81920</v>
      </c>
      <c r="U39" s="32">
        <f t="shared" si="52"/>
        <v>81920</v>
      </c>
      <c r="V39" s="32">
        <f t="shared" si="52"/>
        <v>81920</v>
      </c>
      <c r="W39" s="32">
        <f t="shared" si="52"/>
        <v>81920</v>
      </c>
      <c r="X39" s="32">
        <f t="shared" si="52"/>
        <v>81920</v>
      </c>
      <c r="Y39" s="32">
        <f t="shared" si="52"/>
        <v>81920</v>
      </c>
      <c r="Z39" s="32">
        <f t="shared" si="52"/>
        <v>81920</v>
      </c>
      <c r="AA39" s="32">
        <f t="shared" si="52"/>
        <v>81920</v>
      </c>
      <c r="AB39" s="32">
        <f t="shared" si="52"/>
        <v>81920</v>
      </c>
    </row>
    <row r="40" ht="15.75" customHeight="1">
      <c r="A40" s="21">
        <f>'Soul Energy Tiers'!J16</f>
        <v>163840</v>
      </c>
      <c r="B40" s="5"/>
      <c r="C40" s="55" t="s">
        <v>39</v>
      </c>
      <c r="D40" s="32">
        <f t="shared" si="40"/>
        <v>163840</v>
      </c>
      <c r="E40" s="5"/>
      <c r="F40" s="55" t="s">
        <v>39</v>
      </c>
      <c r="G40" s="32">
        <f t="shared" ref="G40:AB40" si="53">$A40/G$5</f>
        <v>54613.33333</v>
      </c>
      <c r="H40" s="32">
        <f t="shared" si="53"/>
        <v>81920</v>
      </c>
      <c r="I40" s="32">
        <f t="shared" si="53"/>
        <v>163840</v>
      </c>
      <c r="J40" s="32">
        <f t="shared" si="53"/>
        <v>163840</v>
      </c>
      <c r="K40" s="32">
        <f t="shared" si="53"/>
        <v>163840</v>
      </c>
      <c r="L40" s="32">
        <f t="shared" si="53"/>
        <v>163840</v>
      </c>
      <c r="M40" s="32">
        <f t="shared" si="53"/>
        <v>163840</v>
      </c>
      <c r="N40" s="32">
        <f t="shared" si="53"/>
        <v>163840</v>
      </c>
      <c r="O40" s="32">
        <f t="shared" si="53"/>
        <v>163840</v>
      </c>
      <c r="P40" s="32">
        <f t="shared" si="53"/>
        <v>163840</v>
      </c>
      <c r="Q40" s="32">
        <f t="shared" si="53"/>
        <v>163840</v>
      </c>
      <c r="R40" s="32">
        <f t="shared" si="53"/>
        <v>163840</v>
      </c>
      <c r="S40" s="32">
        <f t="shared" si="53"/>
        <v>163840</v>
      </c>
      <c r="T40" s="32">
        <f t="shared" si="53"/>
        <v>163840</v>
      </c>
      <c r="U40" s="32">
        <f t="shared" si="53"/>
        <v>163840</v>
      </c>
      <c r="V40" s="32">
        <f t="shared" si="53"/>
        <v>163840</v>
      </c>
      <c r="W40" s="32">
        <f t="shared" si="53"/>
        <v>163840</v>
      </c>
      <c r="X40" s="32">
        <f t="shared" si="53"/>
        <v>163840</v>
      </c>
      <c r="Y40" s="32">
        <f t="shared" si="53"/>
        <v>163840</v>
      </c>
      <c r="Z40" s="32">
        <f t="shared" si="53"/>
        <v>163840</v>
      </c>
      <c r="AA40" s="32">
        <f t="shared" si="53"/>
        <v>163840</v>
      </c>
      <c r="AB40" s="32">
        <f t="shared" si="53"/>
        <v>163840</v>
      </c>
    </row>
    <row r="41" ht="15.75" customHeight="1">
      <c r="A41" s="21">
        <f>'Soul Energy Tiers'!J17</f>
        <v>327680</v>
      </c>
      <c r="B41" s="5"/>
      <c r="C41" s="55" t="s">
        <v>41</v>
      </c>
      <c r="D41" s="32">
        <f t="shared" si="40"/>
        <v>327680</v>
      </c>
      <c r="E41" s="5"/>
      <c r="F41" s="55" t="s">
        <v>41</v>
      </c>
      <c r="G41" s="32">
        <f t="shared" ref="G41:AB41" si="54">$A41/G$5</f>
        <v>109226.6667</v>
      </c>
      <c r="H41" s="32">
        <f t="shared" si="54"/>
        <v>163840</v>
      </c>
      <c r="I41" s="32">
        <f t="shared" si="54"/>
        <v>327680</v>
      </c>
      <c r="J41" s="32">
        <f t="shared" si="54"/>
        <v>327680</v>
      </c>
      <c r="K41" s="32">
        <f t="shared" si="54"/>
        <v>327680</v>
      </c>
      <c r="L41" s="32">
        <f t="shared" si="54"/>
        <v>327680</v>
      </c>
      <c r="M41" s="32">
        <f t="shared" si="54"/>
        <v>327680</v>
      </c>
      <c r="N41" s="32">
        <f t="shared" si="54"/>
        <v>327680</v>
      </c>
      <c r="O41" s="32">
        <f t="shared" si="54"/>
        <v>327680</v>
      </c>
      <c r="P41" s="32">
        <f t="shared" si="54"/>
        <v>327680</v>
      </c>
      <c r="Q41" s="32">
        <f t="shared" si="54"/>
        <v>327680</v>
      </c>
      <c r="R41" s="32">
        <f t="shared" si="54"/>
        <v>327680</v>
      </c>
      <c r="S41" s="32">
        <f t="shared" si="54"/>
        <v>327680</v>
      </c>
      <c r="T41" s="32">
        <f t="shared" si="54"/>
        <v>327680</v>
      </c>
      <c r="U41" s="32">
        <f t="shared" si="54"/>
        <v>327680</v>
      </c>
      <c r="V41" s="32">
        <f t="shared" si="54"/>
        <v>327680</v>
      </c>
      <c r="W41" s="32">
        <f t="shared" si="54"/>
        <v>327680</v>
      </c>
      <c r="X41" s="32">
        <f t="shared" si="54"/>
        <v>327680</v>
      </c>
      <c r="Y41" s="32">
        <f t="shared" si="54"/>
        <v>327680</v>
      </c>
      <c r="Z41" s="32">
        <f t="shared" si="54"/>
        <v>327680</v>
      </c>
      <c r="AA41" s="32">
        <f t="shared" si="54"/>
        <v>327680</v>
      </c>
      <c r="AB41" s="32">
        <f t="shared" si="54"/>
        <v>327680</v>
      </c>
    </row>
    <row r="42" ht="15.75" customHeight="1">
      <c r="A42" s="21">
        <f>'Soul Energy Tiers'!J18</f>
        <v>655360</v>
      </c>
      <c r="B42" s="5"/>
      <c r="C42" s="55" t="s">
        <v>43</v>
      </c>
      <c r="D42" s="32">
        <f t="shared" si="40"/>
        <v>655360</v>
      </c>
      <c r="E42" s="5"/>
      <c r="F42" s="55" t="s">
        <v>43</v>
      </c>
      <c r="G42" s="32">
        <f t="shared" ref="G42:AB42" si="55">$A42/G$5</f>
        <v>218453.3333</v>
      </c>
      <c r="H42" s="32">
        <f t="shared" si="55"/>
        <v>327680</v>
      </c>
      <c r="I42" s="32">
        <f t="shared" si="55"/>
        <v>655360</v>
      </c>
      <c r="J42" s="32">
        <f t="shared" si="55"/>
        <v>655360</v>
      </c>
      <c r="K42" s="32">
        <f t="shared" si="55"/>
        <v>655360</v>
      </c>
      <c r="L42" s="32">
        <f t="shared" si="55"/>
        <v>655360</v>
      </c>
      <c r="M42" s="32">
        <f t="shared" si="55"/>
        <v>655360</v>
      </c>
      <c r="N42" s="32">
        <f t="shared" si="55"/>
        <v>655360</v>
      </c>
      <c r="O42" s="32">
        <f t="shared" si="55"/>
        <v>655360</v>
      </c>
      <c r="P42" s="32">
        <f t="shared" si="55"/>
        <v>655360</v>
      </c>
      <c r="Q42" s="32">
        <f t="shared" si="55"/>
        <v>655360</v>
      </c>
      <c r="R42" s="32">
        <f t="shared" si="55"/>
        <v>655360</v>
      </c>
      <c r="S42" s="32">
        <f t="shared" si="55"/>
        <v>655360</v>
      </c>
      <c r="T42" s="32">
        <f t="shared" si="55"/>
        <v>655360</v>
      </c>
      <c r="U42" s="32">
        <f t="shared" si="55"/>
        <v>655360</v>
      </c>
      <c r="V42" s="32">
        <f t="shared" si="55"/>
        <v>655360</v>
      </c>
      <c r="W42" s="32">
        <f t="shared" si="55"/>
        <v>655360</v>
      </c>
      <c r="X42" s="32">
        <f t="shared" si="55"/>
        <v>655360</v>
      </c>
      <c r="Y42" s="32">
        <f t="shared" si="55"/>
        <v>655360</v>
      </c>
      <c r="Z42" s="32">
        <f t="shared" si="55"/>
        <v>655360</v>
      </c>
      <c r="AA42" s="32">
        <f t="shared" si="55"/>
        <v>655360</v>
      </c>
      <c r="AB42" s="32">
        <f t="shared" si="55"/>
        <v>655360</v>
      </c>
    </row>
    <row r="43" ht="15.75" customHeight="1">
      <c r="A43" s="21">
        <f>'Soul Energy Tiers'!J19</f>
        <v>1310720</v>
      </c>
      <c r="B43" s="5"/>
      <c r="C43" s="55" t="s">
        <v>45</v>
      </c>
      <c r="D43" s="32">
        <f t="shared" si="40"/>
        <v>1310720</v>
      </c>
      <c r="E43" s="5"/>
      <c r="F43" s="55" t="s">
        <v>45</v>
      </c>
      <c r="G43" s="32">
        <f t="shared" ref="G43:AB43" si="56">$A43/G$5</f>
        <v>436906.6667</v>
      </c>
      <c r="H43" s="32">
        <f t="shared" si="56"/>
        <v>655360</v>
      </c>
      <c r="I43" s="32">
        <f t="shared" si="56"/>
        <v>1310720</v>
      </c>
      <c r="J43" s="32">
        <f t="shared" si="56"/>
        <v>1310720</v>
      </c>
      <c r="K43" s="32">
        <f t="shared" si="56"/>
        <v>1310720</v>
      </c>
      <c r="L43" s="32">
        <f t="shared" si="56"/>
        <v>1310720</v>
      </c>
      <c r="M43" s="32">
        <f t="shared" si="56"/>
        <v>1310720</v>
      </c>
      <c r="N43" s="32">
        <f t="shared" si="56"/>
        <v>1310720</v>
      </c>
      <c r="O43" s="32">
        <f t="shared" si="56"/>
        <v>1310720</v>
      </c>
      <c r="P43" s="32">
        <f t="shared" si="56"/>
        <v>1310720</v>
      </c>
      <c r="Q43" s="32">
        <f t="shared" si="56"/>
        <v>1310720</v>
      </c>
      <c r="R43" s="32">
        <f t="shared" si="56"/>
        <v>1310720</v>
      </c>
      <c r="S43" s="32">
        <f t="shared" si="56"/>
        <v>1310720</v>
      </c>
      <c r="T43" s="32">
        <f t="shared" si="56"/>
        <v>1310720</v>
      </c>
      <c r="U43" s="32">
        <f t="shared" si="56"/>
        <v>1310720</v>
      </c>
      <c r="V43" s="32">
        <f t="shared" si="56"/>
        <v>1310720</v>
      </c>
      <c r="W43" s="32">
        <f t="shared" si="56"/>
        <v>1310720</v>
      </c>
      <c r="X43" s="32">
        <f t="shared" si="56"/>
        <v>1310720</v>
      </c>
      <c r="Y43" s="32">
        <f t="shared" si="56"/>
        <v>1310720</v>
      </c>
      <c r="Z43" s="32">
        <f t="shared" si="56"/>
        <v>1310720</v>
      </c>
      <c r="AA43" s="32">
        <f t="shared" si="56"/>
        <v>1310720</v>
      </c>
      <c r="AB43" s="32">
        <f t="shared" si="56"/>
        <v>1310720</v>
      </c>
    </row>
    <row r="44" ht="15.75" customHeight="1">
      <c r="A44" s="35"/>
      <c r="B44" s="5"/>
      <c r="C44" s="5"/>
      <c r="E44" s="5"/>
      <c r="F44" s="35"/>
      <c r="G44" s="35" t="s">
        <v>76</v>
      </c>
    </row>
    <row r="45" ht="15.75" customHeight="1">
      <c r="A45" s="52" t="s">
        <v>75</v>
      </c>
      <c r="B45" s="5"/>
      <c r="C45" s="10" t="s">
        <v>3</v>
      </c>
      <c r="D45" s="10" t="s">
        <v>55</v>
      </c>
      <c r="E45" s="5"/>
      <c r="F45" s="53" t="s">
        <v>3</v>
      </c>
      <c r="G45" s="45" t="str">
        <f t="shared" ref="G45:AB45" si="57">G26</f>
        <v>Bagarisa</v>
      </c>
      <c r="H45" s="45" t="str">
        <f t="shared" si="57"/>
        <v>Fanchaki</v>
      </c>
      <c r="I45" s="45" t="str">
        <f t="shared" si="57"/>
        <v>Soreno</v>
      </c>
      <c r="J45" s="45" t="str">
        <f t="shared" si="57"/>
        <v/>
      </c>
      <c r="K45" s="45" t="str">
        <f t="shared" si="57"/>
        <v/>
      </c>
      <c r="L45" s="45" t="str">
        <f t="shared" si="57"/>
        <v/>
      </c>
      <c r="M45" s="45" t="str">
        <f t="shared" si="57"/>
        <v/>
      </c>
      <c r="N45" s="45" t="str">
        <f t="shared" si="57"/>
        <v/>
      </c>
      <c r="O45" s="45" t="str">
        <f t="shared" si="57"/>
        <v/>
      </c>
      <c r="P45" s="45" t="str">
        <f t="shared" si="57"/>
        <v/>
      </c>
      <c r="Q45" s="45" t="str">
        <f t="shared" si="57"/>
        <v/>
      </c>
      <c r="R45" s="45" t="str">
        <f t="shared" si="57"/>
        <v/>
      </c>
      <c r="S45" s="45" t="str">
        <f t="shared" si="57"/>
        <v/>
      </c>
      <c r="T45" s="45" t="str">
        <f t="shared" si="57"/>
        <v/>
      </c>
      <c r="U45" s="45" t="str">
        <f t="shared" si="57"/>
        <v/>
      </c>
      <c r="V45" s="45" t="str">
        <f t="shared" si="57"/>
        <v/>
      </c>
      <c r="W45" s="45" t="str">
        <f t="shared" si="57"/>
        <v/>
      </c>
      <c r="X45" s="45" t="str">
        <f t="shared" si="57"/>
        <v/>
      </c>
      <c r="Y45" s="45" t="str">
        <f t="shared" si="57"/>
        <v/>
      </c>
      <c r="Z45" s="45" t="str">
        <f t="shared" si="57"/>
        <v/>
      </c>
      <c r="AA45" s="45" t="str">
        <f t="shared" si="57"/>
        <v/>
      </c>
      <c r="AB45" s="45" t="str">
        <f t="shared" si="57"/>
        <v/>
      </c>
    </row>
    <row r="46" ht="15.75" customHeight="1">
      <c r="A46" s="21">
        <f>'Soul Energy Tiers'!J3</f>
        <v>20</v>
      </c>
      <c r="B46" s="5"/>
      <c r="C46" s="54" t="s">
        <v>13</v>
      </c>
      <c r="D46" s="23">
        <f t="shared" ref="D46:D62" si="59">($A46/D$5)/365</f>
        <v>0.05479452055</v>
      </c>
      <c r="E46" s="5"/>
      <c r="F46" s="54" t="s">
        <v>13</v>
      </c>
      <c r="G46" s="32">
        <f t="shared" ref="G46:AB46" si="58">($A46/G$5)/365</f>
        <v>0.01826484018</v>
      </c>
      <c r="H46" s="32">
        <f t="shared" si="58"/>
        <v>0.02739726027</v>
      </c>
      <c r="I46" s="32">
        <f t="shared" si="58"/>
        <v>0.05479452055</v>
      </c>
      <c r="J46" s="32">
        <f t="shared" si="58"/>
        <v>0.05479452055</v>
      </c>
      <c r="K46" s="32">
        <f t="shared" si="58"/>
        <v>0.05479452055</v>
      </c>
      <c r="L46" s="32">
        <f t="shared" si="58"/>
        <v>0.05479452055</v>
      </c>
      <c r="M46" s="32">
        <f t="shared" si="58"/>
        <v>0.05479452055</v>
      </c>
      <c r="N46" s="32">
        <f t="shared" si="58"/>
        <v>0.05479452055</v>
      </c>
      <c r="O46" s="32">
        <f t="shared" si="58"/>
        <v>0.05479452055</v>
      </c>
      <c r="P46" s="32">
        <f t="shared" si="58"/>
        <v>0.05479452055</v>
      </c>
      <c r="Q46" s="32">
        <f t="shared" si="58"/>
        <v>0.05479452055</v>
      </c>
      <c r="R46" s="32">
        <f t="shared" si="58"/>
        <v>0.05479452055</v>
      </c>
      <c r="S46" s="32">
        <f t="shared" si="58"/>
        <v>0.05479452055</v>
      </c>
      <c r="T46" s="32">
        <f t="shared" si="58"/>
        <v>0.05479452055</v>
      </c>
      <c r="U46" s="32">
        <f t="shared" si="58"/>
        <v>0.05479452055</v>
      </c>
      <c r="V46" s="32">
        <f t="shared" si="58"/>
        <v>0.05479452055</v>
      </c>
      <c r="W46" s="32">
        <f t="shared" si="58"/>
        <v>0.05479452055</v>
      </c>
      <c r="X46" s="32">
        <f t="shared" si="58"/>
        <v>0.05479452055</v>
      </c>
      <c r="Y46" s="32">
        <f t="shared" si="58"/>
        <v>0.05479452055</v>
      </c>
      <c r="Z46" s="32">
        <f t="shared" si="58"/>
        <v>0.05479452055</v>
      </c>
      <c r="AA46" s="32">
        <f t="shared" si="58"/>
        <v>0.05479452055</v>
      </c>
      <c r="AB46" s="32">
        <f t="shared" si="58"/>
        <v>0.05479452055</v>
      </c>
    </row>
    <row r="47" ht="15.75" customHeight="1">
      <c r="A47" s="21">
        <f>'Soul Energy Tiers'!J4</f>
        <v>40</v>
      </c>
      <c r="B47" s="5"/>
      <c r="C47" s="55" t="s">
        <v>15</v>
      </c>
      <c r="D47" s="32">
        <f t="shared" si="59"/>
        <v>0.1095890411</v>
      </c>
      <c r="E47" s="5"/>
      <c r="F47" s="55" t="s">
        <v>15</v>
      </c>
      <c r="G47" s="32">
        <f t="shared" ref="G47:AB47" si="60">($A47/G$5)/365</f>
        <v>0.03652968037</v>
      </c>
      <c r="H47" s="32">
        <f t="shared" si="60"/>
        <v>0.05479452055</v>
      </c>
      <c r="I47" s="32">
        <f t="shared" si="60"/>
        <v>0.1095890411</v>
      </c>
      <c r="J47" s="32">
        <f t="shared" si="60"/>
        <v>0.1095890411</v>
      </c>
      <c r="K47" s="32">
        <f t="shared" si="60"/>
        <v>0.1095890411</v>
      </c>
      <c r="L47" s="32">
        <f t="shared" si="60"/>
        <v>0.1095890411</v>
      </c>
      <c r="M47" s="32">
        <f t="shared" si="60"/>
        <v>0.1095890411</v>
      </c>
      <c r="N47" s="32">
        <f t="shared" si="60"/>
        <v>0.1095890411</v>
      </c>
      <c r="O47" s="32">
        <f t="shared" si="60"/>
        <v>0.1095890411</v>
      </c>
      <c r="P47" s="32">
        <f t="shared" si="60"/>
        <v>0.1095890411</v>
      </c>
      <c r="Q47" s="32">
        <f t="shared" si="60"/>
        <v>0.1095890411</v>
      </c>
      <c r="R47" s="32">
        <f t="shared" si="60"/>
        <v>0.1095890411</v>
      </c>
      <c r="S47" s="32">
        <f t="shared" si="60"/>
        <v>0.1095890411</v>
      </c>
      <c r="T47" s="32">
        <f t="shared" si="60"/>
        <v>0.1095890411</v>
      </c>
      <c r="U47" s="32">
        <f t="shared" si="60"/>
        <v>0.1095890411</v>
      </c>
      <c r="V47" s="32">
        <f t="shared" si="60"/>
        <v>0.1095890411</v>
      </c>
      <c r="W47" s="32">
        <f t="shared" si="60"/>
        <v>0.1095890411</v>
      </c>
      <c r="X47" s="32">
        <f t="shared" si="60"/>
        <v>0.1095890411</v>
      </c>
      <c r="Y47" s="32">
        <f t="shared" si="60"/>
        <v>0.1095890411</v>
      </c>
      <c r="Z47" s="32">
        <f t="shared" si="60"/>
        <v>0.1095890411</v>
      </c>
      <c r="AA47" s="32">
        <f t="shared" si="60"/>
        <v>0.1095890411</v>
      </c>
      <c r="AB47" s="32">
        <f t="shared" si="60"/>
        <v>0.1095890411</v>
      </c>
    </row>
    <row r="48" ht="15.75" customHeight="1">
      <c r="A48" s="21">
        <f>'Soul Energy Tiers'!J5</f>
        <v>80</v>
      </c>
      <c r="B48" s="5"/>
      <c r="C48" s="55" t="s">
        <v>17</v>
      </c>
      <c r="D48" s="32">
        <f t="shared" si="59"/>
        <v>0.2191780822</v>
      </c>
      <c r="E48" s="5"/>
      <c r="F48" s="55" t="s">
        <v>17</v>
      </c>
      <c r="G48" s="32">
        <f t="shared" ref="G48:AB48" si="61">($A48/G$5)/365</f>
        <v>0.07305936073</v>
      </c>
      <c r="H48" s="32">
        <f t="shared" si="61"/>
        <v>0.1095890411</v>
      </c>
      <c r="I48" s="32">
        <f t="shared" si="61"/>
        <v>0.2191780822</v>
      </c>
      <c r="J48" s="32">
        <f t="shared" si="61"/>
        <v>0.2191780822</v>
      </c>
      <c r="K48" s="32">
        <f t="shared" si="61"/>
        <v>0.2191780822</v>
      </c>
      <c r="L48" s="32">
        <f t="shared" si="61"/>
        <v>0.2191780822</v>
      </c>
      <c r="M48" s="32">
        <f t="shared" si="61"/>
        <v>0.2191780822</v>
      </c>
      <c r="N48" s="32">
        <f t="shared" si="61"/>
        <v>0.2191780822</v>
      </c>
      <c r="O48" s="32">
        <f t="shared" si="61"/>
        <v>0.2191780822</v>
      </c>
      <c r="P48" s="32">
        <f t="shared" si="61"/>
        <v>0.2191780822</v>
      </c>
      <c r="Q48" s="32">
        <f t="shared" si="61"/>
        <v>0.2191780822</v>
      </c>
      <c r="R48" s="32">
        <f t="shared" si="61"/>
        <v>0.2191780822</v>
      </c>
      <c r="S48" s="32">
        <f t="shared" si="61"/>
        <v>0.2191780822</v>
      </c>
      <c r="T48" s="32">
        <f t="shared" si="61"/>
        <v>0.2191780822</v>
      </c>
      <c r="U48" s="32">
        <f t="shared" si="61"/>
        <v>0.2191780822</v>
      </c>
      <c r="V48" s="32">
        <f t="shared" si="61"/>
        <v>0.2191780822</v>
      </c>
      <c r="W48" s="32">
        <f t="shared" si="61"/>
        <v>0.2191780822</v>
      </c>
      <c r="X48" s="32">
        <f t="shared" si="61"/>
        <v>0.2191780822</v>
      </c>
      <c r="Y48" s="32">
        <f t="shared" si="61"/>
        <v>0.2191780822</v>
      </c>
      <c r="Z48" s="32">
        <f t="shared" si="61"/>
        <v>0.2191780822</v>
      </c>
      <c r="AA48" s="32">
        <f t="shared" si="61"/>
        <v>0.2191780822</v>
      </c>
      <c r="AB48" s="32">
        <f t="shared" si="61"/>
        <v>0.2191780822</v>
      </c>
    </row>
    <row r="49" ht="15.75" customHeight="1">
      <c r="A49" s="21">
        <f>'Soul Energy Tiers'!J6</f>
        <v>160</v>
      </c>
      <c r="B49" s="5"/>
      <c r="C49" s="55" t="s">
        <v>19</v>
      </c>
      <c r="D49" s="32">
        <f t="shared" si="59"/>
        <v>0.4383561644</v>
      </c>
      <c r="E49" s="5"/>
      <c r="F49" s="55" t="s">
        <v>19</v>
      </c>
      <c r="G49" s="32">
        <f t="shared" ref="G49:AB49" si="62">($A49/G$5)/365</f>
        <v>0.1461187215</v>
      </c>
      <c r="H49" s="32">
        <f t="shared" si="62"/>
        <v>0.2191780822</v>
      </c>
      <c r="I49" s="32">
        <f t="shared" si="62"/>
        <v>0.4383561644</v>
      </c>
      <c r="J49" s="32">
        <f t="shared" si="62"/>
        <v>0.4383561644</v>
      </c>
      <c r="K49" s="32">
        <f t="shared" si="62"/>
        <v>0.4383561644</v>
      </c>
      <c r="L49" s="32">
        <f t="shared" si="62"/>
        <v>0.4383561644</v>
      </c>
      <c r="M49" s="32">
        <f t="shared" si="62"/>
        <v>0.4383561644</v>
      </c>
      <c r="N49" s="32">
        <f t="shared" si="62"/>
        <v>0.4383561644</v>
      </c>
      <c r="O49" s="32">
        <f t="shared" si="62"/>
        <v>0.4383561644</v>
      </c>
      <c r="P49" s="32">
        <f t="shared" si="62"/>
        <v>0.4383561644</v>
      </c>
      <c r="Q49" s="32">
        <f t="shared" si="62"/>
        <v>0.4383561644</v>
      </c>
      <c r="R49" s="32">
        <f t="shared" si="62"/>
        <v>0.4383561644</v>
      </c>
      <c r="S49" s="32">
        <f t="shared" si="62"/>
        <v>0.4383561644</v>
      </c>
      <c r="T49" s="32">
        <f t="shared" si="62"/>
        <v>0.4383561644</v>
      </c>
      <c r="U49" s="32">
        <f t="shared" si="62"/>
        <v>0.4383561644</v>
      </c>
      <c r="V49" s="32">
        <f t="shared" si="62"/>
        <v>0.4383561644</v>
      </c>
      <c r="W49" s="32">
        <f t="shared" si="62"/>
        <v>0.4383561644</v>
      </c>
      <c r="X49" s="32">
        <f t="shared" si="62"/>
        <v>0.4383561644</v>
      </c>
      <c r="Y49" s="32">
        <f t="shared" si="62"/>
        <v>0.4383561644</v>
      </c>
      <c r="Z49" s="32">
        <f t="shared" si="62"/>
        <v>0.4383561644</v>
      </c>
      <c r="AA49" s="32">
        <f t="shared" si="62"/>
        <v>0.4383561644</v>
      </c>
      <c r="AB49" s="32">
        <f t="shared" si="62"/>
        <v>0.4383561644</v>
      </c>
    </row>
    <row r="50" ht="15.75" customHeight="1">
      <c r="A50" s="21">
        <f>'Soul Energy Tiers'!J7</f>
        <v>320</v>
      </c>
      <c r="B50" s="5"/>
      <c r="C50" s="55" t="s">
        <v>21</v>
      </c>
      <c r="D50" s="32">
        <f t="shared" si="59"/>
        <v>0.8767123288</v>
      </c>
      <c r="E50" s="5"/>
      <c r="F50" s="55" t="s">
        <v>21</v>
      </c>
      <c r="G50" s="32">
        <f t="shared" ref="G50:AB50" si="63">($A50/G$5)/365</f>
        <v>0.2922374429</v>
      </c>
      <c r="H50" s="32">
        <f t="shared" si="63"/>
        <v>0.4383561644</v>
      </c>
      <c r="I50" s="32">
        <f t="shared" si="63"/>
        <v>0.8767123288</v>
      </c>
      <c r="J50" s="32">
        <f t="shared" si="63"/>
        <v>0.8767123288</v>
      </c>
      <c r="K50" s="32">
        <f t="shared" si="63"/>
        <v>0.8767123288</v>
      </c>
      <c r="L50" s="32">
        <f t="shared" si="63"/>
        <v>0.8767123288</v>
      </c>
      <c r="M50" s="32">
        <f t="shared" si="63"/>
        <v>0.8767123288</v>
      </c>
      <c r="N50" s="32">
        <f t="shared" si="63"/>
        <v>0.8767123288</v>
      </c>
      <c r="O50" s="32">
        <f t="shared" si="63"/>
        <v>0.8767123288</v>
      </c>
      <c r="P50" s="32">
        <f t="shared" si="63"/>
        <v>0.8767123288</v>
      </c>
      <c r="Q50" s="32">
        <f t="shared" si="63"/>
        <v>0.8767123288</v>
      </c>
      <c r="R50" s="32">
        <f t="shared" si="63"/>
        <v>0.8767123288</v>
      </c>
      <c r="S50" s="32">
        <f t="shared" si="63"/>
        <v>0.8767123288</v>
      </c>
      <c r="T50" s="32">
        <f t="shared" si="63"/>
        <v>0.8767123288</v>
      </c>
      <c r="U50" s="32">
        <f t="shared" si="63"/>
        <v>0.8767123288</v>
      </c>
      <c r="V50" s="32">
        <f t="shared" si="63"/>
        <v>0.8767123288</v>
      </c>
      <c r="W50" s="32">
        <f t="shared" si="63"/>
        <v>0.8767123288</v>
      </c>
      <c r="X50" s="32">
        <f t="shared" si="63"/>
        <v>0.8767123288</v>
      </c>
      <c r="Y50" s="32">
        <f t="shared" si="63"/>
        <v>0.8767123288</v>
      </c>
      <c r="Z50" s="32">
        <f t="shared" si="63"/>
        <v>0.8767123288</v>
      </c>
      <c r="AA50" s="32">
        <f t="shared" si="63"/>
        <v>0.8767123288</v>
      </c>
      <c r="AB50" s="32">
        <f t="shared" si="63"/>
        <v>0.8767123288</v>
      </c>
    </row>
    <row r="51" ht="15.75" customHeight="1">
      <c r="A51" s="21">
        <f>'Soul Energy Tiers'!J8</f>
        <v>640</v>
      </c>
      <c r="B51" s="5"/>
      <c r="C51" s="55" t="s">
        <v>23</v>
      </c>
      <c r="D51" s="32">
        <f t="shared" si="59"/>
        <v>1.753424658</v>
      </c>
      <c r="E51" s="5"/>
      <c r="F51" s="55" t="s">
        <v>23</v>
      </c>
      <c r="G51" s="32">
        <f t="shared" ref="G51:AB51" si="64">($A51/G$5)/365</f>
        <v>0.5844748858</v>
      </c>
      <c r="H51" s="32">
        <f t="shared" si="64"/>
        <v>0.8767123288</v>
      </c>
      <c r="I51" s="32">
        <f t="shared" si="64"/>
        <v>1.753424658</v>
      </c>
      <c r="J51" s="32">
        <f t="shared" si="64"/>
        <v>1.753424658</v>
      </c>
      <c r="K51" s="32">
        <f t="shared" si="64"/>
        <v>1.753424658</v>
      </c>
      <c r="L51" s="32">
        <f t="shared" si="64"/>
        <v>1.753424658</v>
      </c>
      <c r="M51" s="32">
        <f t="shared" si="64"/>
        <v>1.753424658</v>
      </c>
      <c r="N51" s="32">
        <f t="shared" si="64"/>
        <v>1.753424658</v>
      </c>
      <c r="O51" s="32">
        <f t="shared" si="64"/>
        <v>1.753424658</v>
      </c>
      <c r="P51" s="32">
        <f t="shared" si="64"/>
        <v>1.753424658</v>
      </c>
      <c r="Q51" s="32">
        <f t="shared" si="64"/>
        <v>1.753424658</v>
      </c>
      <c r="R51" s="32">
        <f t="shared" si="64"/>
        <v>1.753424658</v>
      </c>
      <c r="S51" s="32">
        <f t="shared" si="64"/>
        <v>1.753424658</v>
      </c>
      <c r="T51" s="32">
        <f t="shared" si="64"/>
        <v>1.753424658</v>
      </c>
      <c r="U51" s="32">
        <f t="shared" si="64"/>
        <v>1.753424658</v>
      </c>
      <c r="V51" s="32">
        <f t="shared" si="64"/>
        <v>1.753424658</v>
      </c>
      <c r="W51" s="32">
        <f t="shared" si="64"/>
        <v>1.753424658</v>
      </c>
      <c r="X51" s="32">
        <f t="shared" si="64"/>
        <v>1.753424658</v>
      </c>
      <c r="Y51" s="32">
        <f t="shared" si="64"/>
        <v>1.753424658</v>
      </c>
      <c r="Z51" s="32">
        <f t="shared" si="64"/>
        <v>1.753424658</v>
      </c>
      <c r="AA51" s="32">
        <f t="shared" si="64"/>
        <v>1.753424658</v>
      </c>
      <c r="AB51" s="32">
        <f t="shared" si="64"/>
        <v>1.753424658</v>
      </c>
    </row>
    <row r="52" ht="15.75" customHeight="1">
      <c r="A52" s="21">
        <f>'Soul Energy Tiers'!J9</f>
        <v>1280</v>
      </c>
      <c r="B52" s="5"/>
      <c r="C52" s="55" t="s">
        <v>25</v>
      </c>
      <c r="D52" s="32">
        <f t="shared" si="59"/>
        <v>3.506849315</v>
      </c>
      <c r="E52" s="5"/>
      <c r="F52" s="55" t="s">
        <v>25</v>
      </c>
      <c r="G52" s="32">
        <f t="shared" ref="G52:AB52" si="65">($A52/G$5)/365</f>
        <v>1.168949772</v>
      </c>
      <c r="H52" s="32">
        <f t="shared" si="65"/>
        <v>1.753424658</v>
      </c>
      <c r="I52" s="32">
        <f t="shared" si="65"/>
        <v>3.506849315</v>
      </c>
      <c r="J52" s="32">
        <f t="shared" si="65"/>
        <v>3.506849315</v>
      </c>
      <c r="K52" s="32">
        <f t="shared" si="65"/>
        <v>3.506849315</v>
      </c>
      <c r="L52" s="32">
        <f t="shared" si="65"/>
        <v>3.506849315</v>
      </c>
      <c r="M52" s="32">
        <f t="shared" si="65"/>
        <v>3.506849315</v>
      </c>
      <c r="N52" s="32">
        <f t="shared" si="65"/>
        <v>3.506849315</v>
      </c>
      <c r="O52" s="32">
        <f t="shared" si="65"/>
        <v>3.506849315</v>
      </c>
      <c r="P52" s="32">
        <f t="shared" si="65"/>
        <v>3.506849315</v>
      </c>
      <c r="Q52" s="32">
        <f t="shared" si="65"/>
        <v>3.506849315</v>
      </c>
      <c r="R52" s="32">
        <f t="shared" si="65"/>
        <v>3.506849315</v>
      </c>
      <c r="S52" s="32">
        <f t="shared" si="65"/>
        <v>3.506849315</v>
      </c>
      <c r="T52" s="32">
        <f t="shared" si="65"/>
        <v>3.506849315</v>
      </c>
      <c r="U52" s="32">
        <f t="shared" si="65"/>
        <v>3.506849315</v>
      </c>
      <c r="V52" s="32">
        <f t="shared" si="65"/>
        <v>3.506849315</v>
      </c>
      <c r="W52" s="32">
        <f t="shared" si="65"/>
        <v>3.506849315</v>
      </c>
      <c r="X52" s="32">
        <f t="shared" si="65"/>
        <v>3.506849315</v>
      </c>
      <c r="Y52" s="32">
        <f t="shared" si="65"/>
        <v>3.506849315</v>
      </c>
      <c r="Z52" s="32">
        <f t="shared" si="65"/>
        <v>3.506849315</v>
      </c>
      <c r="AA52" s="32">
        <f t="shared" si="65"/>
        <v>3.506849315</v>
      </c>
      <c r="AB52" s="32">
        <f t="shared" si="65"/>
        <v>3.506849315</v>
      </c>
    </row>
    <row r="53" ht="15.75" customHeight="1">
      <c r="A53" s="21">
        <f>'Soul Energy Tiers'!J10</f>
        <v>2560</v>
      </c>
      <c r="B53" s="5"/>
      <c r="C53" s="55" t="s">
        <v>27</v>
      </c>
      <c r="D53" s="32">
        <f t="shared" si="59"/>
        <v>7.01369863</v>
      </c>
      <c r="E53" s="5"/>
      <c r="F53" s="55" t="s">
        <v>27</v>
      </c>
      <c r="G53" s="32">
        <f t="shared" ref="G53:AB53" si="66">($A53/G$5)/365</f>
        <v>2.337899543</v>
      </c>
      <c r="H53" s="32">
        <f t="shared" si="66"/>
        <v>3.506849315</v>
      </c>
      <c r="I53" s="32">
        <f t="shared" si="66"/>
        <v>7.01369863</v>
      </c>
      <c r="J53" s="32">
        <f t="shared" si="66"/>
        <v>7.01369863</v>
      </c>
      <c r="K53" s="32">
        <f t="shared" si="66"/>
        <v>7.01369863</v>
      </c>
      <c r="L53" s="32">
        <f t="shared" si="66"/>
        <v>7.01369863</v>
      </c>
      <c r="M53" s="32">
        <f t="shared" si="66"/>
        <v>7.01369863</v>
      </c>
      <c r="N53" s="32">
        <f t="shared" si="66"/>
        <v>7.01369863</v>
      </c>
      <c r="O53" s="32">
        <f t="shared" si="66"/>
        <v>7.01369863</v>
      </c>
      <c r="P53" s="32">
        <f t="shared" si="66"/>
        <v>7.01369863</v>
      </c>
      <c r="Q53" s="32">
        <f t="shared" si="66"/>
        <v>7.01369863</v>
      </c>
      <c r="R53" s="32">
        <f t="shared" si="66"/>
        <v>7.01369863</v>
      </c>
      <c r="S53" s="32">
        <f t="shared" si="66"/>
        <v>7.01369863</v>
      </c>
      <c r="T53" s="32">
        <f t="shared" si="66"/>
        <v>7.01369863</v>
      </c>
      <c r="U53" s="32">
        <f t="shared" si="66"/>
        <v>7.01369863</v>
      </c>
      <c r="V53" s="32">
        <f t="shared" si="66"/>
        <v>7.01369863</v>
      </c>
      <c r="W53" s="32">
        <f t="shared" si="66"/>
        <v>7.01369863</v>
      </c>
      <c r="X53" s="32">
        <f t="shared" si="66"/>
        <v>7.01369863</v>
      </c>
      <c r="Y53" s="32">
        <f t="shared" si="66"/>
        <v>7.01369863</v>
      </c>
      <c r="Z53" s="32">
        <f t="shared" si="66"/>
        <v>7.01369863</v>
      </c>
      <c r="AA53" s="32">
        <f t="shared" si="66"/>
        <v>7.01369863</v>
      </c>
      <c r="AB53" s="32">
        <f t="shared" si="66"/>
        <v>7.01369863</v>
      </c>
    </row>
    <row r="54" ht="15.75" customHeight="1">
      <c r="A54" s="21">
        <f>'Soul Energy Tiers'!J11</f>
        <v>5120</v>
      </c>
      <c r="B54" s="5"/>
      <c r="C54" s="55" t="s">
        <v>29</v>
      </c>
      <c r="D54" s="32">
        <f t="shared" si="59"/>
        <v>14.02739726</v>
      </c>
      <c r="E54" s="5"/>
      <c r="F54" s="55" t="s">
        <v>29</v>
      </c>
      <c r="G54" s="32">
        <f t="shared" ref="G54:AB54" si="67">($A54/G$5)/365</f>
        <v>4.675799087</v>
      </c>
      <c r="H54" s="32">
        <f t="shared" si="67"/>
        <v>7.01369863</v>
      </c>
      <c r="I54" s="32">
        <f t="shared" si="67"/>
        <v>14.02739726</v>
      </c>
      <c r="J54" s="32">
        <f t="shared" si="67"/>
        <v>14.02739726</v>
      </c>
      <c r="K54" s="32">
        <f t="shared" si="67"/>
        <v>14.02739726</v>
      </c>
      <c r="L54" s="32">
        <f t="shared" si="67"/>
        <v>14.02739726</v>
      </c>
      <c r="M54" s="32">
        <f t="shared" si="67"/>
        <v>14.02739726</v>
      </c>
      <c r="N54" s="32">
        <f t="shared" si="67"/>
        <v>14.02739726</v>
      </c>
      <c r="O54" s="32">
        <f t="shared" si="67"/>
        <v>14.02739726</v>
      </c>
      <c r="P54" s="32">
        <f t="shared" si="67"/>
        <v>14.02739726</v>
      </c>
      <c r="Q54" s="32">
        <f t="shared" si="67"/>
        <v>14.02739726</v>
      </c>
      <c r="R54" s="32">
        <f t="shared" si="67"/>
        <v>14.02739726</v>
      </c>
      <c r="S54" s="32">
        <f t="shared" si="67"/>
        <v>14.02739726</v>
      </c>
      <c r="T54" s="32">
        <f t="shared" si="67"/>
        <v>14.02739726</v>
      </c>
      <c r="U54" s="32">
        <f t="shared" si="67"/>
        <v>14.02739726</v>
      </c>
      <c r="V54" s="32">
        <f t="shared" si="67"/>
        <v>14.02739726</v>
      </c>
      <c r="W54" s="32">
        <f t="shared" si="67"/>
        <v>14.02739726</v>
      </c>
      <c r="X54" s="32">
        <f t="shared" si="67"/>
        <v>14.02739726</v>
      </c>
      <c r="Y54" s="32">
        <f t="shared" si="67"/>
        <v>14.02739726</v>
      </c>
      <c r="Z54" s="32">
        <f t="shared" si="67"/>
        <v>14.02739726</v>
      </c>
      <c r="AA54" s="32">
        <f t="shared" si="67"/>
        <v>14.02739726</v>
      </c>
      <c r="AB54" s="32">
        <f t="shared" si="67"/>
        <v>14.02739726</v>
      </c>
    </row>
    <row r="55" ht="15.75" customHeight="1">
      <c r="A55" s="21">
        <f>'Soul Energy Tiers'!J12</f>
        <v>10240</v>
      </c>
      <c r="B55" s="5"/>
      <c r="C55" s="55" t="s">
        <v>31</v>
      </c>
      <c r="D55" s="32">
        <f t="shared" si="59"/>
        <v>28.05479452</v>
      </c>
      <c r="E55" s="5"/>
      <c r="F55" s="55" t="s">
        <v>31</v>
      </c>
      <c r="G55" s="32">
        <f t="shared" ref="G55:AB55" si="68">($A55/G$5)/365</f>
        <v>9.351598174</v>
      </c>
      <c r="H55" s="32">
        <f t="shared" si="68"/>
        <v>14.02739726</v>
      </c>
      <c r="I55" s="32">
        <f t="shared" si="68"/>
        <v>28.05479452</v>
      </c>
      <c r="J55" s="32">
        <f t="shared" si="68"/>
        <v>28.05479452</v>
      </c>
      <c r="K55" s="32">
        <f t="shared" si="68"/>
        <v>28.05479452</v>
      </c>
      <c r="L55" s="32">
        <f t="shared" si="68"/>
        <v>28.05479452</v>
      </c>
      <c r="M55" s="32">
        <f t="shared" si="68"/>
        <v>28.05479452</v>
      </c>
      <c r="N55" s="32">
        <f t="shared" si="68"/>
        <v>28.05479452</v>
      </c>
      <c r="O55" s="32">
        <f t="shared" si="68"/>
        <v>28.05479452</v>
      </c>
      <c r="P55" s="32">
        <f t="shared" si="68"/>
        <v>28.05479452</v>
      </c>
      <c r="Q55" s="32">
        <f t="shared" si="68"/>
        <v>28.05479452</v>
      </c>
      <c r="R55" s="32">
        <f t="shared" si="68"/>
        <v>28.05479452</v>
      </c>
      <c r="S55" s="32">
        <f t="shared" si="68"/>
        <v>28.05479452</v>
      </c>
      <c r="T55" s="32">
        <f t="shared" si="68"/>
        <v>28.05479452</v>
      </c>
      <c r="U55" s="32">
        <f t="shared" si="68"/>
        <v>28.05479452</v>
      </c>
      <c r="V55" s="32">
        <f t="shared" si="68"/>
        <v>28.05479452</v>
      </c>
      <c r="W55" s="32">
        <f t="shared" si="68"/>
        <v>28.05479452</v>
      </c>
      <c r="X55" s="32">
        <f t="shared" si="68"/>
        <v>28.05479452</v>
      </c>
      <c r="Y55" s="32">
        <f t="shared" si="68"/>
        <v>28.05479452</v>
      </c>
      <c r="Z55" s="32">
        <f t="shared" si="68"/>
        <v>28.05479452</v>
      </c>
      <c r="AA55" s="32">
        <f t="shared" si="68"/>
        <v>28.05479452</v>
      </c>
      <c r="AB55" s="32">
        <f t="shared" si="68"/>
        <v>28.05479452</v>
      </c>
    </row>
    <row r="56" ht="15.75" customHeight="1">
      <c r="A56" s="21">
        <f>'Soul Energy Tiers'!J13</f>
        <v>20480</v>
      </c>
      <c r="B56" s="5"/>
      <c r="C56" s="55" t="s">
        <v>33</v>
      </c>
      <c r="D56" s="32">
        <f t="shared" si="59"/>
        <v>56.10958904</v>
      </c>
      <c r="E56" s="5"/>
      <c r="F56" s="55" t="s">
        <v>33</v>
      </c>
      <c r="G56" s="32">
        <f t="shared" ref="G56:AB56" si="69">($A56/G$5)/365</f>
        <v>18.70319635</v>
      </c>
      <c r="H56" s="32">
        <f t="shared" si="69"/>
        <v>28.05479452</v>
      </c>
      <c r="I56" s="32">
        <f t="shared" si="69"/>
        <v>56.10958904</v>
      </c>
      <c r="J56" s="32">
        <f t="shared" si="69"/>
        <v>56.10958904</v>
      </c>
      <c r="K56" s="32">
        <f t="shared" si="69"/>
        <v>56.10958904</v>
      </c>
      <c r="L56" s="32">
        <f t="shared" si="69"/>
        <v>56.10958904</v>
      </c>
      <c r="M56" s="32">
        <f t="shared" si="69"/>
        <v>56.10958904</v>
      </c>
      <c r="N56" s="32">
        <f t="shared" si="69"/>
        <v>56.10958904</v>
      </c>
      <c r="O56" s="32">
        <f t="shared" si="69"/>
        <v>56.10958904</v>
      </c>
      <c r="P56" s="32">
        <f t="shared" si="69"/>
        <v>56.10958904</v>
      </c>
      <c r="Q56" s="32">
        <f t="shared" si="69"/>
        <v>56.10958904</v>
      </c>
      <c r="R56" s="32">
        <f t="shared" si="69"/>
        <v>56.10958904</v>
      </c>
      <c r="S56" s="32">
        <f t="shared" si="69"/>
        <v>56.10958904</v>
      </c>
      <c r="T56" s="32">
        <f t="shared" si="69"/>
        <v>56.10958904</v>
      </c>
      <c r="U56" s="32">
        <f t="shared" si="69"/>
        <v>56.10958904</v>
      </c>
      <c r="V56" s="32">
        <f t="shared" si="69"/>
        <v>56.10958904</v>
      </c>
      <c r="W56" s="32">
        <f t="shared" si="69"/>
        <v>56.10958904</v>
      </c>
      <c r="X56" s="32">
        <f t="shared" si="69"/>
        <v>56.10958904</v>
      </c>
      <c r="Y56" s="32">
        <f t="shared" si="69"/>
        <v>56.10958904</v>
      </c>
      <c r="Z56" s="32">
        <f t="shared" si="69"/>
        <v>56.10958904</v>
      </c>
      <c r="AA56" s="32">
        <f t="shared" si="69"/>
        <v>56.10958904</v>
      </c>
      <c r="AB56" s="32">
        <f t="shared" si="69"/>
        <v>56.10958904</v>
      </c>
    </row>
    <row r="57" ht="15.75" customHeight="1">
      <c r="A57" s="21">
        <f>'Soul Energy Tiers'!J14</f>
        <v>40960</v>
      </c>
      <c r="B57" s="5"/>
      <c r="C57" s="55" t="s">
        <v>35</v>
      </c>
      <c r="D57" s="32">
        <f t="shared" si="59"/>
        <v>112.2191781</v>
      </c>
      <c r="E57" s="5"/>
      <c r="F57" s="55" t="s">
        <v>35</v>
      </c>
      <c r="G57" s="32">
        <f t="shared" ref="G57:AB57" si="70">($A57/G$5)/365</f>
        <v>37.40639269</v>
      </c>
      <c r="H57" s="32">
        <f t="shared" si="70"/>
        <v>56.10958904</v>
      </c>
      <c r="I57" s="32">
        <f t="shared" si="70"/>
        <v>112.2191781</v>
      </c>
      <c r="J57" s="32">
        <f t="shared" si="70"/>
        <v>112.2191781</v>
      </c>
      <c r="K57" s="32">
        <f t="shared" si="70"/>
        <v>112.2191781</v>
      </c>
      <c r="L57" s="32">
        <f t="shared" si="70"/>
        <v>112.2191781</v>
      </c>
      <c r="M57" s="32">
        <f t="shared" si="70"/>
        <v>112.2191781</v>
      </c>
      <c r="N57" s="32">
        <f t="shared" si="70"/>
        <v>112.2191781</v>
      </c>
      <c r="O57" s="32">
        <f t="shared" si="70"/>
        <v>112.2191781</v>
      </c>
      <c r="P57" s="32">
        <f t="shared" si="70"/>
        <v>112.2191781</v>
      </c>
      <c r="Q57" s="32">
        <f t="shared" si="70"/>
        <v>112.2191781</v>
      </c>
      <c r="R57" s="32">
        <f t="shared" si="70"/>
        <v>112.2191781</v>
      </c>
      <c r="S57" s="32">
        <f t="shared" si="70"/>
        <v>112.2191781</v>
      </c>
      <c r="T57" s="32">
        <f t="shared" si="70"/>
        <v>112.2191781</v>
      </c>
      <c r="U57" s="32">
        <f t="shared" si="70"/>
        <v>112.2191781</v>
      </c>
      <c r="V57" s="32">
        <f t="shared" si="70"/>
        <v>112.2191781</v>
      </c>
      <c r="W57" s="32">
        <f t="shared" si="70"/>
        <v>112.2191781</v>
      </c>
      <c r="X57" s="32">
        <f t="shared" si="70"/>
        <v>112.2191781</v>
      </c>
      <c r="Y57" s="32">
        <f t="shared" si="70"/>
        <v>112.2191781</v>
      </c>
      <c r="Z57" s="32">
        <f t="shared" si="70"/>
        <v>112.2191781</v>
      </c>
      <c r="AA57" s="32">
        <f t="shared" si="70"/>
        <v>112.2191781</v>
      </c>
      <c r="AB57" s="32">
        <f t="shared" si="70"/>
        <v>112.2191781</v>
      </c>
    </row>
    <row r="58" ht="15.75" customHeight="1">
      <c r="A58" s="21">
        <f>'Soul Energy Tiers'!J15</f>
        <v>81920</v>
      </c>
      <c r="B58" s="5"/>
      <c r="C58" s="55" t="s">
        <v>37</v>
      </c>
      <c r="D58" s="32">
        <f t="shared" si="59"/>
        <v>224.4383562</v>
      </c>
      <c r="E58" s="5"/>
      <c r="F58" s="55" t="s">
        <v>37</v>
      </c>
      <c r="G58" s="32">
        <f t="shared" ref="G58:AB58" si="71">($A58/G$5)/365</f>
        <v>74.81278539</v>
      </c>
      <c r="H58" s="32">
        <f t="shared" si="71"/>
        <v>112.2191781</v>
      </c>
      <c r="I58" s="32">
        <f t="shared" si="71"/>
        <v>224.4383562</v>
      </c>
      <c r="J58" s="32">
        <f t="shared" si="71"/>
        <v>224.4383562</v>
      </c>
      <c r="K58" s="32">
        <f t="shared" si="71"/>
        <v>224.4383562</v>
      </c>
      <c r="L58" s="32">
        <f t="shared" si="71"/>
        <v>224.4383562</v>
      </c>
      <c r="M58" s="32">
        <f t="shared" si="71"/>
        <v>224.4383562</v>
      </c>
      <c r="N58" s="32">
        <f t="shared" si="71"/>
        <v>224.4383562</v>
      </c>
      <c r="O58" s="32">
        <f t="shared" si="71"/>
        <v>224.4383562</v>
      </c>
      <c r="P58" s="32">
        <f t="shared" si="71"/>
        <v>224.4383562</v>
      </c>
      <c r="Q58" s="32">
        <f t="shared" si="71"/>
        <v>224.4383562</v>
      </c>
      <c r="R58" s="32">
        <f t="shared" si="71"/>
        <v>224.4383562</v>
      </c>
      <c r="S58" s="32">
        <f t="shared" si="71"/>
        <v>224.4383562</v>
      </c>
      <c r="T58" s="32">
        <f t="shared" si="71"/>
        <v>224.4383562</v>
      </c>
      <c r="U58" s="32">
        <f t="shared" si="71"/>
        <v>224.4383562</v>
      </c>
      <c r="V58" s="32">
        <f t="shared" si="71"/>
        <v>224.4383562</v>
      </c>
      <c r="W58" s="32">
        <f t="shared" si="71"/>
        <v>224.4383562</v>
      </c>
      <c r="X58" s="32">
        <f t="shared" si="71"/>
        <v>224.4383562</v>
      </c>
      <c r="Y58" s="32">
        <f t="shared" si="71"/>
        <v>224.4383562</v>
      </c>
      <c r="Z58" s="32">
        <f t="shared" si="71"/>
        <v>224.4383562</v>
      </c>
      <c r="AA58" s="32">
        <f t="shared" si="71"/>
        <v>224.4383562</v>
      </c>
      <c r="AB58" s="32">
        <f t="shared" si="71"/>
        <v>224.4383562</v>
      </c>
    </row>
    <row r="59" ht="15.75" customHeight="1">
      <c r="A59" s="21">
        <f>'Soul Energy Tiers'!J16</f>
        <v>163840</v>
      </c>
      <c r="B59" s="5"/>
      <c r="C59" s="55" t="s">
        <v>39</v>
      </c>
      <c r="D59" s="32">
        <f t="shared" si="59"/>
        <v>448.8767123</v>
      </c>
      <c r="E59" s="5"/>
      <c r="F59" s="55" t="s">
        <v>39</v>
      </c>
      <c r="G59" s="32">
        <f t="shared" ref="G59:AB59" si="72">($A59/G$5)/365</f>
        <v>149.6255708</v>
      </c>
      <c r="H59" s="32">
        <f t="shared" si="72"/>
        <v>224.4383562</v>
      </c>
      <c r="I59" s="32">
        <f t="shared" si="72"/>
        <v>448.8767123</v>
      </c>
      <c r="J59" s="32">
        <f t="shared" si="72"/>
        <v>448.8767123</v>
      </c>
      <c r="K59" s="32">
        <f t="shared" si="72"/>
        <v>448.8767123</v>
      </c>
      <c r="L59" s="32">
        <f t="shared" si="72"/>
        <v>448.8767123</v>
      </c>
      <c r="M59" s="32">
        <f t="shared" si="72"/>
        <v>448.8767123</v>
      </c>
      <c r="N59" s="32">
        <f t="shared" si="72"/>
        <v>448.8767123</v>
      </c>
      <c r="O59" s="32">
        <f t="shared" si="72"/>
        <v>448.8767123</v>
      </c>
      <c r="P59" s="32">
        <f t="shared" si="72"/>
        <v>448.8767123</v>
      </c>
      <c r="Q59" s="32">
        <f t="shared" si="72"/>
        <v>448.8767123</v>
      </c>
      <c r="R59" s="32">
        <f t="shared" si="72"/>
        <v>448.8767123</v>
      </c>
      <c r="S59" s="32">
        <f t="shared" si="72"/>
        <v>448.8767123</v>
      </c>
      <c r="T59" s="32">
        <f t="shared" si="72"/>
        <v>448.8767123</v>
      </c>
      <c r="U59" s="32">
        <f t="shared" si="72"/>
        <v>448.8767123</v>
      </c>
      <c r="V59" s="32">
        <f t="shared" si="72"/>
        <v>448.8767123</v>
      </c>
      <c r="W59" s="32">
        <f t="shared" si="72"/>
        <v>448.8767123</v>
      </c>
      <c r="X59" s="32">
        <f t="shared" si="72"/>
        <v>448.8767123</v>
      </c>
      <c r="Y59" s="32">
        <f t="shared" si="72"/>
        <v>448.8767123</v>
      </c>
      <c r="Z59" s="32">
        <f t="shared" si="72"/>
        <v>448.8767123</v>
      </c>
      <c r="AA59" s="32">
        <f t="shared" si="72"/>
        <v>448.8767123</v>
      </c>
      <c r="AB59" s="32">
        <f t="shared" si="72"/>
        <v>448.8767123</v>
      </c>
    </row>
    <row r="60" ht="15.75" customHeight="1">
      <c r="A60" s="21">
        <f>'Soul Energy Tiers'!J17</f>
        <v>327680</v>
      </c>
      <c r="B60" s="5"/>
      <c r="C60" s="55" t="s">
        <v>41</v>
      </c>
      <c r="D60" s="32">
        <f t="shared" si="59"/>
        <v>897.7534247</v>
      </c>
      <c r="E60" s="5"/>
      <c r="F60" s="55" t="s">
        <v>41</v>
      </c>
      <c r="G60" s="32">
        <f t="shared" ref="G60:AB60" si="73">($A60/G$5)/365</f>
        <v>299.2511416</v>
      </c>
      <c r="H60" s="32">
        <f t="shared" si="73"/>
        <v>448.8767123</v>
      </c>
      <c r="I60" s="32">
        <f t="shared" si="73"/>
        <v>897.7534247</v>
      </c>
      <c r="J60" s="32">
        <f t="shared" si="73"/>
        <v>897.7534247</v>
      </c>
      <c r="K60" s="32">
        <f t="shared" si="73"/>
        <v>897.7534247</v>
      </c>
      <c r="L60" s="32">
        <f t="shared" si="73"/>
        <v>897.7534247</v>
      </c>
      <c r="M60" s="32">
        <f t="shared" si="73"/>
        <v>897.7534247</v>
      </c>
      <c r="N60" s="32">
        <f t="shared" si="73"/>
        <v>897.7534247</v>
      </c>
      <c r="O60" s="32">
        <f t="shared" si="73"/>
        <v>897.7534247</v>
      </c>
      <c r="P60" s="32">
        <f t="shared" si="73"/>
        <v>897.7534247</v>
      </c>
      <c r="Q60" s="32">
        <f t="shared" si="73"/>
        <v>897.7534247</v>
      </c>
      <c r="R60" s="32">
        <f t="shared" si="73"/>
        <v>897.7534247</v>
      </c>
      <c r="S60" s="32">
        <f t="shared" si="73"/>
        <v>897.7534247</v>
      </c>
      <c r="T60" s="32">
        <f t="shared" si="73"/>
        <v>897.7534247</v>
      </c>
      <c r="U60" s="32">
        <f t="shared" si="73"/>
        <v>897.7534247</v>
      </c>
      <c r="V60" s="32">
        <f t="shared" si="73"/>
        <v>897.7534247</v>
      </c>
      <c r="W60" s="32">
        <f t="shared" si="73"/>
        <v>897.7534247</v>
      </c>
      <c r="X60" s="32">
        <f t="shared" si="73"/>
        <v>897.7534247</v>
      </c>
      <c r="Y60" s="32">
        <f t="shared" si="73"/>
        <v>897.7534247</v>
      </c>
      <c r="Z60" s="32">
        <f t="shared" si="73"/>
        <v>897.7534247</v>
      </c>
      <c r="AA60" s="32">
        <f t="shared" si="73"/>
        <v>897.7534247</v>
      </c>
      <c r="AB60" s="32">
        <f t="shared" si="73"/>
        <v>897.7534247</v>
      </c>
    </row>
    <row r="61" ht="15.75" customHeight="1">
      <c r="A61" s="21">
        <f>'Soul Energy Tiers'!J18</f>
        <v>655360</v>
      </c>
      <c r="B61" s="5"/>
      <c r="C61" s="55" t="s">
        <v>43</v>
      </c>
      <c r="D61" s="32">
        <f t="shared" si="59"/>
        <v>1795.506849</v>
      </c>
      <c r="E61" s="5"/>
      <c r="F61" s="55" t="s">
        <v>43</v>
      </c>
      <c r="G61" s="32">
        <f t="shared" ref="G61:AB61" si="74">($A61/G$5)/365</f>
        <v>598.5022831</v>
      </c>
      <c r="H61" s="32">
        <f t="shared" si="74"/>
        <v>897.7534247</v>
      </c>
      <c r="I61" s="32">
        <f t="shared" si="74"/>
        <v>1795.506849</v>
      </c>
      <c r="J61" s="32">
        <f t="shared" si="74"/>
        <v>1795.506849</v>
      </c>
      <c r="K61" s="32">
        <f t="shared" si="74"/>
        <v>1795.506849</v>
      </c>
      <c r="L61" s="32">
        <f t="shared" si="74"/>
        <v>1795.506849</v>
      </c>
      <c r="M61" s="32">
        <f t="shared" si="74"/>
        <v>1795.506849</v>
      </c>
      <c r="N61" s="32">
        <f t="shared" si="74"/>
        <v>1795.506849</v>
      </c>
      <c r="O61" s="32">
        <f t="shared" si="74"/>
        <v>1795.506849</v>
      </c>
      <c r="P61" s="32">
        <f t="shared" si="74"/>
        <v>1795.506849</v>
      </c>
      <c r="Q61" s="32">
        <f t="shared" si="74"/>
        <v>1795.506849</v>
      </c>
      <c r="R61" s="32">
        <f t="shared" si="74"/>
        <v>1795.506849</v>
      </c>
      <c r="S61" s="32">
        <f t="shared" si="74"/>
        <v>1795.506849</v>
      </c>
      <c r="T61" s="32">
        <f t="shared" si="74"/>
        <v>1795.506849</v>
      </c>
      <c r="U61" s="32">
        <f t="shared" si="74"/>
        <v>1795.506849</v>
      </c>
      <c r="V61" s="32">
        <f t="shared" si="74"/>
        <v>1795.506849</v>
      </c>
      <c r="W61" s="32">
        <f t="shared" si="74"/>
        <v>1795.506849</v>
      </c>
      <c r="X61" s="32">
        <f t="shared" si="74"/>
        <v>1795.506849</v>
      </c>
      <c r="Y61" s="32">
        <f t="shared" si="74"/>
        <v>1795.506849</v>
      </c>
      <c r="Z61" s="32">
        <f t="shared" si="74"/>
        <v>1795.506849</v>
      </c>
      <c r="AA61" s="32">
        <f t="shared" si="74"/>
        <v>1795.506849</v>
      </c>
      <c r="AB61" s="32">
        <f t="shared" si="74"/>
        <v>1795.506849</v>
      </c>
    </row>
    <row r="62" ht="15.75" customHeight="1">
      <c r="A62" s="21">
        <f>'Soul Energy Tiers'!J19</f>
        <v>1310720</v>
      </c>
      <c r="B62" s="5"/>
      <c r="C62" s="55" t="s">
        <v>45</v>
      </c>
      <c r="D62" s="32">
        <f t="shared" si="59"/>
        <v>3591.013699</v>
      </c>
      <c r="E62" s="5"/>
      <c r="F62" s="55" t="s">
        <v>45</v>
      </c>
      <c r="G62" s="32">
        <f t="shared" ref="G62:AB62" si="75">($A62/G$5)/365</f>
        <v>1197.004566</v>
      </c>
      <c r="H62" s="32">
        <f t="shared" si="75"/>
        <v>1795.506849</v>
      </c>
      <c r="I62" s="32">
        <f t="shared" si="75"/>
        <v>3591.013699</v>
      </c>
      <c r="J62" s="32">
        <f t="shared" si="75"/>
        <v>3591.013699</v>
      </c>
      <c r="K62" s="32">
        <f t="shared" si="75"/>
        <v>3591.013699</v>
      </c>
      <c r="L62" s="32">
        <f t="shared" si="75"/>
        <v>3591.013699</v>
      </c>
      <c r="M62" s="32">
        <f t="shared" si="75"/>
        <v>3591.013699</v>
      </c>
      <c r="N62" s="32">
        <f t="shared" si="75"/>
        <v>3591.013699</v>
      </c>
      <c r="O62" s="32">
        <f t="shared" si="75"/>
        <v>3591.013699</v>
      </c>
      <c r="P62" s="32">
        <f t="shared" si="75"/>
        <v>3591.013699</v>
      </c>
      <c r="Q62" s="32">
        <f t="shared" si="75"/>
        <v>3591.013699</v>
      </c>
      <c r="R62" s="32">
        <f t="shared" si="75"/>
        <v>3591.013699</v>
      </c>
      <c r="S62" s="32">
        <f t="shared" si="75"/>
        <v>3591.013699</v>
      </c>
      <c r="T62" s="32">
        <f t="shared" si="75"/>
        <v>3591.013699</v>
      </c>
      <c r="U62" s="32">
        <f t="shared" si="75"/>
        <v>3591.013699</v>
      </c>
      <c r="V62" s="32">
        <f t="shared" si="75"/>
        <v>3591.013699</v>
      </c>
      <c r="W62" s="32">
        <f t="shared" si="75"/>
        <v>3591.013699</v>
      </c>
      <c r="X62" s="32">
        <f t="shared" si="75"/>
        <v>3591.013699</v>
      </c>
      <c r="Y62" s="32">
        <f t="shared" si="75"/>
        <v>3591.013699</v>
      </c>
      <c r="Z62" s="32">
        <f t="shared" si="75"/>
        <v>3591.013699</v>
      </c>
      <c r="AA62" s="32">
        <f t="shared" si="75"/>
        <v>3591.013699</v>
      </c>
      <c r="AB62" s="32">
        <f t="shared" si="75"/>
        <v>3591.013699</v>
      </c>
    </row>
    <row r="63" ht="15.75" customHeight="1">
      <c r="B63" s="5"/>
      <c r="E63" s="5"/>
    </row>
    <row r="64" ht="15.75" customHeight="1">
      <c r="B64" s="5"/>
      <c r="E64" s="5"/>
    </row>
    <row r="65" ht="15.75" customHeight="1">
      <c r="B65" s="5"/>
      <c r="E65" s="5"/>
    </row>
    <row r="66" ht="15.75" customHeight="1">
      <c r="B66" s="5"/>
      <c r="E66" s="5"/>
    </row>
    <row r="67" ht="15.75" customHeight="1">
      <c r="B67" s="5"/>
      <c r="E67" s="5"/>
    </row>
    <row r="68" ht="15.75" customHeight="1">
      <c r="B68" s="5"/>
      <c r="E68" s="5"/>
    </row>
    <row r="69" ht="15.75" customHeight="1">
      <c r="B69" s="5"/>
      <c r="E69" s="5"/>
    </row>
    <row r="70" ht="15.75" customHeight="1">
      <c r="B70" s="5"/>
      <c r="E70" s="5"/>
    </row>
    <row r="71" ht="15.75" customHeight="1">
      <c r="B71" s="5"/>
      <c r="E71" s="5"/>
    </row>
    <row r="72" ht="15.75" customHeight="1">
      <c r="B72" s="5"/>
      <c r="E72" s="5"/>
    </row>
    <row r="73" ht="15.75" customHeight="1">
      <c r="B73" s="5"/>
      <c r="E73" s="5"/>
    </row>
    <row r="74" ht="15.75" customHeight="1">
      <c r="B74" s="5"/>
      <c r="E74" s="5"/>
    </row>
    <row r="75" ht="15.75" customHeight="1">
      <c r="B75" s="5"/>
      <c r="E75" s="5"/>
    </row>
    <row r="76" ht="15.75" customHeight="1">
      <c r="B76" s="5"/>
      <c r="E76" s="5"/>
    </row>
    <row r="77" ht="15.75" customHeight="1">
      <c r="B77" s="5"/>
      <c r="E77" s="5"/>
    </row>
    <row r="78" ht="15.75" customHeight="1">
      <c r="B78" s="5"/>
      <c r="E78" s="5"/>
    </row>
    <row r="79" ht="15.75" customHeight="1">
      <c r="B79" s="5"/>
      <c r="E79" s="5"/>
    </row>
    <row r="80" ht="15.75" customHeight="1">
      <c r="B80" s="5"/>
      <c r="E80" s="5"/>
    </row>
    <row r="81" ht="15.75" customHeight="1">
      <c r="B81" s="5"/>
      <c r="E81" s="5"/>
    </row>
    <row r="82" ht="15.75" customHeight="1">
      <c r="B82" s="5"/>
      <c r="E82" s="5"/>
    </row>
    <row r="83" ht="15.75" customHeight="1">
      <c r="B83" s="5"/>
      <c r="E83" s="5"/>
    </row>
    <row r="84" ht="15.75" customHeight="1">
      <c r="B84" s="5"/>
      <c r="E84" s="5"/>
    </row>
    <row r="85" ht="15.75" customHeight="1">
      <c r="B85" s="5"/>
      <c r="E85" s="5"/>
    </row>
    <row r="86" ht="15.75" customHeight="1">
      <c r="B86" s="5"/>
      <c r="E86" s="5"/>
    </row>
    <row r="87" ht="15.75" customHeight="1">
      <c r="B87" s="5"/>
      <c r="E87" s="5"/>
    </row>
    <row r="88" ht="15.75" customHeight="1">
      <c r="B88" s="5"/>
      <c r="E88" s="5"/>
    </row>
    <row r="89" ht="15.75" customHeight="1">
      <c r="B89" s="5"/>
      <c r="E89" s="5"/>
    </row>
    <row r="90" ht="15.75" customHeight="1">
      <c r="B90" s="5"/>
      <c r="E90" s="5"/>
    </row>
    <row r="91" ht="15.75" customHeight="1">
      <c r="B91" s="5"/>
      <c r="E91" s="5"/>
    </row>
    <row r="92" ht="15.75" customHeight="1">
      <c r="B92" s="5"/>
      <c r="E92" s="5"/>
    </row>
    <row r="93" ht="15.75" customHeight="1">
      <c r="B93" s="5"/>
      <c r="E93" s="5"/>
    </row>
    <row r="94" ht="15.75" customHeight="1">
      <c r="B94" s="5"/>
      <c r="E94" s="5"/>
    </row>
    <row r="95" ht="15.75" customHeight="1">
      <c r="B95" s="5"/>
      <c r="E95" s="5"/>
    </row>
    <row r="96" ht="15.75" customHeight="1">
      <c r="B96" s="5"/>
      <c r="E96" s="5"/>
    </row>
    <row r="97" ht="15.75" customHeight="1">
      <c r="B97" s="5"/>
      <c r="E97" s="5"/>
    </row>
    <row r="98" ht="15.75" customHeight="1">
      <c r="B98" s="5"/>
      <c r="E98" s="5"/>
    </row>
    <row r="99" ht="15.75" customHeight="1">
      <c r="B99" s="5"/>
      <c r="E99" s="5"/>
    </row>
    <row r="100" ht="15.75" customHeight="1">
      <c r="B100" s="5"/>
      <c r="E100" s="5"/>
    </row>
    <row r="101" ht="15.75" customHeight="1">
      <c r="B101" s="5"/>
      <c r="E101" s="5"/>
    </row>
    <row r="102" ht="15.75" customHeight="1">
      <c r="B102" s="5"/>
      <c r="E102" s="5"/>
    </row>
    <row r="103" ht="15.75" customHeight="1">
      <c r="B103" s="5"/>
      <c r="E103" s="5"/>
    </row>
    <row r="104" ht="15.75" customHeight="1">
      <c r="B104" s="5"/>
      <c r="E104" s="5"/>
    </row>
    <row r="105" ht="15.75" customHeight="1">
      <c r="B105" s="5"/>
      <c r="E105" s="5"/>
    </row>
    <row r="106" ht="15.75" customHeight="1">
      <c r="B106" s="5"/>
      <c r="E106" s="5"/>
    </row>
    <row r="107" ht="15.75" customHeight="1">
      <c r="B107" s="5"/>
      <c r="E107" s="5"/>
    </row>
    <row r="108" ht="15.75" customHeight="1">
      <c r="B108" s="5"/>
      <c r="E108" s="5"/>
    </row>
    <row r="109" ht="15.75" customHeight="1">
      <c r="B109" s="5"/>
      <c r="E109" s="5"/>
    </row>
    <row r="110" ht="15.75" customHeight="1">
      <c r="B110" s="5"/>
      <c r="E110" s="5"/>
    </row>
    <row r="111" ht="15.75" customHeight="1">
      <c r="B111" s="5"/>
      <c r="E111" s="5"/>
    </row>
    <row r="112" ht="15.75" customHeight="1">
      <c r="B112" s="5"/>
      <c r="E112" s="5"/>
    </row>
    <row r="113" ht="15.75" customHeight="1">
      <c r="B113" s="5"/>
      <c r="E113" s="5"/>
    </row>
    <row r="114" ht="15.75" customHeight="1">
      <c r="B114" s="5"/>
      <c r="E114" s="5"/>
    </row>
    <row r="115" ht="15.75" customHeight="1">
      <c r="B115" s="5"/>
      <c r="E115" s="5"/>
    </row>
    <row r="116" ht="15.75" customHeight="1">
      <c r="B116" s="5"/>
      <c r="E116" s="5"/>
    </row>
    <row r="117" ht="15.75" customHeight="1">
      <c r="B117" s="5"/>
      <c r="E117" s="5"/>
    </row>
    <row r="118" ht="15.75" customHeight="1">
      <c r="B118" s="5"/>
      <c r="E118" s="5"/>
    </row>
    <row r="119" ht="15.75" customHeight="1">
      <c r="B119" s="5"/>
      <c r="E119" s="5"/>
    </row>
    <row r="120" ht="15.75" customHeight="1">
      <c r="B120" s="5"/>
      <c r="E120" s="5"/>
    </row>
    <row r="121" ht="15.75" customHeight="1">
      <c r="B121" s="5"/>
      <c r="E121" s="5"/>
    </row>
    <row r="122" ht="15.75" customHeight="1">
      <c r="B122" s="5"/>
      <c r="E122" s="5"/>
    </row>
    <row r="123" ht="15.75" customHeight="1">
      <c r="B123" s="5"/>
      <c r="E123" s="5"/>
    </row>
    <row r="124" ht="15.75" customHeight="1">
      <c r="B124" s="5"/>
      <c r="E124" s="5"/>
    </row>
    <row r="125" ht="15.75" customHeight="1">
      <c r="B125" s="5"/>
      <c r="E125" s="5"/>
    </row>
    <row r="126" ht="15.75" customHeight="1">
      <c r="B126" s="5"/>
      <c r="E126" s="5"/>
    </row>
    <row r="127" ht="15.75" customHeight="1">
      <c r="B127" s="5"/>
      <c r="E127" s="5"/>
    </row>
    <row r="128" ht="15.75" customHeight="1">
      <c r="B128" s="5"/>
      <c r="E128" s="5"/>
    </row>
    <row r="129" ht="15.75" customHeight="1">
      <c r="B129" s="5"/>
      <c r="E129" s="5"/>
    </row>
    <row r="130" ht="15.75" customHeight="1">
      <c r="B130" s="5"/>
      <c r="E130" s="5"/>
    </row>
    <row r="131" ht="15.75" customHeight="1">
      <c r="B131" s="5"/>
      <c r="E131" s="5"/>
    </row>
    <row r="132" ht="15.75" customHeight="1">
      <c r="B132" s="5"/>
      <c r="E132" s="5"/>
    </row>
    <row r="133" ht="15.75" customHeight="1">
      <c r="B133" s="5"/>
      <c r="E133" s="5"/>
    </row>
    <row r="134" ht="15.75" customHeight="1">
      <c r="B134" s="5"/>
      <c r="E134" s="5"/>
    </row>
    <row r="135" ht="15.75" customHeight="1">
      <c r="B135" s="5"/>
      <c r="E135" s="5"/>
    </row>
    <row r="136" ht="15.75" customHeight="1">
      <c r="B136" s="5"/>
      <c r="E136" s="5"/>
    </row>
    <row r="137" ht="15.75" customHeight="1">
      <c r="B137" s="5"/>
      <c r="E137" s="5"/>
    </row>
    <row r="138" ht="15.75" customHeight="1">
      <c r="B138" s="5"/>
      <c r="E138" s="5"/>
    </row>
    <row r="139" ht="15.75" customHeight="1">
      <c r="B139" s="5"/>
      <c r="E139" s="5"/>
    </row>
    <row r="140" ht="15.75" customHeight="1">
      <c r="B140" s="5"/>
      <c r="E140" s="5"/>
    </row>
    <row r="141" ht="15.75" customHeight="1">
      <c r="B141" s="5"/>
      <c r="E141" s="5"/>
    </row>
    <row r="142" ht="15.75" customHeight="1">
      <c r="B142" s="5"/>
      <c r="E142" s="5"/>
    </row>
    <row r="143" ht="15.75" customHeight="1">
      <c r="B143" s="5"/>
      <c r="E143" s="5"/>
    </row>
    <row r="144" ht="15.75" customHeight="1">
      <c r="B144" s="5"/>
      <c r="E144" s="5"/>
    </row>
    <row r="145" ht="15.75" customHeight="1">
      <c r="B145" s="5"/>
      <c r="E145" s="5"/>
    </row>
    <row r="146" ht="15.75" customHeight="1">
      <c r="B146" s="5"/>
      <c r="E146" s="5"/>
    </row>
    <row r="147" ht="15.75" customHeight="1">
      <c r="B147" s="5"/>
      <c r="E147" s="5"/>
    </row>
    <row r="148" ht="15.75" customHeight="1">
      <c r="B148" s="5"/>
      <c r="E148" s="5"/>
    </row>
    <row r="149" ht="15.75" customHeight="1">
      <c r="B149" s="5"/>
      <c r="E149" s="5"/>
    </row>
    <row r="150" ht="15.75" customHeight="1">
      <c r="B150" s="5"/>
      <c r="E150" s="5"/>
    </row>
    <row r="151" ht="15.75" customHeight="1">
      <c r="B151" s="5"/>
      <c r="E151" s="5"/>
    </row>
    <row r="152" ht="15.75" customHeight="1">
      <c r="B152" s="5"/>
      <c r="E152" s="5"/>
    </row>
    <row r="153" ht="15.75" customHeight="1">
      <c r="B153" s="5"/>
      <c r="E153" s="5"/>
    </row>
    <row r="154" ht="15.75" customHeight="1">
      <c r="B154" s="5"/>
      <c r="E154" s="5"/>
    </row>
    <row r="155" ht="15.75" customHeight="1">
      <c r="B155" s="5"/>
      <c r="E155" s="5"/>
    </row>
    <row r="156" ht="15.75" customHeight="1">
      <c r="B156" s="5"/>
      <c r="E156" s="5"/>
    </row>
    <row r="157" ht="15.75" customHeight="1">
      <c r="B157" s="5"/>
      <c r="E157" s="5"/>
    </row>
    <row r="158" ht="15.75" customHeight="1">
      <c r="B158" s="5"/>
      <c r="E158" s="5"/>
    </row>
    <row r="159" ht="15.75" customHeight="1">
      <c r="B159" s="5"/>
      <c r="E159" s="5"/>
    </row>
    <row r="160" ht="15.75" customHeight="1">
      <c r="B160" s="5"/>
      <c r="E160" s="5"/>
    </row>
    <row r="161" ht="15.75" customHeight="1">
      <c r="B161" s="5"/>
      <c r="E161" s="5"/>
    </row>
    <row r="162" ht="15.75" customHeight="1">
      <c r="B162" s="5"/>
      <c r="E162" s="5"/>
    </row>
    <row r="163" ht="15.75" customHeight="1">
      <c r="B163" s="5"/>
      <c r="E163" s="5"/>
    </row>
    <row r="164" ht="15.75" customHeight="1">
      <c r="B164" s="5"/>
      <c r="E164" s="5"/>
    </row>
    <row r="165" ht="15.75" customHeight="1">
      <c r="B165" s="5"/>
      <c r="E165" s="5"/>
    </row>
    <row r="166" ht="15.75" customHeight="1">
      <c r="B166" s="5"/>
      <c r="E166" s="5"/>
    </row>
    <row r="167" ht="15.75" customHeight="1">
      <c r="B167" s="5"/>
      <c r="E167" s="5"/>
    </row>
    <row r="168" ht="15.75" customHeight="1">
      <c r="B168" s="5"/>
      <c r="E168" s="5"/>
    </row>
    <row r="169" ht="15.75" customHeight="1">
      <c r="B169" s="5"/>
      <c r="E169" s="5"/>
    </row>
    <row r="170" ht="15.75" customHeight="1">
      <c r="B170" s="5"/>
      <c r="E170" s="5"/>
    </row>
    <row r="171" ht="15.75" customHeight="1">
      <c r="B171" s="5"/>
      <c r="E171" s="5"/>
    </row>
    <row r="172" ht="15.75" customHeight="1">
      <c r="B172" s="5"/>
      <c r="E172" s="5"/>
    </row>
    <row r="173" ht="15.75" customHeight="1">
      <c r="B173" s="5"/>
      <c r="E173" s="5"/>
    </row>
    <row r="174" ht="15.75" customHeight="1">
      <c r="B174" s="5"/>
      <c r="E174" s="5"/>
    </row>
    <row r="175" ht="15.75" customHeight="1">
      <c r="B175" s="5"/>
      <c r="E175" s="5"/>
    </row>
    <row r="176" ht="15.75" customHeight="1">
      <c r="B176" s="5"/>
      <c r="E176" s="5"/>
    </row>
    <row r="177" ht="15.75" customHeight="1">
      <c r="B177" s="5"/>
      <c r="E177" s="5"/>
    </row>
    <row r="178" ht="15.75" customHeight="1">
      <c r="B178" s="5"/>
      <c r="E178" s="5"/>
    </row>
    <row r="179" ht="15.75" customHeight="1">
      <c r="B179" s="5"/>
      <c r="E179" s="5"/>
    </row>
    <row r="180" ht="15.75" customHeight="1">
      <c r="B180" s="5"/>
      <c r="E180" s="5"/>
    </row>
    <row r="181" ht="15.75" customHeight="1">
      <c r="B181" s="5"/>
      <c r="E181" s="5"/>
    </row>
    <row r="182" ht="15.75" customHeight="1">
      <c r="B182" s="5"/>
      <c r="E182" s="5"/>
    </row>
    <row r="183" ht="15.75" customHeight="1">
      <c r="B183" s="5"/>
      <c r="E183" s="5"/>
    </row>
    <row r="184" ht="15.75" customHeight="1">
      <c r="B184" s="5"/>
      <c r="E184" s="5"/>
    </row>
    <row r="185" ht="15.75" customHeight="1">
      <c r="B185" s="5"/>
      <c r="E185" s="5"/>
    </row>
    <row r="186" ht="15.75" customHeight="1">
      <c r="B186" s="5"/>
      <c r="E186" s="5"/>
    </row>
    <row r="187" ht="15.75" customHeight="1">
      <c r="B187" s="5"/>
      <c r="E187" s="5"/>
    </row>
    <row r="188" ht="15.75" customHeight="1">
      <c r="B188" s="5"/>
      <c r="E188" s="5"/>
    </row>
    <row r="189" ht="15.75" customHeight="1">
      <c r="B189" s="5"/>
      <c r="E189" s="5"/>
    </row>
    <row r="190" ht="15.75" customHeight="1">
      <c r="B190" s="5"/>
      <c r="E190" s="5"/>
    </row>
    <row r="191" ht="15.75" customHeight="1">
      <c r="B191" s="5"/>
      <c r="E191" s="5"/>
    </row>
    <row r="192" ht="15.75" customHeight="1">
      <c r="B192" s="5"/>
      <c r="E192" s="5"/>
    </row>
    <row r="193" ht="15.75" customHeight="1">
      <c r="B193" s="5"/>
      <c r="E193" s="5"/>
    </row>
    <row r="194" ht="15.75" customHeight="1">
      <c r="B194" s="5"/>
      <c r="E194" s="5"/>
    </row>
    <row r="195" ht="15.75" customHeight="1">
      <c r="B195" s="5"/>
      <c r="E195" s="5"/>
    </row>
    <row r="196" ht="15.75" customHeight="1">
      <c r="B196" s="5"/>
      <c r="E196" s="5"/>
    </row>
    <row r="197" ht="15.75" customHeight="1">
      <c r="B197" s="5"/>
      <c r="E197" s="5"/>
    </row>
    <row r="198" ht="15.75" customHeight="1">
      <c r="B198" s="5"/>
      <c r="E198" s="5"/>
    </row>
    <row r="199" ht="15.75" customHeight="1">
      <c r="B199" s="5"/>
      <c r="E199" s="5"/>
    </row>
    <row r="200" ht="15.75" customHeight="1">
      <c r="B200" s="5"/>
      <c r="E200" s="5"/>
    </row>
    <row r="201" ht="15.75" customHeight="1">
      <c r="B201" s="5"/>
      <c r="E201" s="5"/>
    </row>
    <row r="202" ht="15.75" customHeight="1">
      <c r="B202" s="5"/>
      <c r="E202" s="5"/>
    </row>
    <row r="203" ht="15.75" customHeight="1">
      <c r="B203" s="5"/>
      <c r="E203" s="5"/>
    </row>
    <row r="204" ht="15.75" customHeight="1">
      <c r="B204" s="5"/>
      <c r="E204" s="5"/>
    </row>
    <row r="205" ht="15.75" customHeight="1">
      <c r="B205" s="5"/>
      <c r="E205" s="5"/>
    </row>
    <row r="206" ht="15.75" customHeight="1">
      <c r="B206" s="5"/>
      <c r="E206" s="5"/>
    </row>
    <row r="207" ht="15.75" customHeight="1">
      <c r="B207" s="5"/>
      <c r="E207" s="5"/>
    </row>
    <row r="208" ht="15.75" customHeight="1">
      <c r="B208" s="5"/>
      <c r="E208" s="5"/>
    </row>
    <row r="209" ht="15.75" customHeight="1">
      <c r="B209" s="5"/>
      <c r="E209" s="5"/>
    </row>
    <row r="210" ht="15.75" customHeight="1">
      <c r="B210" s="5"/>
      <c r="E210" s="5"/>
    </row>
    <row r="211" ht="15.75" customHeight="1">
      <c r="B211" s="5"/>
      <c r="E211" s="5"/>
    </row>
    <row r="212" ht="15.75" customHeight="1">
      <c r="B212" s="5"/>
      <c r="E212" s="5"/>
    </row>
    <row r="213" ht="15.75" customHeight="1">
      <c r="B213" s="5"/>
      <c r="E213" s="5"/>
    </row>
    <row r="214" ht="15.75" customHeight="1">
      <c r="B214" s="5"/>
      <c r="E214" s="5"/>
    </row>
    <row r="215" ht="15.75" customHeight="1">
      <c r="B215" s="5"/>
      <c r="E215" s="5"/>
    </row>
    <row r="216" ht="15.75" customHeight="1">
      <c r="B216" s="5"/>
      <c r="E216" s="5"/>
    </row>
    <row r="217" ht="15.75" customHeight="1">
      <c r="B217" s="5"/>
      <c r="E217" s="5"/>
    </row>
    <row r="218" ht="15.75" customHeight="1">
      <c r="B218" s="5"/>
      <c r="E218" s="5"/>
    </row>
    <row r="219" ht="15.75" customHeight="1">
      <c r="B219" s="5"/>
      <c r="E219" s="5"/>
    </row>
    <row r="220" ht="15.75" customHeight="1">
      <c r="B220" s="5"/>
      <c r="E220" s="5"/>
    </row>
    <row r="221" ht="15.75" customHeight="1">
      <c r="B221" s="5"/>
      <c r="E221" s="5"/>
    </row>
    <row r="222" ht="15.75" customHeight="1">
      <c r="B222" s="5"/>
      <c r="E222" s="5"/>
    </row>
    <row r="223" ht="15.75" customHeight="1">
      <c r="B223" s="5"/>
      <c r="E223" s="5"/>
    </row>
    <row r="224" ht="15.75" customHeight="1">
      <c r="B224" s="5"/>
      <c r="E224" s="5"/>
    </row>
    <row r="225" ht="15.75" customHeight="1">
      <c r="B225" s="5"/>
      <c r="E225" s="5"/>
    </row>
    <row r="226" ht="15.75" customHeight="1">
      <c r="B226" s="5"/>
      <c r="E226" s="5"/>
    </row>
    <row r="227" ht="15.75" customHeight="1">
      <c r="B227" s="5"/>
      <c r="E227" s="5"/>
    </row>
    <row r="228" ht="15.75" customHeight="1">
      <c r="B228" s="5"/>
      <c r="E228" s="5"/>
    </row>
    <row r="229" ht="15.75" customHeight="1">
      <c r="B229" s="5"/>
      <c r="E229" s="5"/>
    </row>
    <row r="230" ht="15.75" customHeight="1">
      <c r="B230" s="5"/>
      <c r="E230" s="5"/>
    </row>
    <row r="231" ht="15.75" customHeight="1">
      <c r="B231" s="5"/>
      <c r="E231" s="5"/>
    </row>
    <row r="232" ht="15.75" customHeight="1">
      <c r="B232" s="5"/>
      <c r="E232" s="5"/>
    </row>
    <row r="233" ht="15.75" customHeight="1">
      <c r="B233" s="5"/>
      <c r="E233" s="5"/>
    </row>
    <row r="234" ht="15.75" customHeight="1">
      <c r="B234" s="5"/>
      <c r="E234" s="5"/>
    </row>
    <row r="235" ht="15.75" customHeight="1">
      <c r="B235" s="5"/>
      <c r="E235" s="5"/>
    </row>
    <row r="236" ht="15.75" customHeight="1">
      <c r="B236" s="5"/>
      <c r="E236" s="5"/>
    </row>
    <row r="237" ht="15.75" customHeight="1">
      <c r="B237" s="5"/>
      <c r="E237" s="5"/>
    </row>
    <row r="238" ht="15.75" customHeight="1">
      <c r="B238" s="5"/>
      <c r="E238" s="5"/>
    </row>
    <row r="239" ht="15.75" customHeight="1">
      <c r="B239" s="5"/>
      <c r="E239" s="5"/>
    </row>
    <row r="240" ht="15.75" customHeight="1">
      <c r="B240" s="5"/>
      <c r="E240" s="5"/>
    </row>
    <row r="241" ht="15.75" customHeight="1">
      <c r="B241" s="5"/>
      <c r="E241" s="5"/>
    </row>
    <row r="242" ht="15.75" customHeight="1">
      <c r="B242" s="5"/>
      <c r="E242" s="5"/>
    </row>
    <row r="243" ht="15.75" customHeight="1">
      <c r="B243" s="5"/>
      <c r="E243" s="5"/>
    </row>
    <row r="244" ht="15.75" customHeight="1">
      <c r="B244" s="5"/>
      <c r="E244" s="5"/>
    </row>
    <row r="245" ht="15.75" customHeight="1">
      <c r="B245" s="5"/>
      <c r="E245" s="5"/>
    </row>
    <row r="246" ht="15.75" customHeight="1">
      <c r="B246" s="5"/>
      <c r="E246" s="5"/>
    </row>
    <row r="247" ht="15.75" customHeight="1">
      <c r="B247" s="5"/>
      <c r="E247" s="5"/>
    </row>
    <row r="248" ht="15.75" customHeight="1">
      <c r="B248" s="5"/>
      <c r="E248" s="5"/>
    </row>
    <row r="249" ht="15.75" customHeight="1">
      <c r="B249" s="5"/>
      <c r="E249" s="5"/>
    </row>
    <row r="250" ht="15.75" customHeight="1">
      <c r="B250" s="5"/>
      <c r="E250" s="5"/>
    </row>
    <row r="251" ht="15.75" customHeight="1">
      <c r="B251" s="5"/>
      <c r="E251" s="5"/>
    </row>
    <row r="252" ht="15.75" customHeight="1">
      <c r="B252" s="5"/>
      <c r="E252" s="5"/>
    </row>
    <row r="253" ht="15.75" customHeight="1">
      <c r="B253" s="5"/>
      <c r="E253" s="5"/>
    </row>
    <row r="254" ht="15.75" customHeight="1">
      <c r="B254" s="5"/>
      <c r="E254" s="5"/>
    </row>
    <row r="255" ht="15.75" customHeight="1">
      <c r="B255" s="5"/>
      <c r="E255" s="5"/>
    </row>
    <row r="256" ht="15.75" customHeight="1">
      <c r="B256" s="5"/>
      <c r="E256" s="5"/>
    </row>
    <row r="257" ht="15.75" customHeight="1">
      <c r="B257" s="5"/>
      <c r="E257" s="5"/>
    </row>
    <row r="258" ht="15.75" customHeight="1">
      <c r="B258" s="5"/>
      <c r="E258" s="5"/>
    </row>
    <row r="259" ht="15.75" customHeight="1">
      <c r="B259" s="5"/>
      <c r="E259" s="5"/>
    </row>
    <row r="260" ht="15.75" customHeight="1">
      <c r="B260" s="5"/>
      <c r="E260" s="5"/>
    </row>
    <row r="261" ht="15.75" customHeight="1">
      <c r="B261" s="5"/>
      <c r="E261" s="5"/>
    </row>
    <row r="262" ht="15.75" customHeight="1">
      <c r="B262" s="5"/>
      <c r="E262" s="5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G8:G24">
    <cfRule type="cellIs" dxfId="0" priority="1" operator="greaterThanOrEqual">
      <formula>$G$4</formula>
    </cfRule>
  </conditionalFormatting>
  <conditionalFormatting sqref="H8:H24">
    <cfRule type="cellIs" dxfId="0" priority="2" operator="greaterThanOrEqual">
      <formula>$H$4</formula>
    </cfRule>
  </conditionalFormatting>
  <conditionalFormatting sqref="I8:I24">
    <cfRule type="cellIs" dxfId="0" priority="3" operator="greaterThanOrEqual">
      <formula>$I$4</formula>
    </cfRule>
  </conditionalFormatting>
  <conditionalFormatting sqref="J8:J24">
    <cfRule type="cellIs" dxfId="0" priority="4" operator="greaterThanOrEqual">
      <formula>$J$4</formula>
    </cfRule>
  </conditionalFormatting>
  <conditionalFormatting sqref="K8:K24">
    <cfRule type="cellIs" dxfId="0" priority="5" operator="greaterThanOrEqual">
      <formula>$K$4</formula>
    </cfRule>
  </conditionalFormatting>
  <conditionalFormatting sqref="L8:L24">
    <cfRule type="cellIs" dxfId="0" priority="6" operator="greaterThanOrEqual">
      <formula>$L$4</formula>
    </cfRule>
  </conditionalFormatting>
  <conditionalFormatting sqref="M8:M24">
    <cfRule type="cellIs" dxfId="0" priority="7" operator="greaterThanOrEqual">
      <formula>$M$4</formula>
    </cfRule>
  </conditionalFormatting>
  <conditionalFormatting sqref="N8:N24">
    <cfRule type="cellIs" dxfId="0" priority="8" operator="greaterThanOrEqual">
      <formula>$N$4</formula>
    </cfRule>
  </conditionalFormatting>
  <conditionalFormatting sqref="O8:O24">
    <cfRule type="cellIs" dxfId="0" priority="9" operator="greaterThanOrEqual">
      <formula>$O$4</formula>
    </cfRule>
  </conditionalFormatting>
  <conditionalFormatting sqref="G8:G24">
    <cfRule type="cellIs" dxfId="1" priority="10" operator="between">
      <formula>$G$3</formula>
      <formula>$G$4</formula>
    </cfRule>
  </conditionalFormatting>
  <conditionalFormatting sqref="H8:H24">
    <cfRule type="cellIs" dxfId="1" priority="11" operator="between">
      <formula>$H$3</formula>
      <formula>$H$4</formula>
    </cfRule>
  </conditionalFormatting>
  <conditionalFormatting sqref="I8:I24">
    <cfRule type="cellIs" dxfId="1" priority="12" operator="between">
      <formula>I$3</formula>
      <formula>I$4</formula>
    </cfRule>
  </conditionalFormatting>
  <conditionalFormatting sqref="J8:J24">
    <cfRule type="cellIs" dxfId="1" priority="13" operator="between">
      <formula>$J$3</formula>
      <formula>$J$4</formula>
    </cfRule>
  </conditionalFormatting>
  <conditionalFormatting sqref="K8:K24">
    <cfRule type="cellIs" dxfId="1" priority="14" operator="between">
      <formula>$K$3</formula>
      <formula>$K$4</formula>
    </cfRule>
  </conditionalFormatting>
  <conditionalFormatting sqref="L8:L24">
    <cfRule type="cellIs" dxfId="1" priority="15" operator="between">
      <formula>$L$3</formula>
      <formula>$L$4</formula>
    </cfRule>
  </conditionalFormatting>
  <conditionalFormatting sqref="M8:M24">
    <cfRule type="cellIs" dxfId="1" priority="16" operator="between">
      <formula>$M$3</formula>
      <formula>$M$4</formula>
    </cfRule>
  </conditionalFormatting>
  <conditionalFormatting sqref="N8:N24">
    <cfRule type="cellIs" dxfId="1" priority="17" operator="between">
      <formula>$N$3</formula>
      <formula>$N$4</formula>
    </cfRule>
  </conditionalFormatting>
  <conditionalFormatting sqref="O8:O24">
    <cfRule type="cellIs" dxfId="1" priority="18" operator="between">
      <formula>$O$3</formula>
      <formula>$O$4</formula>
    </cfRule>
  </conditionalFormatting>
  <conditionalFormatting sqref="G8:G24">
    <cfRule type="cellIs" dxfId="2" priority="19" operator="lessThanOrEqual">
      <formula>$G$2</formula>
    </cfRule>
  </conditionalFormatting>
  <conditionalFormatting sqref="D46:D62 G46:AB62">
    <cfRule type="cellIs" dxfId="3" priority="20" operator="lessThanOrEqual">
      <formula>1</formula>
    </cfRule>
  </conditionalFormatting>
  <conditionalFormatting sqref="D27:D43 G27:AB43">
    <cfRule type="cellIs" dxfId="3" priority="21" operator="greaterThanOrEqual">
      <formula>365</formula>
    </cfRule>
  </conditionalFormatting>
  <conditionalFormatting sqref="D8:D24">
    <cfRule type="cellIs" dxfId="4" priority="22" operator="greaterThanOrEqual">
      <formula>$D$4</formula>
    </cfRule>
  </conditionalFormatting>
  <conditionalFormatting sqref="D8:D24">
    <cfRule type="cellIs" dxfId="2" priority="23" operator="lessThanOrEqual">
      <formula>$D$2</formula>
    </cfRule>
  </conditionalFormatting>
  <conditionalFormatting sqref="D8:D24">
    <cfRule type="cellIs" dxfId="1" priority="24" operator="between">
      <formula>$D$3</formula>
      <formula>$D$4</formula>
    </cfRule>
  </conditionalFormatting>
  <conditionalFormatting sqref="P8:P24">
    <cfRule type="cellIs" dxfId="2" priority="25" operator="lessThanOrEqual">
      <formula>$P$2</formula>
    </cfRule>
  </conditionalFormatting>
  <conditionalFormatting sqref="H8:H24">
    <cfRule type="cellIs" dxfId="2" priority="26" operator="lessThanOrEqual">
      <formula>$H$2</formula>
    </cfRule>
  </conditionalFormatting>
  <conditionalFormatting sqref="I8:I24">
    <cfRule type="cellIs" dxfId="2" priority="27" operator="lessThanOrEqual">
      <formula>$I$2</formula>
    </cfRule>
  </conditionalFormatting>
  <conditionalFormatting sqref="J8:J24">
    <cfRule type="cellIs" dxfId="2" priority="28" operator="lessThanOrEqual">
      <formula>$J$2</formula>
    </cfRule>
  </conditionalFormatting>
  <conditionalFormatting sqref="K8:K24">
    <cfRule type="cellIs" dxfId="2" priority="29" operator="lessThanOrEqual">
      <formula>$K$2</formula>
    </cfRule>
  </conditionalFormatting>
  <conditionalFormatting sqref="L8:L24">
    <cfRule type="cellIs" dxfId="2" priority="30" operator="lessThanOrEqual">
      <formula>$L$2</formula>
    </cfRule>
  </conditionalFormatting>
  <conditionalFormatting sqref="M8:M24">
    <cfRule type="cellIs" dxfId="2" priority="31" operator="lessThanOrEqual">
      <formula>$M$2</formula>
    </cfRule>
  </conditionalFormatting>
  <conditionalFormatting sqref="N8:N24">
    <cfRule type="cellIs" dxfId="2" priority="32" operator="lessThanOrEqual">
      <formula>$N$2</formula>
    </cfRule>
  </conditionalFormatting>
  <conditionalFormatting sqref="O8:O24">
    <cfRule type="cellIs" dxfId="2" priority="33" operator="lessThanOrEqual">
      <formula>$O$2</formula>
    </cfRule>
  </conditionalFormatting>
  <conditionalFormatting sqref="Q8:Q24">
    <cfRule type="cellIs" dxfId="2" priority="34" operator="lessThanOrEqual">
      <formula>$Q$2</formula>
    </cfRule>
  </conditionalFormatting>
  <conditionalFormatting sqref="R8:R24">
    <cfRule type="cellIs" dxfId="2" priority="35" operator="lessThanOrEqual">
      <formula>$R$2</formula>
    </cfRule>
  </conditionalFormatting>
  <conditionalFormatting sqref="S8:S24">
    <cfRule type="cellIs" dxfId="2" priority="36" operator="lessThanOrEqual">
      <formula>$S$2</formula>
    </cfRule>
  </conditionalFormatting>
  <conditionalFormatting sqref="T8:T24">
    <cfRule type="cellIs" dxfId="2" priority="37" operator="lessThanOrEqual">
      <formula>$T$2</formula>
    </cfRule>
  </conditionalFormatting>
  <conditionalFormatting sqref="U8:U24">
    <cfRule type="cellIs" dxfId="2" priority="38" operator="lessThanOrEqual">
      <formula>$U$2</formula>
    </cfRule>
  </conditionalFormatting>
  <conditionalFormatting sqref="V8:V24">
    <cfRule type="cellIs" dxfId="2" priority="39" operator="lessThanOrEqual">
      <formula>$V$2</formula>
    </cfRule>
  </conditionalFormatting>
  <conditionalFormatting sqref="W8:W24">
    <cfRule type="cellIs" dxfId="2" priority="40" operator="lessThanOrEqual">
      <formula>$W$2</formula>
    </cfRule>
  </conditionalFormatting>
  <conditionalFormatting sqref="X8:X24">
    <cfRule type="cellIs" dxfId="2" priority="41" operator="lessThanOrEqual">
      <formula>$X$2</formula>
    </cfRule>
  </conditionalFormatting>
  <conditionalFormatting sqref="Y8:Y24">
    <cfRule type="cellIs" dxfId="2" priority="42" operator="lessThanOrEqual">
      <formula>$Y$2</formula>
    </cfRule>
  </conditionalFormatting>
  <conditionalFormatting sqref="Z8:Z24">
    <cfRule type="cellIs" dxfId="2" priority="43" operator="lessThanOrEqual">
      <formula>$Z$2</formula>
    </cfRule>
  </conditionalFormatting>
  <conditionalFormatting sqref="AA8:AA24">
    <cfRule type="cellIs" dxfId="2" priority="44" operator="lessThanOrEqual">
      <formula>$AA$2</formula>
    </cfRule>
  </conditionalFormatting>
  <conditionalFormatting sqref="AB8:AB24">
    <cfRule type="cellIs" dxfId="2" priority="45" operator="lessThanOrEqual">
      <formula>$AB$2</formula>
    </cfRule>
  </conditionalFormatting>
  <conditionalFormatting sqref="P7:P24">
    <cfRule type="cellIs" dxfId="1" priority="46" operator="between">
      <formula>$P$3</formula>
      <formula>$P$4</formula>
    </cfRule>
  </conditionalFormatting>
  <conditionalFormatting sqref="Q8:Q24">
    <cfRule type="cellIs" dxfId="1" priority="47" operator="between">
      <formula>$Q$3</formula>
      <formula>$Q$4</formula>
    </cfRule>
  </conditionalFormatting>
  <conditionalFormatting sqref="R8:R24">
    <cfRule type="cellIs" dxfId="1" priority="48" operator="between">
      <formula>$R$3</formula>
      <formula>$R$4</formula>
    </cfRule>
  </conditionalFormatting>
  <conditionalFormatting sqref="S8:S24">
    <cfRule type="cellIs" dxfId="1" priority="49" operator="between">
      <formula>$S$3</formula>
      <formula>$S$4</formula>
    </cfRule>
  </conditionalFormatting>
  <conditionalFormatting sqref="T8:T24">
    <cfRule type="cellIs" dxfId="1" priority="50" operator="between">
      <formula>$T$3</formula>
      <formula>$T$4</formula>
    </cfRule>
  </conditionalFormatting>
  <conditionalFormatting sqref="U8:U24">
    <cfRule type="cellIs" dxfId="1" priority="51" operator="between">
      <formula>$U$3</formula>
      <formula>$U$4</formula>
    </cfRule>
  </conditionalFormatting>
  <conditionalFormatting sqref="V8:V24">
    <cfRule type="cellIs" dxfId="1" priority="52" operator="between">
      <formula>$V$3</formula>
      <formula>$V$4</formula>
    </cfRule>
  </conditionalFormatting>
  <conditionalFormatting sqref="W8:W24">
    <cfRule type="cellIs" dxfId="1" priority="53" operator="between">
      <formula>$W$3</formula>
      <formula>$W$4</formula>
    </cfRule>
  </conditionalFormatting>
  <conditionalFormatting sqref="X8:X24">
    <cfRule type="cellIs" dxfId="1" priority="54" operator="between">
      <formula>$X$3</formula>
      <formula>$X$4</formula>
    </cfRule>
  </conditionalFormatting>
  <conditionalFormatting sqref="Y8:Y24">
    <cfRule type="cellIs" dxfId="1" priority="55" operator="between">
      <formula>$Y$3</formula>
      <formula>$Y$4</formula>
    </cfRule>
  </conditionalFormatting>
  <conditionalFormatting sqref="Z8:Z24">
    <cfRule type="cellIs" dxfId="1" priority="56" operator="between">
      <formula>$Z$3</formula>
      <formula>$Z$4</formula>
    </cfRule>
  </conditionalFormatting>
  <conditionalFormatting sqref="AA8:AA24">
    <cfRule type="cellIs" dxfId="1" priority="57" operator="between">
      <formula>$AA$3</formula>
      <formula>$AA$4</formula>
    </cfRule>
  </conditionalFormatting>
  <conditionalFormatting sqref="AB8:AB24">
    <cfRule type="cellIs" dxfId="1" priority="58" operator="between">
      <formula>$AB$3</formula>
      <formula>$AB$4</formula>
    </cfRule>
  </conditionalFormatting>
  <conditionalFormatting sqref="P8:P24">
    <cfRule type="cellIs" dxfId="0" priority="59" operator="greaterThanOrEqual">
      <formula>$P$4</formula>
    </cfRule>
  </conditionalFormatting>
  <conditionalFormatting sqref="Q8:Q24">
    <cfRule type="cellIs" dxfId="0" priority="60" operator="greaterThanOrEqual">
      <formula>$O$4</formula>
    </cfRule>
  </conditionalFormatting>
  <conditionalFormatting sqref="R8:R24">
    <cfRule type="cellIs" dxfId="0" priority="61" operator="greaterThanOrEqual">
      <formula>$R$4</formula>
    </cfRule>
  </conditionalFormatting>
  <conditionalFormatting sqref="S8:S24">
    <cfRule type="cellIs" dxfId="0" priority="62" operator="greaterThanOrEqual">
      <formula>$S$4</formula>
    </cfRule>
  </conditionalFormatting>
  <conditionalFormatting sqref="T8:T24">
    <cfRule type="cellIs" dxfId="0" priority="63" operator="greaterThanOrEqual">
      <formula>$T$4</formula>
    </cfRule>
  </conditionalFormatting>
  <conditionalFormatting sqref="U8:U24">
    <cfRule type="cellIs" dxfId="0" priority="64" operator="greaterThanOrEqual">
      <formula>$U$4</formula>
    </cfRule>
  </conditionalFormatting>
  <conditionalFormatting sqref="V8:V24">
    <cfRule type="cellIs" dxfId="0" priority="65" operator="greaterThanOrEqual">
      <formula>$V$4</formula>
    </cfRule>
  </conditionalFormatting>
  <conditionalFormatting sqref="W8:W24">
    <cfRule type="cellIs" dxfId="0" priority="66" operator="greaterThanOrEqual">
      <formula>$W$4</formula>
    </cfRule>
  </conditionalFormatting>
  <conditionalFormatting sqref="X8:X24">
    <cfRule type="cellIs" dxfId="0" priority="67" operator="greaterThanOrEqual">
      <formula>$X$4</formula>
    </cfRule>
  </conditionalFormatting>
  <conditionalFormatting sqref="Y8:Y24">
    <cfRule type="cellIs" dxfId="0" priority="68" operator="greaterThanOrEqual">
      <formula>$Y$4</formula>
    </cfRule>
  </conditionalFormatting>
  <conditionalFormatting sqref="Z8:Z24">
    <cfRule type="cellIs" dxfId="0" priority="69" operator="greaterThanOrEqual">
      <formula>$Z$4</formula>
    </cfRule>
  </conditionalFormatting>
  <conditionalFormatting sqref="AA8:AA24">
    <cfRule type="cellIs" dxfId="0" priority="70" operator="greaterThanOrEqual">
      <formula>$AA$4</formula>
    </cfRule>
  </conditionalFormatting>
  <conditionalFormatting sqref="AB8:AB24">
    <cfRule type="cellIs" dxfId="0" priority="71" operator="greaterThanOrEqual">
      <formula>$AB$4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.38"/>
    <col customWidth="1" min="3" max="3" width="10.5"/>
    <col customWidth="1" min="4" max="4" width="12.63"/>
    <col customWidth="1" min="5" max="5" width="2.38"/>
    <col customWidth="1" min="6" max="6" width="10.5"/>
    <col customWidth="1" min="9" max="10" width="14.63"/>
  </cols>
  <sheetData>
    <row r="1" ht="15.75" customHeight="1">
      <c r="A1" s="34"/>
      <c r="B1" s="5"/>
      <c r="C1" s="34" t="s">
        <v>47</v>
      </c>
      <c r="E1" s="5"/>
      <c r="F1" s="35"/>
      <c r="G1" s="34" t="s">
        <v>48</v>
      </c>
    </row>
    <row r="2" ht="15.75" customHeight="1">
      <c r="A2" s="36" t="s">
        <v>49</v>
      </c>
      <c r="B2" s="5"/>
      <c r="C2" s="37" t="s">
        <v>50</v>
      </c>
      <c r="D2" s="38">
        <f>D3/12</f>
        <v>0.01893939394</v>
      </c>
      <c r="E2" s="5"/>
      <c r="F2" s="37" t="s">
        <v>50</v>
      </c>
      <c r="G2" s="38">
        <f t="shared" ref="G2:AB2" si="1">G3/12</f>
        <v>0.6628787879</v>
      </c>
      <c r="H2" s="38">
        <f t="shared" si="1"/>
        <v>18.93939394</v>
      </c>
      <c r="I2" s="38">
        <f t="shared" si="1"/>
        <v>28.40909091</v>
      </c>
      <c r="J2" s="38">
        <f t="shared" si="1"/>
        <v>0.01893939394</v>
      </c>
      <c r="K2" s="38">
        <f t="shared" si="1"/>
        <v>0.01893939394</v>
      </c>
      <c r="L2" s="38">
        <f t="shared" si="1"/>
        <v>0.01893939394</v>
      </c>
      <c r="M2" s="38">
        <f t="shared" si="1"/>
        <v>0.01893939394</v>
      </c>
      <c r="N2" s="38">
        <f t="shared" si="1"/>
        <v>0.01893939394</v>
      </c>
      <c r="O2" s="38">
        <f t="shared" si="1"/>
        <v>0.01893939394</v>
      </c>
      <c r="P2" s="38">
        <f t="shared" si="1"/>
        <v>0.01893939394</v>
      </c>
      <c r="Q2" s="38">
        <f t="shared" si="1"/>
        <v>0.01893939394</v>
      </c>
      <c r="R2" s="38">
        <f t="shared" si="1"/>
        <v>0.01893939394</v>
      </c>
      <c r="S2" s="38">
        <f t="shared" si="1"/>
        <v>0.01893939394</v>
      </c>
      <c r="T2" s="38">
        <f t="shared" si="1"/>
        <v>0.01893939394</v>
      </c>
      <c r="U2" s="38">
        <f t="shared" si="1"/>
        <v>0.01893939394</v>
      </c>
      <c r="V2" s="38">
        <f t="shared" si="1"/>
        <v>0.01893939394</v>
      </c>
      <c r="W2" s="38">
        <f t="shared" si="1"/>
        <v>0.01893939394</v>
      </c>
      <c r="X2" s="38">
        <f t="shared" si="1"/>
        <v>0.01893939394</v>
      </c>
      <c r="Y2" s="38">
        <f t="shared" si="1"/>
        <v>0.01893939394</v>
      </c>
      <c r="Z2" s="38">
        <f t="shared" si="1"/>
        <v>0.01893939394</v>
      </c>
      <c r="AA2" s="38">
        <f t="shared" si="1"/>
        <v>0.01893939394</v>
      </c>
      <c r="AB2" s="38">
        <f t="shared" si="1"/>
        <v>0.01893939394</v>
      </c>
    </row>
    <row r="3" ht="15.75" customHeight="1">
      <c r="B3" s="5"/>
      <c r="C3" s="37" t="s">
        <v>51</v>
      </c>
      <c r="D3" s="38">
        <f>D4/4.4</f>
        <v>0.2272727273</v>
      </c>
      <c r="E3" s="5"/>
      <c r="F3" s="37" t="s">
        <v>51</v>
      </c>
      <c r="G3" s="38">
        <f t="shared" ref="G3:AB3" si="2">G4/4.4</f>
        <v>7.954545455</v>
      </c>
      <c r="H3" s="38">
        <f t="shared" si="2"/>
        <v>227.2727273</v>
      </c>
      <c r="I3" s="38">
        <f t="shared" si="2"/>
        <v>340.9090909</v>
      </c>
      <c r="J3" s="38">
        <f t="shared" si="2"/>
        <v>0.2272727273</v>
      </c>
      <c r="K3" s="38">
        <f t="shared" si="2"/>
        <v>0.2272727273</v>
      </c>
      <c r="L3" s="38">
        <f t="shared" si="2"/>
        <v>0.2272727273</v>
      </c>
      <c r="M3" s="38">
        <f t="shared" si="2"/>
        <v>0.2272727273</v>
      </c>
      <c r="N3" s="38">
        <f t="shared" si="2"/>
        <v>0.2272727273</v>
      </c>
      <c r="O3" s="38">
        <f t="shared" si="2"/>
        <v>0.2272727273</v>
      </c>
      <c r="P3" s="38">
        <f t="shared" si="2"/>
        <v>0.2272727273</v>
      </c>
      <c r="Q3" s="38">
        <f t="shared" si="2"/>
        <v>0.2272727273</v>
      </c>
      <c r="R3" s="38">
        <f t="shared" si="2"/>
        <v>0.2272727273</v>
      </c>
      <c r="S3" s="38">
        <f t="shared" si="2"/>
        <v>0.2272727273</v>
      </c>
      <c r="T3" s="38">
        <f t="shared" si="2"/>
        <v>0.2272727273</v>
      </c>
      <c r="U3" s="38">
        <f t="shared" si="2"/>
        <v>0.2272727273</v>
      </c>
      <c r="V3" s="38">
        <f t="shared" si="2"/>
        <v>0.2272727273</v>
      </c>
      <c r="W3" s="38">
        <f t="shared" si="2"/>
        <v>0.2272727273</v>
      </c>
      <c r="X3" s="38">
        <f t="shared" si="2"/>
        <v>0.2272727273</v>
      </c>
      <c r="Y3" s="38">
        <f t="shared" si="2"/>
        <v>0.2272727273</v>
      </c>
      <c r="Z3" s="38">
        <f t="shared" si="2"/>
        <v>0.2272727273</v>
      </c>
      <c r="AA3" s="38">
        <f t="shared" si="2"/>
        <v>0.2272727273</v>
      </c>
      <c r="AB3" s="38">
        <f t="shared" si="2"/>
        <v>0.2272727273</v>
      </c>
    </row>
    <row r="4" ht="15.75" customHeight="1">
      <c r="B4" s="5"/>
      <c r="C4" s="37" t="s">
        <v>52</v>
      </c>
      <c r="D4" s="39">
        <v>1.0</v>
      </c>
      <c r="E4" s="5"/>
      <c r="F4" s="37" t="s">
        <v>52</v>
      </c>
      <c r="G4" s="39">
        <v>35.0</v>
      </c>
      <c r="H4" s="39">
        <v>1000.0</v>
      </c>
      <c r="I4" s="39">
        <v>1500.0</v>
      </c>
      <c r="J4" s="39">
        <v>1.0</v>
      </c>
      <c r="K4" s="39">
        <v>1.0</v>
      </c>
      <c r="L4" s="39">
        <v>1.0</v>
      </c>
      <c r="M4" s="39">
        <v>1.0</v>
      </c>
      <c r="N4" s="39">
        <v>1.0</v>
      </c>
      <c r="O4" s="39">
        <v>1.0</v>
      </c>
      <c r="P4" s="39">
        <v>1.0</v>
      </c>
      <c r="Q4" s="39">
        <v>1.0</v>
      </c>
      <c r="R4" s="39">
        <v>1.0</v>
      </c>
      <c r="S4" s="39">
        <v>1.0</v>
      </c>
      <c r="T4" s="39">
        <v>1.0</v>
      </c>
      <c r="U4" s="39">
        <v>1.0</v>
      </c>
      <c r="V4" s="39">
        <v>1.0</v>
      </c>
      <c r="W4" s="39">
        <v>1.0</v>
      </c>
      <c r="X4" s="39">
        <v>1.0</v>
      </c>
      <c r="Y4" s="39">
        <v>1.0</v>
      </c>
      <c r="Z4" s="39">
        <v>1.0</v>
      </c>
      <c r="AA4" s="39">
        <v>1.0</v>
      </c>
      <c r="AB4" s="39">
        <v>1.0</v>
      </c>
    </row>
    <row r="5" ht="25.5" customHeight="1">
      <c r="B5" s="56"/>
      <c r="C5" s="57" t="s">
        <v>53</v>
      </c>
      <c r="D5" s="58">
        <v>1.0</v>
      </c>
      <c r="E5" s="56"/>
      <c r="F5" s="57" t="s">
        <v>53</v>
      </c>
      <c r="G5" s="39">
        <v>2.0</v>
      </c>
      <c r="H5" s="39">
        <v>6.0</v>
      </c>
      <c r="I5" s="39">
        <v>2.0</v>
      </c>
      <c r="J5" s="39">
        <v>1.0</v>
      </c>
      <c r="K5" s="39">
        <v>1.0</v>
      </c>
      <c r="L5" s="39">
        <v>1.0</v>
      </c>
      <c r="M5" s="39">
        <v>1.0</v>
      </c>
      <c r="N5" s="39">
        <v>1.0</v>
      </c>
      <c r="O5" s="39">
        <v>1.0</v>
      </c>
      <c r="P5" s="39">
        <v>1.0</v>
      </c>
      <c r="Q5" s="39">
        <v>1.0</v>
      </c>
      <c r="R5" s="39">
        <v>1.0</v>
      </c>
      <c r="S5" s="39">
        <v>1.0</v>
      </c>
      <c r="T5" s="39">
        <v>1.0</v>
      </c>
      <c r="U5" s="39">
        <v>1.0</v>
      </c>
      <c r="V5" s="39">
        <v>1.0</v>
      </c>
      <c r="W5" s="39">
        <v>1.0</v>
      </c>
      <c r="X5" s="39">
        <v>1.0</v>
      </c>
      <c r="Y5" s="39">
        <v>1.0</v>
      </c>
      <c r="Z5" s="39">
        <v>1.0</v>
      </c>
      <c r="AA5" s="39">
        <v>1.0</v>
      </c>
      <c r="AB5" s="39">
        <v>1.0</v>
      </c>
    </row>
    <row r="6" ht="15.75" customHeight="1">
      <c r="A6" s="35"/>
      <c r="B6" s="5"/>
      <c r="C6" s="5"/>
      <c r="E6" s="5"/>
      <c r="F6" s="35"/>
      <c r="G6" s="35" t="s">
        <v>54</v>
      </c>
    </row>
    <row r="7" ht="15.75" customHeight="1">
      <c r="A7" s="42" t="s">
        <v>12</v>
      </c>
      <c r="B7" s="5"/>
      <c r="C7" s="10" t="s">
        <v>3</v>
      </c>
      <c r="D7" s="10" t="s">
        <v>55</v>
      </c>
      <c r="E7" s="5"/>
      <c r="F7" s="10" t="s">
        <v>3</v>
      </c>
      <c r="G7" s="10" t="s">
        <v>94</v>
      </c>
      <c r="H7" s="10" t="s">
        <v>95</v>
      </c>
      <c r="I7" s="10" t="s">
        <v>96</v>
      </c>
      <c r="J7" s="10"/>
      <c r="K7" s="10"/>
      <c r="L7" s="10"/>
      <c r="M7" s="10"/>
      <c r="N7" s="10"/>
      <c r="O7" s="10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ht="15.75" customHeight="1">
      <c r="A8" s="21">
        <f>'Soul Energy Tiers'!K3</f>
        <v>400</v>
      </c>
      <c r="B8" s="5"/>
      <c r="C8" s="15" t="s">
        <v>13</v>
      </c>
      <c r="D8" s="46">
        <f t="shared" ref="D8:D24" si="5">($A8/D$5)/365</f>
        <v>1.095890411</v>
      </c>
      <c r="E8" s="5"/>
      <c r="F8" s="15" t="s">
        <v>13</v>
      </c>
      <c r="G8" s="46">
        <f t="shared" ref="G8:O8" si="3">($A8/G$5)/365</f>
        <v>0.5479452055</v>
      </c>
      <c r="H8" s="46">
        <f t="shared" si="3"/>
        <v>0.1826484018</v>
      </c>
      <c r="I8" s="46">
        <f t="shared" si="3"/>
        <v>0.5479452055</v>
      </c>
      <c r="J8" s="46">
        <f t="shared" si="3"/>
        <v>1.095890411</v>
      </c>
      <c r="K8" s="46">
        <f t="shared" si="3"/>
        <v>1.095890411</v>
      </c>
      <c r="L8" s="46">
        <f t="shared" si="3"/>
        <v>1.095890411</v>
      </c>
      <c r="M8" s="46">
        <f t="shared" si="3"/>
        <v>1.095890411</v>
      </c>
      <c r="N8" s="46">
        <f t="shared" si="3"/>
        <v>1.095890411</v>
      </c>
      <c r="O8" s="49">
        <f t="shared" si="3"/>
        <v>1.095890411</v>
      </c>
      <c r="P8" s="50">
        <f t="shared" ref="P8:AB8" si="4">($A8/N$5)/365</f>
        <v>1.095890411</v>
      </c>
      <c r="Q8" s="50">
        <f t="shared" si="4"/>
        <v>1.095890411</v>
      </c>
      <c r="R8" s="50">
        <f t="shared" si="4"/>
        <v>1.095890411</v>
      </c>
      <c r="S8" s="50">
        <f t="shared" si="4"/>
        <v>1.095890411</v>
      </c>
      <c r="T8" s="50">
        <f t="shared" si="4"/>
        <v>1.095890411</v>
      </c>
      <c r="U8" s="50">
        <f t="shared" si="4"/>
        <v>1.095890411</v>
      </c>
      <c r="V8" s="50">
        <f t="shared" si="4"/>
        <v>1.095890411</v>
      </c>
      <c r="W8" s="50">
        <f t="shared" si="4"/>
        <v>1.095890411</v>
      </c>
      <c r="X8" s="50">
        <f t="shared" si="4"/>
        <v>1.095890411</v>
      </c>
      <c r="Y8" s="50">
        <f t="shared" si="4"/>
        <v>1.095890411</v>
      </c>
      <c r="Z8" s="50">
        <f t="shared" si="4"/>
        <v>1.095890411</v>
      </c>
      <c r="AA8" s="50">
        <f t="shared" si="4"/>
        <v>1.095890411</v>
      </c>
      <c r="AB8" s="50">
        <f t="shared" si="4"/>
        <v>1.095890411</v>
      </c>
    </row>
    <row r="9" ht="15.75" customHeight="1">
      <c r="A9" s="21">
        <f>'Soul Energy Tiers'!K4</f>
        <v>1200</v>
      </c>
      <c r="B9" s="5"/>
      <c r="C9" s="24" t="s">
        <v>15</v>
      </c>
      <c r="D9" s="46">
        <f t="shared" si="5"/>
        <v>3.287671233</v>
      </c>
      <c r="E9" s="5"/>
      <c r="F9" s="24" t="s">
        <v>15</v>
      </c>
      <c r="G9" s="46">
        <f t="shared" ref="G9:O9" si="6">($A9/G$5)/365</f>
        <v>1.643835616</v>
      </c>
      <c r="H9" s="46">
        <f t="shared" si="6"/>
        <v>0.5479452055</v>
      </c>
      <c r="I9" s="46">
        <f t="shared" si="6"/>
        <v>1.643835616</v>
      </c>
      <c r="J9" s="46">
        <f t="shared" si="6"/>
        <v>3.287671233</v>
      </c>
      <c r="K9" s="46">
        <f t="shared" si="6"/>
        <v>3.287671233</v>
      </c>
      <c r="L9" s="46">
        <f t="shared" si="6"/>
        <v>3.287671233</v>
      </c>
      <c r="M9" s="46">
        <f t="shared" si="6"/>
        <v>3.287671233</v>
      </c>
      <c r="N9" s="46">
        <f t="shared" si="6"/>
        <v>3.287671233</v>
      </c>
      <c r="O9" s="49">
        <f t="shared" si="6"/>
        <v>3.287671233</v>
      </c>
      <c r="P9" s="50">
        <f t="shared" ref="P9:AB9" si="7">($A9/N$5)/365</f>
        <v>3.287671233</v>
      </c>
      <c r="Q9" s="50">
        <f t="shared" si="7"/>
        <v>3.287671233</v>
      </c>
      <c r="R9" s="50">
        <f t="shared" si="7"/>
        <v>3.287671233</v>
      </c>
      <c r="S9" s="50">
        <f t="shared" si="7"/>
        <v>3.287671233</v>
      </c>
      <c r="T9" s="50">
        <f t="shared" si="7"/>
        <v>3.287671233</v>
      </c>
      <c r="U9" s="50">
        <f t="shared" si="7"/>
        <v>3.287671233</v>
      </c>
      <c r="V9" s="50">
        <f t="shared" si="7"/>
        <v>3.287671233</v>
      </c>
      <c r="W9" s="50">
        <f t="shared" si="7"/>
        <v>3.287671233</v>
      </c>
      <c r="X9" s="50">
        <f t="shared" si="7"/>
        <v>3.287671233</v>
      </c>
      <c r="Y9" s="50">
        <f t="shared" si="7"/>
        <v>3.287671233</v>
      </c>
      <c r="Z9" s="50">
        <f t="shared" si="7"/>
        <v>3.287671233</v>
      </c>
      <c r="AA9" s="50">
        <f t="shared" si="7"/>
        <v>3.287671233</v>
      </c>
      <c r="AB9" s="50">
        <f t="shared" si="7"/>
        <v>3.287671233</v>
      </c>
    </row>
    <row r="10" ht="15.75" customHeight="1">
      <c r="A10" s="21">
        <f>'Soul Energy Tiers'!K5</f>
        <v>2800</v>
      </c>
      <c r="B10" s="5"/>
      <c r="C10" s="24" t="s">
        <v>17</v>
      </c>
      <c r="D10" s="46">
        <f t="shared" si="5"/>
        <v>7.671232877</v>
      </c>
      <c r="E10" s="5"/>
      <c r="F10" s="24" t="s">
        <v>17</v>
      </c>
      <c r="G10" s="46">
        <f t="shared" ref="G10:O10" si="8">($A10/G$5)/365</f>
        <v>3.835616438</v>
      </c>
      <c r="H10" s="46">
        <f t="shared" si="8"/>
        <v>1.278538813</v>
      </c>
      <c r="I10" s="46">
        <f t="shared" si="8"/>
        <v>3.835616438</v>
      </c>
      <c r="J10" s="46">
        <f t="shared" si="8"/>
        <v>7.671232877</v>
      </c>
      <c r="K10" s="46">
        <f t="shared" si="8"/>
        <v>7.671232877</v>
      </c>
      <c r="L10" s="46">
        <f t="shared" si="8"/>
        <v>7.671232877</v>
      </c>
      <c r="M10" s="46">
        <f t="shared" si="8"/>
        <v>7.671232877</v>
      </c>
      <c r="N10" s="46">
        <f t="shared" si="8"/>
        <v>7.671232877</v>
      </c>
      <c r="O10" s="49">
        <f t="shared" si="8"/>
        <v>7.671232877</v>
      </c>
      <c r="P10" s="50">
        <f t="shared" ref="P10:AB10" si="9">($A10/N$5)/365</f>
        <v>7.671232877</v>
      </c>
      <c r="Q10" s="50">
        <f t="shared" si="9"/>
        <v>7.671232877</v>
      </c>
      <c r="R10" s="50">
        <f t="shared" si="9"/>
        <v>7.671232877</v>
      </c>
      <c r="S10" s="50">
        <f t="shared" si="9"/>
        <v>7.671232877</v>
      </c>
      <c r="T10" s="50">
        <f t="shared" si="9"/>
        <v>7.671232877</v>
      </c>
      <c r="U10" s="50">
        <f t="shared" si="9"/>
        <v>7.671232877</v>
      </c>
      <c r="V10" s="50">
        <f t="shared" si="9"/>
        <v>7.671232877</v>
      </c>
      <c r="W10" s="50">
        <f t="shared" si="9"/>
        <v>7.671232877</v>
      </c>
      <c r="X10" s="50">
        <f t="shared" si="9"/>
        <v>7.671232877</v>
      </c>
      <c r="Y10" s="50">
        <f t="shared" si="9"/>
        <v>7.671232877</v>
      </c>
      <c r="Z10" s="50">
        <f t="shared" si="9"/>
        <v>7.671232877</v>
      </c>
      <c r="AA10" s="50">
        <f t="shared" si="9"/>
        <v>7.671232877</v>
      </c>
      <c r="AB10" s="50">
        <f t="shared" si="9"/>
        <v>7.671232877</v>
      </c>
    </row>
    <row r="11" ht="15.75" customHeight="1">
      <c r="A11" s="21">
        <f>'Soul Energy Tiers'!K6</f>
        <v>6000</v>
      </c>
      <c r="B11" s="5"/>
      <c r="C11" s="24" t="s">
        <v>19</v>
      </c>
      <c r="D11" s="46">
        <f t="shared" si="5"/>
        <v>16.43835616</v>
      </c>
      <c r="E11" s="5"/>
      <c r="F11" s="24" t="s">
        <v>19</v>
      </c>
      <c r="G11" s="46">
        <f t="shared" ref="G11:O11" si="10">($A11/G$5)/365</f>
        <v>8.219178082</v>
      </c>
      <c r="H11" s="46">
        <f t="shared" si="10"/>
        <v>2.739726027</v>
      </c>
      <c r="I11" s="46">
        <f t="shared" si="10"/>
        <v>8.219178082</v>
      </c>
      <c r="J11" s="46">
        <f t="shared" si="10"/>
        <v>16.43835616</v>
      </c>
      <c r="K11" s="46">
        <f t="shared" si="10"/>
        <v>16.43835616</v>
      </c>
      <c r="L11" s="46">
        <f t="shared" si="10"/>
        <v>16.43835616</v>
      </c>
      <c r="M11" s="46">
        <f t="shared" si="10"/>
        <v>16.43835616</v>
      </c>
      <c r="N11" s="46">
        <f t="shared" si="10"/>
        <v>16.43835616</v>
      </c>
      <c r="O11" s="49">
        <f t="shared" si="10"/>
        <v>16.43835616</v>
      </c>
      <c r="P11" s="50">
        <f t="shared" ref="P11:AB11" si="11">($A11/N$5)/365</f>
        <v>16.43835616</v>
      </c>
      <c r="Q11" s="50">
        <f t="shared" si="11"/>
        <v>16.43835616</v>
      </c>
      <c r="R11" s="50">
        <f t="shared" si="11"/>
        <v>16.43835616</v>
      </c>
      <c r="S11" s="50">
        <f t="shared" si="11"/>
        <v>16.43835616</v>
      </c>
      <c r="T11" s="50">
        <f t="shared" si="11"/>
        <v>16.43835616</v>
      </c>
      <c r="U11" s="50">
        <f t="shared" si="11"/>
        <v>16.43835616</v>
      </c>
      <c r="V11" s="50">
        <f t="shared" si="11"/>
        <v>16.43835616</v>
      </c>
      <c r="W11" s="50">
        <f t="shared" si="11"/>
        <v>16.43835616</v>
      </c>
      <c r="X11" s="50">
        <f t="shared" si="11"/>
        <v>16.43835616</v>
      </c>
      <c r="Y11" s="50">
        <f t="shared" si="11"/>
        <v>16.43835616</v>
      </c>
      <c r="Z11" s="50">
        <f t="shared" si="11"/>
        <v>16.43835616</v>
      </c>
      <c r="AA11" s="50">
        <f t="shared" si="11"/>
        <v>16.43835616</v>
      </c>
      <c r="AB11" s="50">
        <f t="shared" si="11"/>
        <v>16.43835616</v>
      </c>
    </row>
    <row r="12" ht="15.75" customHeight="1">
      <c r="A12" s="21">
        <f>'Soul Energy Tiers'!K7</f>
        <v>12400</v>
      </c>
      <c r="B12" s="5"/>
      <c r="C12" s="24" t="s">
        <v>21</v>
      </c>
      <c r="D12" s="46">
        <f t="shared" si="5"/>
        <v>33.97260274</v>
      </c>
      <c r="E12" s="5"/>
      <c r="F12" s="24" t="s">
        <v>21</v>
      </c>
      <c r="G12" s="46">
        <f t="shared" ref="G12:O12" si="12">($A12/G$5)/365</f>
        <v>16.98630137</v>
      </c>
      <c r="H12" s="46">
        <f t="shared" si="12"/>
        <v>5.662100457</v>
      </c>
      <c r="I12" s="46">
        <f t="shared" si="12"/>
        <v>16.98630137</v>
      </c>
      <c r="J12" s="46">
        <f t="shared" si="12"/>
        <v>33.97260274</v>
      </c>
      <c r="K12" s="46">
        <f t="shared" si="12"/>
        <v>33.97260274</v>
      </c>
      <c r="L12" s="46">
        <f t="shared" si="12"/>
        <v>33.97260274</v>
      </c>
      <c r="M12" s="46">
        <f t="shared" si="12"/>
        <v>33.97260274</v>
      </c>
      <c r="N12" s="46">
        <f t="shared" si="12"/>
        <v>33.97260274</v>
      </c>
      <c r="O12" s="49">
        <f t="shared" si="12"/>
        <v>33.97260274</v>
      </c>
      <c r="P12" s="50">
        <f t="shared" ref="P12:AB12" si="13">($A12/N$5)/365</f>
        <v>33.97260274</v>
      </c>
      <c r="Q12" s="50">
        <f t="shared" si="13"/>
        <v>33.97260274</v>
      </c>
      <c r="R12" s="50">
        <f t="shared" si="13"/>
        <v>33.97260274</v>
      </c>
      <c r="S12" s="50">
        <f t="shared" si="13"/>
        <v>33.97260274</v>
      </c>
      <c r="T12" s="50">
        <f t="shared" si="13"/>
        <v>33.97260274</v>
      </c>
      <c r="U12" s="50">
        <f t="shared" si="13"/>
        <v>33.97260274</v>
      </c>
      <c r="V12" s="50">
        <f t="shared" si="13"/>
        <v>33.97260274</v>
      </c>
      <c r="W12" s="50">
        <f t="shared" si="13"/>
        <v>33.97260274</v>
      </c>
      <c r="X12" s="50">
        <f t="shared" si="13"/>
        <v>33.97260274</v>
      </c>
      <c r="Y12" s="50">
        <f t="shared" si="13"/>
        <v>33.97260274</v>
      </c>
      <c r="Z12" s="50">
        <f t="shared" si="13"/>
        <v>33.97260274</v>
      </c>
      <c r="AA12" s="50">
        <f t="shared" si="13"/>
        <v>33.97260274</v>
      </c>
      <c r="AB12" s="50">
        <f t="shared" si="13"/>
        <v>33.97260274</v>
      </c>
    </row>
    <row r="13" ht="15.75" customHeight="1">
      <c r="A13" s="21">
        <f>'Soul Energy Tiers'!K8</f>
        <v>25200</v>
      </c>
      <c r="B13" s="5"/>
      <c r="C13" s="24" t="s">
        <v>23</v>
      </c>
      <c r="D13" s="46">
        <f t="shared" si="5"/>
        <v>69.04109589</v>
      </c>
      <c r="E13" s="5"/>
      <c r="F13" s="24" t="s">
        <v>23</v>
      </c>
      <c r="G13" s="46">
        <f t="shared" ref="G13:O13" si="14">($A13/G$5)/365</f>
        <v>34.52054795</v>
      </c>
      <c r="H13" s="46">
        <f t="shared" si="14"/>
        <v>11.50684932</v>
      </c>
      <c r="I13" s="46">
        <f t="shared" si="14"/>
        <v>34.52054795</v>
      </c>
      <c r="J13" s="46">
        <f t="shared" si="14"/>
        <v>69.04109589</v>
      </c>
      <c r="K13" s="46">
        <f t="shared" si="14"/>
        <v>69.04109589</v>
      </c>
      <c r="L13" s="46">
        <f t="shared" si="14"/>
        <v>69.04109589</v>
      </c>
      <c r="M13" s="46">
        <f t="shared" si="14"/>
        <v>69.04109589</v>
      </c>
      <c r="N13" s="46">
        <f t="shared" si="14"/>
        <v>69.04109589</v>
      </c>
      <c r="O13" s="49">
        <f t="shared" si="14"/>
        <v>69.04109589</v>
      </c>
      <c r="P13" s="50">
        <f t="shared" ref="P13:AB13" si="15">($A13/N$5)/365</f>
        <v>69.04109589</v>
      </c>
      <c r="Q13" s="50">
        <f t="shared" si="15"/>
        <v>69.04109589</v>
      </c>
      <c r="R13" s="50">
        <f t="shared" si="15"/>
        <v>69.04109589</v>
      </c>
      <c r="S13" s="50">
        <f t="shared" si="15"/>
        <v>69.04109589</v>
      </c>
      <c r="T13" s="50">
        <f t="shared" si="15"/>
        <v>69.04109589</v>
      </c>
      <c r="U13" s="50">
        <f t="shared" si="15"/>
        <v>69.04109589</v>
      </c>
      <c r="V13" s="50">
        <f t="shared" si="15"/>
        <v>69.04109589</v>
      </c>
      <c r="W13" s="50">
        <f t="shared" si="15"/>
        <v>69.04109589</v>
      </c>
      <c r="X13" s="50">
        <f t="shared" si="15"/>
        <v>69.04109589</v>
      </c>
      <c r="Y13" s="50">
        <f t="shared" si="15"/>
        <v>69.04109589</v>
      </c>
      <c r="Z13" s="50">
        <f t="shared" si="15"/>
        <v>69.04109589</v>
      </c>
      <c r="AA13" s="50">
        <f t="shared" si="15"/>
        <v>69.04109589</v>
      </c>
      <c r="AB13" s="50">
        <f t="shared" si="15"/>
        <v>69.04109589</v>
      </c>
    </row>
    <row r="14" ht="15.75" customHeight="1">
      <c r="A14" s="21">
        <f>'Soul Energy Tiers'!K9</f>
        <v>50800</v>
      </c>
      <c r="B14" s="5"/>
      <c r="C14" s="24" t="s">
        <v>25</v>
      </c>
      <c r="D14" s="46">
        <f t="shared" si="5"/>
        <v>139.1780822</v>
      </c>
      <c r="E14" s="5"/>
      <c r="F14" s="24" t="s">
        <v>25</v>
      </c>
      <c r="G14" s="46">
        <f t="shared" ref="G14:O14" si="16">($A14/G$5)/365</f>
        <v>69.5890411</v>
      </c>
      <c r="H14" s="46">
        <f t="shared" si="16"/>
        <v>23.19634703</v>
      </c>
      <c r="I14" s="46">
        <f t="shared" si="16"/>
        <v>69.5890411</v>
      </c>
      <c r="J14" s="46">
        <f t="shared" si="16"/>
        <v>139.1780822</v>
      </c>
      <c r="K14" s="46">
        <f t="shared" si="16"/>
        <v>139.1780822</v>
      </c>
      <c r="L14" s="46">
        <f t="shared" si="16"/>
        <v>139.1780822</v>
      </c>
      <c r="M14" s="46">
        <f t="shared" si="16"/>
        <v>139.1780822</v>
      </c>
      <c r="N14" s="46">
        <f t="shared" si="16"/>
        <v>139.1780822</v>
      </c>
      <c r="O14" s="49">
        <f t="shared" si="16"/>
        <v>139.1780822</v>
      </c>
      <c r="P14" s="50">
        <f t="shared" ref="P14:AB14" si="17">($A14/N$5)/365</f>
        <v>139.1780822</v>
      </c>
      <c r="Q14" s="50">
        <f t="shared" si="17"/>
        <v>139.1780822</v>
      </c>
      <c r="R14" s="50">
        <f t="shared" si="17"/>
        <v>139.1780822</v>
      </c>
      <c r="S14" s="50">
        <f t="shared" si="17"/>
        <v>139.1780822</v>
      </c>
      <c r="T14" s="50">
        <f t="shared" si="17"/>
        <v>139.1780822</v>
      </c>
      <c r="U14" s="50">
        <f t="shared" si="17"/>
        <v>139.1780822</v>
      </c>
      <c r="V14" s="50">
        <f t="shared" si="17"/>
        <v>139.1780822</v>
      </c>
      <c r="W14" s="50">
        <f t="shared" si="17"/>
        <v>139.1780822</v>
      </c>
      <c r="X14" s="50">
        <f t="shared" si="17"/>
        <v>139.1780822</v>
      </c>
      <c r="Y14" s="50">
        <f t="shared" si="17"/>
        <v>139.1780822</v>
      </c>
      <c r="Z14" s="50">
        <f t="shared" si="17"/>
        <v>139.1780822</v>
      </c>
      <c r="AA14" s="50">
        <f t="shared" si="17"/>
        <v>139.1780822</v>
      </c>
      <c r="AB14" s="50">
        <f t="shared" si="17"/>
        <v>139.1780822</v>
      </c>
    </row>
    <row r="15" ht="15.75" customHeight="1">
      <c r="A15" s="21">
        <f>'Soul Energy Tiers'!K10</f>
        <v>102000</v>
      </c>
      <c r="B15" s="5"/>
      <c r="C15" s="24" t="s">
        <v>27</v>
      </c>
      <c r="D15" s="46">
        <f t="shared" si="5"/>
        <v>279.4520548</v>
      </c>
      <c r="E15" s="5"/>
      <c r="F15" s="24" t="s">
        <v>27</v>
      </c>
      <c r="G15" s="46">
        <f t="shared" ref="G15:O15" si="18">($A15/G$5)/365</f>
        <v>139.7260274</v>
      </c>
      <c r="H15" s="46">
        <f t="shared" si="18"/>
        <v>46.57534247</v>
      </c>
      <c r="I15" s="46">
        <f t="shared" si="18"/>
        <v>139.7260274</v>
      </c>
      <c r="J15" s="46">
        <f t="shared" si="18"/>
        <v>279.4520548</v>
      </c>
      <c r="K15" s="46">
        <f t="shared" si="18"/>
        <v>279.4520548</v>
      </c>
      <c r="L15" s="46">
        <f t="shared" si="18"/>
        <v>279.4520548</v>
      </c>
      <c r="M15" s="46">
        <f t="shared" si="18"/>
        <v>279.4520548</v>
      </c>
      <c r="N15" s="46">
        <f t="shared" si="18"/>
        <v>279.4520548</v>
      </c>
      <c r="O15" s="49">
        <f t="shared" si="18"/>
        <v>279.4520548</v>
      </c>
      <c r="P15" s="50">
        <f t="shared" ref="P15:AB15" si="19">($A15/N$5)/365</f>
        <v>279.4520548</v>
      </c>
      <c r="Q15" s="50">
        <f t="shared" si="19"/>
        <v>279.4520548</v>
      </c>
      <c r="R15" s="50">
        <f t="shared" si="19"/>
        <v>279.4520548</v>
      </c>
      <c r="S15" s="50">
        <f t="shared" si="19"/>
        <v>279.4520548</v>
      </c>
      <c r="T15" s="50">
        <f t="shared" si="19"/>
        <v>279.4520548</v>
      </c>
      <c r="U15" s="50">
        <f t="shared" si="19"/>
        <v>279.4520548</v>
      </c>
      <c r="V15" s="50">
        <f t="shared" si="19"/>
        <v>279.4520548</v>
      </c>
      <c r="W15" s="50">
        <f t="shared" si="19"/>
        <v>279.4520548</v>
      </c>
      <c r="X15" s="50">
        <f t="shared" si="19"/>
        <v>279.4520548</v>
      </c>
      <c r="Y15" s="50">
        <f t="shared" si="19"/>
        <v>279.4520548</v>
      </c>
      <c r="Z15" s="50">
        <f t="shared" si="19"/>
        <v>279.4520548</v>
      </c>
      <c r="AA15" s="50">
        <f t="shared" si="19"/>
        <v>279.4520548</v>
      </c>
      <c r="AB15" s="50">
        <f t="shared" si="19"/>
        <v>279.4520548</v>
      </c>
    </row>
    <row r="16" ht="15.75" customHeight="1">
      <c r="A16" s="21">
        <f>'Soul Energy Tiers'!K11</f>
        <v>204400</v>
      </c>
      <c r="B16" s="5"/>
      <c r="C16" s="24" t="s">
        <v>29</v>
      </c>
      <c r="D16" s="46">
        <f t="shared" si="5"/>
        <v>560</v>
      </c>
      <c r="E16" s="5"/>
      <c r="F16" s="24" t="s">
        <v>29</v>
      </c>
      <c r="G16" s="46">
        <f t="shared" ref="G16:O16" si="20">($A16/G$5)/365</f>
        <v>280</v>
      </c>
      <c r="H16" s="46">
        <f t="shared" si="20"/>
        <v>93.33333333</v>
      </c>
      <c r="I16" s="46">
        <f t="shared" si="20"/>
        <v>280</v>
      </c>
      <c r="J16" s="46">
        <f t="shared" si="20"/>
        <v>560</v>
      </c>
      <c r="K16" s="46">
        <f t="shared" si="20"/>
        <v>560</v>
      </c>
      <c r="L16" s="46">
        <f t="shared" si="20"/>
        <v>560</v>
      </c>
      <c r="M16" s="46">
        <f t="shared" si="20"/>
        <v>560</v>
      </c>
      <c r="N16" s="46">
        <f t="shared" si="20"/>
        <v>560</v>
      </c>
      <c r="O16" s="49">
        <f t="shared" si="20"/>
        <v>560</v>
      </c>
      <c r="P16" s="50">
        <f t="shared" ref="P16:AB16" si="21">($A16/N$5)/365</f>
        <v>560</v>
      </c>
      <c r="Q16" s="50">
        <f t="shared" si="21"/>
        <v>560</v>
      </c>
      <c r="R16" s="50">
        <f t="shared" si="21"/>
        <v>560</v>
      </c>
      <c r="S16" s="50">
        <f t="shared" si="21"/>
        <v>560</v>
      </c>
      <c r="T16" s="50">
        <f t="shared" si="21"/>
        <v>560</v>
      </c>
      <c r="U16" s="50">
        <f t="shared" si="21"/>
        <v>560</v>
      </c>
      <c r="V16" s="50">
        <f t="shared" si="21"/>
        <v>560</v>
      </c>
      <c r="W16" s="50">
        <f t="shared" si="21"/>
        <v>560</v>
      </c>
      <c r="X16" s="50">
        <f t="shared" si="21"/>
        <v>560</v>
      </c>
      <c r="Y16" s="50">
        <f t="shared" si="21"/>
        <v>560</v>
      </c>
      <c r="Z16" s="50">
        <f t="shared" si="21"/>
        <v>560</v>
      </c>
      <c r="AA16" s="50">
        <f t="shared" si="21"/>
        <v>560</v>
      </c>
      <c r="AB16" s="50">
        <f t="shared" si="21"/>
        <v>560</v>
      </c>
    </row>
    <row r="17" ht="15.75" customHeight="1">
      <c r="A17" s="21">
        <f>'Soul Energy Tiers'!K12</f>
        <v>409200</v>
      </c>
      <c r="B17" s="5"/>
      <c r="C17" s="24" t="s">
        <v>31</v>
      </c>
      <c r="D17" s="46">
        <f t="shared" si="5"/>
        <v>1121.09589</v>
      </c>
      <c r="E17" s="5"/>
      <c r="F17" s="24" t="s">
        <v>31</v>
      </c>
      <c r="G17" s="46">
        <f t="shared" ref="G17:O17" si="22">($A17/G$5)/365</f>
        <v>560.5479452</v>
      </c>
      <c r="H17" s="46">
        <f t="shared" si="22"/>
        <v>186.8493151</v>
      </c>
      <c r="I17" s="46">
        <f t="shared" si="22"/>
        <v>560.5479452</v>
      </c>
      <c r="J17" s="46">
        <f t="shared" si="22"/>
        <v>1121.09589</v>
      </c>
      <c r="K17" s="46">
        <f t="shared" si="22"/>
        <v>1121.09589</v>
      </c>
      <c r="L17" s="46">
        <f t="shared" si="22"/>
        <v>1121.09589</v>
      </c>
      <c r="M17" s="46">
        <f t="shared" si="22"/>
        <v>1121.09589</v>
      </c>
      <c r="N17" s="46">
        <f t="shared" si="22"/>
        <v>1121.09589</v>
      </c>
      <c r="O17" s="49">
        <f t="shared" si="22"/>
        <v>1121.09589</v>
      </c>
      <c r="P17" s="50">
        <f t="shared" ref="P17:AB17" si="23">($A17/N$5)/365</f>
        <v>1121.09589</v>
      </c>
      <c r="Q17" s="50">
        <f t="shared" si="23"/>
        <v>1121.09589</v>
      </c>
      <c r="R17" s="50">
        <f t="shared" si="23"/>
        <v>1121.09589</v>
      </c>
      <c r="S17" s="50">
        <f t="shared" si="23"/>
        <v>1121.09589</v>
      </c>
      <c r="T17" s="50">
        <f t="shared" si="23"/>
        <v>1121.09589</v>
      </c>
      <c r="U17" s="50">
        <f t="shared" si="23"/>
        <v>1121.09589</v>
      </c>
      <c r="V17" s="50">
        <f t="shared" si="23"/>
        <v>1121.09589</v>
      </c>
      <c r="W17" s="50">
        <f t="shared" si="23"/>
        <v>1121.09589</v>
      </c>
      <c r="X17" s="50">
        <f t="shared" si="23"/>
        <v>1121.09589</v>
      </c>
      <c r="Y17" s="50">
        <f t="shared" si="23"/>
        <v>1121.09589</v>
      </c>
      <c r="Z17" s="50">
        <f t="shared" si="23"/>
        <v>1121.09589</v>
      </c>
      <c r="AA17" s="50">
        <f t="shared" si="23"/>
        <v>1121.09589</v>
      </c>
      <c r="AB17" s="50">
        <f t="shared" si="23"/>
        <v>1121.09589</v>
      </c>
    </row>
    <row r="18" ht="15.75" customHeight="1">
      <c r="A18" s="21">
        <f>'Soul Energy Tiers'!K13</f>
        <v>818800</v>
      </c>
      <c r="B18" s="5"/>
      <c r="C18" s="24" t="s">
        <v>33</v>
      </c>
      <c r="D18" s="46">
        <f t="shared" si="5"/>
        <v>2243.287671</v>
      </c>
      <c r="E18" s="5"/>
      <c r="F18" s="24" t="s">
        <v>33</v>
      </c>
      <c r="G18" s="46">
        <f t="shared" ref="G18:O18" si="24">($A18/G$5)/365</f>
        <v>1121.643836</v>
      </c>
      <c r="H18" s="46">
        <f t="shared" si="24"/>
        <v>373.8812785</v>
      </c>
      <c r="I18" s="46">
        <f t="shared" si="24"/>
        <v>1121.643836</v>
      </c>
      <c r="J18" s="46">
        <f t="shared" si="24"/>
        <v>2243.287671</v>
      </c>
      <c r="K18" s="46">
        <f t="shared" si="24"/>
        <v>2243.287671</v>
      </c>
      <c r="L18" s="46">
        <f t="shared" si="24"/>
        <v>2243.287671</v>
      </c>
      <c r="M18" s="46">
        <f t="shared" si="24"/>
        <v>2243.287671</v>
      </c>
      <c r="N18" s="46">
        <f t="shared" si="24"/>
        <v>2243.287671</v>
      </c>
      <c r="O18" s="49">
        <f t="shared" si="24"/>
        <v>2243.287671</v>
      </c>
      <c r="P18" s="50">
        <f t="shared" ref="P18:AB18" si="25">($A18/N$5)/365</f>
        <v>2243.287671</v>
      </c>
      <c r="Q18" s="50">
        <f t="shared" si="25"/>
        <v>2243.287671</v>
      </c>
      <c r="R18" s="50">
        <f t="shared" si="25"/>
        <v>2243.287671</v>
      </c>
      <c r="S18" s="50">
        <f t="shared" si="25"/>
        <v>2243.287671</v>
      </c>
      <c r="T18" s="50">
        <f t="shared" si="25"/>
        <v>2243.287671</v>
      </c>
      <c r="U18" s="50">
        <f t="shared" si="25"/>
        <v>2243.287671</v>
      </c>
      <c r="V18" s="50">
        <f t="shared" si="25"/>
        <v>2243.287671</v>
      </c>
      <c r="W18" s="50">
        <f t="shared" si="25"/>
        <v>2243.287671</v>
      </c>
      <c r="X18" s="50">
        <f t="shared" si="25"/>
        <v>2243.287671</v>
      </c>
      <c r="Y18" s="50">
        <f t="shared" si="25"/>
        <v>2243.287671</v>
      </c>
      <c r="Z18" s="50">
        <f t="shared" si="25"/>
        <v>2243.287671</v>
      </c>
      <c r="AA18" s="50">
        <f t="shared" si="25"/>
        <v>2243.287671</v>
      </c>
      <c r="AB18" s="50">
        <f t="shared" si="25"/>
        <v>2243.287671</v>
      </c>
    </row>
    <row r="19" ht="15.75" customHeight="1">
      <c r="A19" s="21">
        <f>'Soul Energy Tiers'!K14</f>
        <v>1638000</v>
      </c>
      <c r="B19" s="5"/>
      <c r="C19" s="24" t="s">
        <v>35</v>
      </c>
      <c r="D19" s="46">
        <f t="shared" si="5"/>
        <v>4487.671233</v>
      </c>
      <c r="E19" s="5"/>
      <c r="F19" s="24" t="s">
        <v>35</v>
      </c>
      <c r="G19" s="46">
        <f t="shared" ref="G19:O19" si="26">($A19/G$5)/365</f>
        <v>2243.835616</v>
      </c>
      <c r="H19" s="46">
        <f t="shared" si="26"/>
        <v>747.9452055</v>
      </c>
      <c r="I19" s="46">
        <f t="shared" si="26"/>
        <v>2243.835616</v>
      </c>
      <c r="J19" s="46">
        <f t="shared" si="26"/>
        <v>4487.671233</v>
      </c>
      <c r="K19" s="46">
        <f t="shared" si="26"/>
        <v>4487.671233</v>
      </c>
      <c r="L19" s="46">
        <f t="shared" si="26"/>
        <v>4487.671233</v>
      </c>
      <c r="M19" s="46">
        <f t="shared" si="26"/>
        <v>4487.671233</v>
      </c>
      <c r="N19" s="46">
        <f t="shared" si="26"/>
        <v>4487.671233</v>
      </c>
      <c r="O19" s="49">
        <f t="shared" si="26"/>
        <v>4487.671233</v>
      </c>
      <c r="P19" s="50">
        <f t="shared" ref="P19:AB19" si="27">($A19/N$5)/365</f>
        <v>4487.671233</v>
      </c>
      <c r="Q19" s="50">
        <f t="shared" si="27"/>
        <v>4487.671233</v>
      </c>
      <c r="R19" s="50">
        <f t="shared" si="27"/>
        <v>4487.671233</v>
      </c>
      <c r="S19" s="50">
        <f t="shared" si="27"/>
        <v>4487.671233</v>
      </c>
      <c r="T19" s="50">
        <f t="shared" si="27"/>
        <v>4487.671233</v>
      </c>
      <c r="U19" s="50">
        <f t="shared" si="27"/>
        <v>4487.671233</v>
      </c>
      <c r="V19" s="50">
        <f t="shared" si="27"/>
        <v>4487.671233</v>
      </c>
      <c r="W19" s="50">
        <f t="shared" si="27"/>
        <v>4487.671233</v>
      </c>
      <c r="X19" s="50">
        <f t="shared" si="27"/>
        <v>4487.671233</v>
      </c>
      <c r="Y19" s="50">
        <f t="shared" si="27"/>
        <v>4487.671233</v>
      </c>
      <c r="Z19" s="50">
        <f t="shared" si="27"/>
        <v>4487.671233</v>
      </c>
      <c r="AA19" s="50">
        <f t="shared" si="27"/>
        <v>4487.671233</v>
      </c>
      <c r="AB19" s="50">
        <f t="shared" si="27"/>
        <v>4487.671233</v>
      </c>
    </row>
    <row r="20" ht="15.75" customHeight="1">
      <c r="A20" s="21">
        <f>'Soul Energy Tiers'!K15</f>
        <v>3276400</v>
      </c>
      <c r="B20" s="5"/>
      <c r="C20" s="24" t="s">
        <v>37</v>
      </c>
      <c r="D20" s="46">
        <f t="shared" si="5"/>
        <v>8976.438356</v>
      </c>
      <c r="E20" s="5"/>
      <c r="F20" s="24" t="s">
        <v>37</v>
      </c>
      <c r="G20" s="46">
        <f t="shared" ref="G20:O20" si="28">($A20/G$5)/365</f>
        <v>4488.219178</v>
      </c>
      <c r="H20" s="46">
        <f t="shared" si="28"/>
        <v>1496.073059</v>
      </c>
      <c r="I20" s="46">
        <f t="shared" si="28"/>
        <v>4488.219178</v>
      </c>
      <c r="J20" s="46">
        <f t="shared" si="28"/>
        <v>8976.438356</v>
      </c>
      <c r="K20" s="46">
        <f t="shared" si="28"/>
        <v>8976.438356</v>
      </c>
      <c r="L20" s="46">
        <f t="shared" si="28"/>
        <v>8976.438356</v>
      </c>
      <c r="M20" s="46">
        <f t="shared" si="28"/>
        <v>8976.438356</v>
      </c>
      <c r="N20" s="46">
        <f t="shared" si="28"/>
        <v>8976.438356</v>
      </c>
      <c r="O20" s="49">
        <f t="shared" si="28"/>
        <v>8976.438356</v>
      </c>
      <c r="P20" s="50">
        <f t="shared" ref="P20:AB20" si="29">($A20/N$5)/365</f>
        <v>8976.438356</v>
      </c>
      <c r="Q20" s="50">
        <f t="shared" si="29"/>
        <v>8976.438356</v>
      </c>
      <c r="R20" s="50">
        <f t="shared" si="29"/>
        <v>8976.438356</v>
      </c>
      <c r="S20" s="50">
        <f t="shared" si="29"/>
        <v>8976.438356</v>
      </c>
      <c r="T20" s="50">
        <f t="shared" si="29"/>
        <v>8976.438356</v>
      </c>
      <c r="U20" s="50">
        <f t="shared" si="29"/>
        <v>8976.438356</v>
      </c>
      <c r="V20" s="50">
        <f t="shared" si="29"/>
        <v>8976.438356</v>
      </c>
      <c r="W20" s="50">
        <f t="shared" si="29"/>
        <v>8976.438356</v>
      </c>
      <c r="X20" s="50">
        <f t="shared" si="29"/>
        <v>8976.438356</v>
      </c>
      <c r="Y20" s="50">
        <f t="shared" si="29"/>
        <v>8976.438356</v>
      </c>
      <c r="Z20" s="50">
        <f t="shared" si="29"/>
        <v>8976.438356</v>
      </c>
      <c r="AA20" s="50">
        <f t="shared" si="29"/>
        <v>8976.438356</v>
      </c>
      <c r="AB20" s="50">
        <f t="shared" si="29"/>
        <v>8976.438356</v>
      </c>
    </row>
    <row r="21" ht="15.75" customHeight="1">
      <c r="A21" s="21">
        <f>'Soul Energy Tiers'!K16</f>
        <v>6553200</v>
      </c>
      <c r="B21" s="5"/>
      <c r="C21" s="24" t="s">
        <v>39</v>
      </c>
      <c r="D21" s="46">
        <f t="shared" si="5"/>
        <v>17953.9726</v>
      </c>
      <c r="E21" s="5"/>
      <c r="F21" s="24" t="s">
        <v>39</v>
      </c>
      <c r="G21" s="46">
        <f t="shared" ref="G21:O21" si="30">($A21/G$5)/365</f>
        <v>8976.986301</v>
      </c>
      <c r="H21" s="46">
        <f t="shared" si="30"/>
        <v>2992.328767</v>
      </c>
      <c r="I21" s="46">
        <f t="shared" si="30"/>
        <v>8976.986301</v>
      </c>
      <c r="J21" s="46">
        <f t="shared" si="30"/>
        <v>17953.9726</v>
      </c>
      <c r="K21" s="46">
        <f t="shared" si="30"/>
        <v>17953.9726</v>
      </c>
      <c r="L21" s="46">
        <f t="shared" si="30"/>
        <v>17953.9726</v>
      </c>
      <c r="M21" s="46">
        <f t="shared" si="30"/>
        <v>17953.9726</v>
      </c>
      <c r="N21" s="46">
        <f t="shared" si="30"/>
        <v>17953.9726</v>
      </c>
      <c r="O21" s="49">
        <f t="shared" si="30"/>
        <v>17953.9726</v>
      </c>
      <c r="P21" s="50">
        <f t="shared" ref="P21:AB21" si="31">($A21/N$5)/365</f>
        <v>17953.9726</v>
      </c>
      <c r="Q21" s="50">
        <f t="shared" si="31"/>
        <v>17953.9726</v>
      </c>
      <c r="R21" s="50">
        <f t="shared" si="31"/>
        <v>17953.9726</v>
      </c>
      <c r="S21" s="50">
        <f t="shared" si="31"/>
        <v>17953.9726</v>
      </c>
      <c r="T21" s="50">
        <f t="shared" si="31"/>
        <v>17953.9726</v>
      </c>
      <c r="U21" s="50">
        <f t="shared" si="31"/>
        <v>17953.9726</v>
      </c>
      <c r="V21" s="50">
        <f t="shared" si="31"/>
        <v>17953.9726</v>
      </c>
      <c r="W21" s="50">
        <f t="shared" si="31"/>
        <v>17953.9726</v>
      </c>
      <c r="X21" s="50">
        <f t="shared" si="31"/>
        <v>17953.9726</v>
      </c>
      <c r="Y21" s="50">
        <f t="shared" si="31"/>
        <v>17953.9726</v>
      </c>
      <c r="Z21" s="50">
        <f t="shared" si="31"/>
        <v>17953.9726</v>
      </c>
      <c r="AA21" s="50">
        <f t="shared" si="31"/>
        <v>17953.9726</v>
      </c>
      <c r="AB21" s="50">
        <f t="shared" si="31"/>
        <v>17953.9726</v>
      </c>
    </row>
    <row r="22" ht="15.75" customHeight="1">
      <c r="A22" s="21">
        <f>'Soul Energy Tiers'!K17</f>
        <v>13106800</v>
      </c>
      <c r="B22" s="5"/>
      <c r="C22" s="24" t="s">
        <v>41</v>
      </c>
      <c r="D22" s="46">
        <f t="shared" si="5"/>
        <v>35909.0411</v>
      </c>
      <c r="E22" s="5"/>
      <c r="F22" s="24" t="s">
        <v>41</v>
      </c>
      <c r="G22" s="46">
        <f t="shared" ref="G22:O22" si="32">($A22/G$5)/365</f>
        <v>17954.52055</v>
      </c>
      <c r="H22" s="46">
        <f t="shared" si="32"/>
        <v>5984.840183</v>
      </c>
      <c r="I22" s="46">
        <f t="shared" si="32"/>
        <v>17954.52055</v>
      </c>
      <c r="J22" s="46">
        <f t="shared" si="32"/>
        <v>35909.0411</v>
      </c>
      <c r="K22" s="46">
        <f t="shared" si="32"/>
        <v>35909.0411</v>
      </c>
      <c r="L22" s="46">
        <f t="shared" si="32"/>
        <v>35909.0411</v>
      </c>
      <c r="M22" s="46">
        <f t="shared" si="32"/>
        <v>35909.0411</v>
      </c>
      <c r="N22" s="46">
        <f t="shared" si="32"/>
        <v>35909.0411</v>
      </c>
      <c r="O22" s="49">
        <f t="shared" si="32"/>
        <v>35909.0411</v>
      </c>
      <c r="P22" s="50">
        <f t="shared" ref="P22:AB22" si="33">($A22/N$5)/365</f>
        <v>35909.0411</v>
      </c>
      <c r="Q22" s="50">
        <f t="shared" si="33"/>
        <v>35909.0411</v>
      </c>
      <c r="R22" s="50">
        <f t="shared" si="33"/>
        <v>35909.0411</v>
      </c>
      <c r="S22" s="50">
        <f t="shared" si="33"/>
        <v>35909.0411</v>
      </c>
      <c r="T22" s="50">
        <f t="shared" si="33"/>
        <v>35909.0411</v>
      </c>
      <c r="U22" s="50">
        <f t="shared" si="33"/>
        <v>35909.0411</v>
      </c>
      <c r="V22" s="50">
        <f t="shared" si="33"/>
        <v>35909.0411</v>
      </c>
      <c r="W22" s="50">
        <f t="shared" si="33"/>
        <v>35909.0411</v>
      </c>
      <c r="X22" s="50">
        <f t="shared" si="33"/>
        <v>35909.0411</v>
      </c>
      <c r="Y22" s="50">
        <f t="shared" si="33"/>
        <v>35909.0411</v>
      </c>
      <c r="Z22" s="50">
        <f t="shared" si="33"/>
        <v>35909.0411</v>
      </c>
      <c r="AA22" s="50">
        <f t="shared" si="33"/>
        <v>35909.0411</v>
      </c>
      <c r="AB22" s="50">
        <f t="shared" si="33"/>
        <v>35909.0411</v>
      </c>
    </row>
    <row r="23" ht="15.75" customHeight="1">
      <c r="A23" s="21">
        <f>'Soul Energy Tiers'!K18</f>
        <v>26214000</v>
      </c>
      <c r="B23" s="5"/>
      <c r="C23" s="24" t="s">
        <v>43</v>
      </c>
      <c r="D23" s="46">
        <f t="shared" si="5"/>
        <v>71819.17808</v>
      </c>
      <c r="E23" s="5"/>
      <c r="F23" s="24" t="s">
        <v>43</v>
      </c>
      <c r="G23" s="46">
        <f t="shared" ref="G23:O23" si="34">($A23/G$5)/365</f>
        <v>35909.58904</v>
      </c>
      <c r="H23" s="46">
        <f t="shared" si="34"/>
        <v>11969.86301</v>
      </c>
      <c r="I23" s="46">
        <f t="shared" si="34"/>
        <v>35909.58904</v>
      </c>
      <c r="J23" s="46">
        <f t="shared" si="34"/>
        <v>71819.17808</v>
      </c>
      <c r="K23" s="46">
        <f t="shared" si="34"/>
        <v>71819.17808</v>
      </c>
      <c r="L23" s="46">
        <f t="shared" si="34"/>
        <v>71819.17808</v>
      </c>
      <c r="M23" s="46">
        <f t="shared" si="34"/>
        <v>71819.17808</v>
      </c>
      <c r="N23" s="46">
        <f t="shared" si="34"/>
        <v>71819.17808</v>
      </c>
      <c r="O23" s="49">
        <f t="shared" si="34"/>
        <v>71819.17808</v>
      </c>
      <c r="P23" s="50">
        <f t="shared" ref="P23:AB23" si="35">($A23/N$5)/365</f>
        <v>71819.17808</v>
      </c>
      <c r="Q23" s="50">
        <f t="shared" si="35"/>
        <v>71819.17808</v>
      </c>
      <c r="R23" s="50">
        <f t="shared" si="35"/>
        <v>71819.17808</v>
      </c>
      <c r="S23" s="50">
        <f t="shared" si="35"/>
        <v>71819.17808</v>
      </c>
      <c r="T23" s="50">
        <f t="shared" si="35"/>
        <v>71819.17808</v>
      </c>
      <c r="U23" s="50">
        <f t="shared" si="35"/>
        <v>71819.17808</v>
      </c>
      <c r="V23" s="50">
        <f t="shared" si="35"/>
        <v>71819.17808</v>
      </c>
      <c r="W23" s="50">
        <f t="shared" si="35"/>
        <v>71819.17808</v>
      </c>
      <c r="X23" s="50">
        <f t="shared" si="35"/>
        <v>71819.17808</v>
      </c>
      <c r="Y23" s="50">
        <f t="shared" si="35"/>
        <v>71819.17808</v>
      </c>
      <c r="Z23" s="50">
        <f t="shared" si="35"/>
        <v>71819.17808</v>
      </c>
      <c r="AA23" s="50">
        <f t="shared" si="35"/>
        <v>71819.17808</v>
      </c>
      <c r="AB23" s="50">
        <f t="shared" si="35"/>
        <v>71819.17808</v>
      </c>
    </row>
    <row r="24" ht="15.75" customHeight="1">
      <c r="A24" s="21">
        <f>'Soul Energy Tiers'!K19</f>
        <v>52428400</v>
      </c>
      <c r="B24" s="5"/>
      <c r="C24" s="24" t="s">
        <v>45</v>
      </c>
      <c r="D24" s="46">
        <f t="shared" si="5"/>
        <v>143639.4521</v>
      </c>
      <c r="E24" s="5"/>
      <c r="F24" s="24" t="s">
        <v>45</v>
      </c>
      <c r="G24" s="46">
        <f t="shared" ref="G24:O24" si="36">($A24/G$5)/365</f>
        <v>71819.72603</v>
      </c>
      <c r="H24" s="46">
        <f t="shared" si="36"/>
        <v>23939.90868</v>
      </c>
      <c r="I24" s="46">
        <f t="shared" si="36"/>
        <v>71819.72603</v>
      </c>
      <c r="J24" s="46">
        <f t="shared" si="36"/>
        <v>143639.4521</v>
      </c>
      <c r="K24" s="46">
        <f t="shared" si="36"/>
        <v>143639.4521</v>
      </c>
      <c r="L24" s="46">
        <f t="shared" si="36"/>
        <v>143639.4521</v>
      </c>
      <c r="M24" s="46">
        <f t="shared" si="36"/>
        <v>143639.4521</v>
      </c>
      <c r="N24" s="46">
        <f t="shared" si="36"/>
        <v>143639.4521</v>
      </c>
      <c r="O24" s="49">
        <f t="shared" si="36"/>
        <v>143639.4521</v>
      </c>
      <c r="P24" s="50">
        <f t="shared" ref="P24:AB24" si="37">($A24/N$5)/365</f>
        <v>143639.4521</v>
      </c>
      <c r="Q24" s="50">
        <f t="shared" si="37"/>
        <v>143639.4521</v>
      </c>
      <c r="R24" s="50">
        <f t="shared" si="37"/>
        <v>143639.4521</v>
      </c>
      <c r="S24" s="50">
        <f t="shared" si="37"/>
        <v>143639.4521</v>
      </c>
      <c r="T24" s="50">
        <f t="shared" si="37"/>
        <v>143639.4521</v>
      </c>
      <c r="U24" s="50">
        <f t="shared" si="37"/>
        <v>143639.4521</v>
      </c>
      <c r="V24" s="50">
        <f t="shared" si="37"/>
        <v>143639.4521</v>
      </c>
      <c r="W24" s="50">
        <f t="shared" si="37"/>
        <v>143639.4521</v>
      </c>
      <c r="X24" s="50">
        <f t="shared" si="37"/>
        <v>143639.4521</v>
      </c>
      <c r="Y24" s="50">
        <f t="shared" si="37"/>
        <v>143639.4521</v>
      </c>
      <c r="Z24" s="50">
        <f t="shared" si="37"/>
        <v>143639.4521</v>
      </c>
      <c r="AA24" s="50">
        <f t="shared" si="37"/>
        <v>143639.4521</v>
      </c>
      <c r="AB24" s="50">
        <f t="shared" si="37"/>
        <v>143639.4521</v>
      </c>
    </row>
    <row r="25" ht="15.75" customHeight="1">
      <c r="A25" s="35"/>
      <c r="B25" s="5"/>
      <c r="C25" s="5"/>
      <c r="E25" s="5"/>
      <c r="F25" s="35"/>
      <c r="G25" s="35" t="s">
        <v>74</v>
      </c>
    </row>
    <row r="26" ht="15.75" customHeight="1">
      <c r="A26" s="52" t="s">
        <v>75</v>
      </c>
      <c r="B26" s="5"/>
      <c r="C26" s="10" t="s">
        <v>3</v>
      </c>
      <c r="D26" s="10" t="s">
        <v>55</v>
      </c>
      <c r="E26" s="5"/>
      <c r="F26" s="53" t="s">
        <v>3</v>
      </c>
      <c r="G26" s="45" t="str">
        <f t="shared" ref="G26:AB26" si="38">G7</f>
        <v>Sand Worms</v>
      </c>
      <c r="H26" s="45" t="str">
        <f t="shared" si="38"/>
        <v>Walking Flathead</v>
      </c>
      <c r="I26" s="45" t="str">
        <f t="shared" si="38"/>
        <v>Wood People</v>
      </c>
      <c r="J26" s="45" t="str">
        <f t="shared" si="38"/>
        <v/>
      </c>
      <c r="K26" s="45" t="str">
        <f t="shared" si="38"/>
        <v/>
      </c>
      <c r="L26" s="45" t="str">
        <f t="shared" si="38"/>
        <v/>
      </c>
      <c r="M26" s="45" t="str">
        <f t="shared" si="38"/>
        <v/>
      </c>
      <c r="N26" s="45" t="str">
        <f t="shared" si="38"/>
        <v/>
      </c>
      <c r="O26" s="45" t="str">
        <f t="shared" si="38"/>
        <v/>
      </c>
      <c r="P26" s="45" t="str">
        <f t="shared" si="38"/>
        <v/>
      </c>
      <c r="Q26" s="45" t="str">
        <f t="shared" si="38"/>
        <v/>
      </c>
      <c r="R26" s="45" t="str">
        <f t="shared" si="38"/>
        <v/>
      </c>
      <c r="S26" s="45" t="str">
        <f t="shared" si="38"/>
        <v/>
      </c>
      <c r="T26" s="45" t="str">
        <f t="shared" si="38"/>
        <v/>
      </c>
      <c r="U26" s="45" t="str">
        <f t="shared" si="38"/>
        <v/>
      </c>
      <c r="V26" s="45" t="str">
        <f t="shared" si="38"/>
        <v/>
      </c>
      <c r="W26" s="45" t="str">
        <f t="shared" si="38"/>
        <v/>
      </c>
      <c r="X26" s="45" t="str">
        <f t="shared" si="38"/>
        <v/>
      </c>
      <c r="Y26" s="45" t="str">
        <f t="shared" si="38"/>
        <v/>
      </c>
      <c r="Z26" s="45" t="str">
        <f t="shared" si="38"/>
        <v/>
      </c>
      <c r="AA26" s="45" t="str">
        <f t="shared" si="38"/>
        <v/>
      </c>
      <c r="AB26" s="45" t="str">
        <f t="shared" si="38"/>
        <v/>
      </c>
    </row>
    <row r="27" ht="15.75" customHeight="1">
      <c r="A27" s="21">
        <f>'Soul Energy Tiers'!J3</f>
        <v>20</v>
      </c>
      <c r="B27" s="5"/>
      <c r="C27" s="54" t="s">
        <v>13</v>
      </c>
      <c r="D27" s="23">
        <f t="shared" ref="D27:D43" si="40">$A27/D$5</f>
        <v>20</v>
      </c>
      <c r="E27" s="5"/>
      <c r="F27" s="54" t="s">
        <v>13</v>
      </c>
      <c r="G27" s="32">
        <f t="shared" ref="G27:AB27" si="39">$A27/G$5</f>
        <v>10</v>
      </c>
      <c r="H27" s="32">
        <f t="shared" si="39"/>
        <v>3.333333333</v>
      </c>
      <c r="I27" s="32">
        <f t="shared" si="39"/>
        <v>10</v>
      </c>
      <c r="J27" s="32">
        <f t="shared" si="39"/>
        <v>20</v>
      </c>
      <c r="K27" s="32">
        <f t="shared" si="39"/>
        <v>20</v>
      </c>
      <c r="L27" s="32">
        <f t="shared" si="39"/>
        <v>20</v>
      </c>
      <c r="M27" s="32">
        <f t="shared" si="39"/>
        <v>20</v>
      </c>
      <c r="N27" s="32">
        <f t="shared" si="39"/>
        <v>20</v>
      </c>
      <c r="O27" s="32">
        <f t="shared" si="39"/>
        <v>20</v>
      </c>
      <c r="P27" s="32">
        <f t="shared" si="39"/>
        <v>20</v>
      </c>
      <c r="Q27" s="32">
        <f t="shared" si="39"/>
        <v>20</v>
      </c>
      <c r="R27" s="32">
        <f t="shared" si="39"/>
        <v>20</v>
      </c>
      <c r="S27" s="32">
        <f t="shared" si="39"/>
        <v>20</v>
      </c>
      <c r="T27" s="32">
        <f t="shared" si="39"/>
        <v>20</v>
      </c>
      <c r="U27" s="32">
        <f t="shared" si="39"/>
        <v>20</v>
      </c>
      <c r="V27" s="32">
        <f t="shared" si="39"/>
        <v>20</v>
      </c>
      <c r="W27" s="32">
        <f t="shared" si="39"/>
        <v>20</v>
      </c>
      <c r="X27" s="32">
        <f t="shared" si="39"/>
        <v>20</v>
      </c>
      <c r="Y27" s="32">
        <f t="shared" si="39"/>
        <v>20</v>
      </c>
      <c r="Z27" s="32">
        <f t="shared" si="39"/>
        <v>20</v>
      </c>
      <c r="AA27" s="32">
        <f t="shared" si="39"/>
        <v>20</v>
      </c>
      <c r="AB27" s="32">
        <f t="shared" si="39"/>
        <v>20</v>
      </c>
    </row>
    <row r="28" ht="15.75" customHeight="1">
      <c r="A28" s="21">
        <f>'Soul Energy Tiers'!J4</f>
        <v>40</v>
      </c>
      <c r="B28" s="5"/>
      <c r="C28" s="55" t="s">
        <v>15</v>
      </c>
      <c r="D28" s="32">
        <f t="shared" si="40"/>
        <v>40</v>
      </c>
      <c r="E28" s="5"/>
      <c r="F28" s="55" t="s">
        <v>15</v>
      </c>
      <c r="G28" s="32">
        <f t="shared" ref="G28:AB28" si="41">$A28/G$5</f>
        <v>20</v>
      </c>
      <c r="H28" s="32">
        <f t="shared" si="41"/>
        <v>6.666666667</v>
      </c>
      <c r="I28" s="32">
        <f t="shared" si="41"/>
        <v>20</v>
      </c>
      <c r="J28" s="32">
        <f t="shared" si="41"/>
        <v>40</v>
      </c>
      <c r="K28" s="32">
        <f t="shared" si="41"/>
        <v>40</v>
      </c>
      <c r="L28" s="32">
        <f t="shared" si="41"/>
        <v>40</v>
      </c>
      <c r="M28" s="32">
        <f t="shared" si="41"/>
        <v>40</v>
      </c>
      <c r="N28" s="32">
        <f t="shared" si="41"/>
        <v>40</v>
      </c>
      <c r="O28" s="32">
        <f t="shared" si="41"/>
        <v>40</v>
      </c>
      <c r="P28" s="32">
        <f t="shared" si="41"/>
        <v>40</v>
      </c>
      <c r="Q28" s="32">
        <f t="shared" si="41"/>
        <v>40</v>
      </c>
      <c r="R28" s="32">
        <f t="shared" si="41"/>
        <v>40</v>
      </c>
      <c r="S28" s="32">
        <f t="shared" si="41"/>
        <v>40</v>
      </c>
      <c r="T28" s="32">
        <f t="shared" si="41"/>
        <v>40</v>
      </c>
      <c r="U28" s="32">
        <f t="shared" si="41"/>
        <v>40</v>
      </c>
      <c r="V28" s="32">
        <f t="shared" si="41"/>
        <v>40</v>
      </c>
      <c r="W28" s="32">
        <f t="shared" si="41"/>
        <v>40</v>
      </c>
      <c r="X28" s="32">
        <f t="shared" si="41"/>
        <v>40</v>
      </c>
      <c r="Y28" s="32">
        <f t="shared" si="41"/>
        <v>40</v>
      </c>
      <c r="Z28" s="32">
        <f t="shared" si="41"/>
        <v>40</v>
      </c>
      <c r="AA28" s="32">
        <f t="shared" si="41"/>
        <v>40</v>
      </c>
      <c r="AB28" s="32">
        <f t="shared" si="41"/>
        <v>40</v>
      </c>
    </row>
    <row r="29" ht="15.75" customHeight="1">
      <c r="A29" s="21">
        <f>'Soul Energy Tiers'!J5</f>
        <v>80</v>
      </c>
      <c r="B29" s="5"/>
      <c r="C29" s="55" t="s">
        <v>17</v>
      </c>
      <c r="D29" s="32">
        <f t="shared" si="40"/>
        <v>80</v>
      </c>
      <c r="E29" s="5"/>
      <c r="F29" s="55" t="s">
        <v>17</v>
      </c>
      <c r="G29" s="32">
        <f t="shared" ref="G29:AB29" si="42">$A29/G$5</f>
        <v>40</v>
      </c>
      <c r="H29" s="32">
        <f t="shared" si="42"/>
        <v>13.33333333</v>
      </c>
      <c r="I29" s="32">
        <f t="shared" si="42"/>
        <v>40</v>
      </c>
      <c r="J29" s="32">
        <f t="shared" si="42"/>
        <v>80</v>
      </c>
      <c r="K29" s="32">
        <f t="shared" si="42"/>
        <v>80</v>
      </c>
      <c r="L29" s="32">
        <f t="shared" si="42"/>
        <v>80</v>
      </c>
      <c r="M29" s="32">
        <f t="shared" si="42"/>
        <v>80</v>
      </c>
      <c r="N29" s="32">
        <f t="shared" si="42"/>
        <v>80</v>
      </c>
      <c r="O29" s="32">
        <f t="shared" si="42"/>
        <v>80</v>
      </c>
      <c r="P29" s="32">
        <f t="shared" si="42"/>
        <v>80</v>
      </c>
      <c r="Q29" s="32">
        <f t="shared" si="42"/>
        <v>80</v>
      </c>
      <c r="R29" s="32">
        <f t="shared" si="42"/>
        <v>80</v>
      </c>
      <c r="S29" s="32">
        <f t="shared" si="42"/>
        <v>80</v>
      </c>
      <c r="T29" s="32">
        <f t="shared" si="42"/>
        <v>80</v>
      </c>
      <c r="U29" s="32">
        <f t="shared" si="42"/>
        <v>80</v>
      </c>
      <c r="V29" s="32">
        <f t="shared" si="42"/>
        <v>80</v>
      </c>
      <c r="W29" s="32">
        <f t="shared" si="42"/>
        <v>80</v>
      </c>
      <c r="X29" s="32">
        <f t="shared" si="42"/>
        <v>80</v>
      </c>
      <c r="Y29" s="32">
        <f t="shared" si="42"/>
        <v>80</v>
      </c>
      <c r="Z29" s="32">
        <f t="shared" si="42"/>
        <v>80</v>
      </c>
      <c r="AA29" s="32">
        <f t="shared" si="42"/>
        <v>80</v>
      </c>
      <c r="AB29" s="32">
        <f t="shared" si="42"/>
        <v>80</v>
      </c>
    </row>
    <row r="30" ht="15.75" customHeight="1">
      <c r="A30" s="21">
        <f>'Soul Energy Tiers'!J6</f>
        <v>160</v>
      </c>
      <c r="B30" s="5"/>
      <c r="C30" s="55" t="s">
        <v>19</v>
      </c>
      <c r="D30" s="32">
        <f t="shared" si="40"/>
        <v>160</v>
      </c>
      <c r="E30" s="5"/>
      <c r="F30" s="55" t="s">
        <v>19</v>
      </c>
      <c r="G30" s="32">
        <f t="shared" ref="G30:AB30" si="43">$A30/G$5</f>
        <v>80</v>
      </c>
      <c r="H30" s="32">
        <f t="shared" si="43"/>
        <v>26.66666667</v>
      </c>
      <c r="I30" s="32">
        <f t="shared" si="43"/>
        <v>80</v>
      </c>
      <c r="J30" s="32">
        <f t="shared" si="43"/>
        <v>160</v>
      </c>
      <c r="K30" s="32">
        <f t="shared" si="43"/>
        <v>160</v>
      </c>
      <c r="L30" s="32">
        <f t="shared" si="43"/>
        <v>160</v>
      </c>
      <c r="M30" s="32">
        <f t="shared" si="43"/>
        <v>160</v>
      </c>
      <c r="N30" s="32">
        <f t="shared" si="43"/>
        <v>160</v>
      </c>
      <c r="O30" s="32">
        <f t="shared" si="43"/>
        <v>160</v>
      </c>
      <c r="P30" s="32">
        <f t="shared" si="43"/>
        <v>160</v>
      </c>
      <c r="Q30" s="32">
        <f t="shared" si="43"/>
        <v>160</v>
      </c>
      <c r="R30" s="32">
        <f t="shared" si="43"/>
        <v>160</v>
      </c>
      <c r="S30" s="32">
        <f t="shared" si="43"/>
        <v>160</v>
      </c>
      <c r="T30" s="32">
        <f t="shared" si="43"/>
        <v>160</v>
      </c>
      <c r="U30" s="32">
        <f t="shared" si="43"/>
        <v>160</v>
      </c>
      <c r="V30" s="32">
        <f t="shared" si="43"/>
        <v>160</v>
      </c>
      <c r="W30" s="32">
        <f t="shared" si="43"/>
        <v>160</v>
      </c>
      <c r="X30" s="32">
        <f t="shared" si="43"/>
        <v>160</v>
      </c>
      <c r="Y30" s="32">
        <f t="shared" si="43"/>
        <v>160</v>
      </c>
      <c r="Z30" s="32">
        <f t="shared" si="43"/>
        <v>160</v>
      </c>
      <c r="AA30" s="32">
        <f t="shared" si="43"/>
        <v>160</v>
      </c>
      <c r="AB30" s="32">
        <f t="shared" si="43"/>
        <v>160</v>
      </c>
    </row>
    <row r="31" ht="15.75" customHeight="1">
      <c r="A31" s="21">
        <f>'Soul Energy Tiers'!J7</f>
        <v>320</v>
      </c>
      <c r="B31" s="5"/>
      <c r="C31" s="55" t="s">
        <v>21</v>
      </c>
      <c r="D31" s="32">
        <f t="shared" si="40"/>
        <v>320</v>
      </c>
      <c r="E31" s="5"/>
      <c r="F31" s="55" t="s">
        <v>21</v>
      </c>
      <c r="G31" s="32">
        <f t="shared" ref="G31:AB31" si="44">$A31/G$5</f>
        <v>160</v>
      </c>
      <c r="H31" s="32">
        <f t="shared" si="44"/>
        <v>53.33333333</v>
      </c>
      <c r="I31" s="32">
        <f t="shared" si="44"/>
        <v>160</v>
      </c>
      <c r="J31" s="32">
        <f t="shared" si="44"/>
        <v>320</v>
      </c>
      <c r="K31" s="32">
        <f t="shared" si="44"/>
        <v>320</v>
      </c>
      <c r="L31" s="32">
        <f t="shared" si="44"/>
        <v>320</v>
      </c>
      <c r="M31" s="32">
        <f t="shared" si="44"/>
        <v>320</v>
      </c>
      <c r="N31" s="32">
        <f t="shared" si="44"/>
        <v>320</v>
      </c>
      <c r="O31" s="32">
        <f t="shared" si="44"/>
        <v>320</v>
      </c>
      <c r="P31" s="32">
        <f t="shared" si="44"/>
        <v>320</v>
      </c>
      <c r="Q31" s="32">
        <f t="shared" si="44"/>
        <v>320</v>
      </c>
      <c r="R31" s="32">
        <f t="shared" si="44"/>
        <v>320</v>
      </c>
      <c r="S31" s="32">
        <f t="shared" si="44"/>
        <v>320</v>
      </c>
      <c r="T31" s="32">
        <f t="shared" si="44"/>
        <v>320</v>
      </c>
      <c r="U31" s="32">
        <f t="shared" si="44"/>
        <v>320</v>
      </c>
      <c r="V31" s="32">
        <f t="shared" si="44"/>
        <v>320</v>
      </c>
      <c r="W31" s="32">
        <f t="shared" si="44"/>
        <v>320</v>
      </c>
      <c r="X31" s="32">
        <f t="shared" si="44"/>
        <v>320</v>
      </c>
      <c r="Y31" s="32">
        <f t="shared" si="44"/>
        <v>320</v>
      </c>
      <c r="Z31" s="32">
        <f t="shared" si="44"/>
        <v>320</v>
      </c>
      <c r="AA31" s="32">
        <f t="shared" si="44"/>
        <v>320</v>
      </c>
      <c r="AB31" s="32">
        <f t="shared" si="44"/>
        <v>320</v>
      </c>
    </row>
    <row r="32" ht="15.75" customHeight="1">
      <c r="A32" s="21">
        <f>'Soul Energy Tiers'!J8</f>
        <v>640</v>
      </c>
      <c r="B32" s="5"/>
      <c r="C32" s="55" t="s">
        <v>23</v>
      </c>
      <c r="D32" s="32">
        <f t="shared" si="40"/>
        <v>640</v>
      </c>
      <c r="E32" s="5"/>
      <c r="F32" s="55" t="s">
        <v>23</v>
      </c>
      <c r="G32" s="32">
        <f t="shared" ref="G32:AB32" si="45">$A32/G$5</f>
        <v>320</v>
      </c>
      <c r="H32" s="32">
        <f t="shared" si="45"/>
        <v>106.6666667</v>
      </c>
      <c r="I32" s="32">
        <f t="shared" si="45"/>
        <v>320</v>
      </c>
      <c r="J32" s="32">
        <f t="shared" si="45"/>
        <v>640</v>
      </c>
      <c r="K32" s="32">
        <f t="shared" si="45"/>
        <v>640</v>
      </c>
      <c r="L32" s="32">
        <f t="shared" si="45"/>
        <v>640</v>
      </c>
      <c r="M32" s="32">
        <f t="shared" si="45"/>
        <v>640</v>
      </c>
      <c r="N32" s="32">
        <f t="shared" si="45"/>
        <v>640</v>
      </c>
      <c r="O32" s="32">
        <f t="shared" si="45"/>
        <v>640</v>
      </c>
      <c r="P32" s="32">
        <f t="shared" si="45"/>
        <v>640</v>
      </c>
      <c r="Q32" s="32">
        <f t="shared" si="45"/>
        <v>640</v>
      </c>
      <c r="R32" s="32">
        <f t="shared" si="45"/>
        <v>640</v>
      </c>
      <c r="S32" s="32">
        <f t="shared" si="45"/>
        <v>640</v>
      </c>
      <c r="T32" s="32">
        <f t="shared" si="45"/>
        <v>640</v>
      </c>
      <c r="U32" s="32">
        <f t="shared" si="45"/>
        <v>640</v>
      </c>
      <c r="V32" s="32">
        <f t="shared" si="45"/>
        <v>640</v>
      </c>
      <c r="W32" s="32">
        <f t="shared" si="45"/>
        <v>640</v>
      </c>
      <c r="X32" s="32">
        <f t="shared" si="45"/>
        <v>640</v>
      </c>
      <c r="Y32" s="32">
        <f t="shared" si="45"/>
        <v>640</v>
      </c>
      <c r="Z32" s="32">
        <f t="shared" si="45"/>
        <v>640</v>
      </c>
      <c r="AA32" s="32">
        <f t="shared" si="45"/>
        <v>640</v>
      </c>
      <c r="AB32" s="32">
        <f t="shared" si="45"/>
        <v>640</v>
      </c>
    </row>
    <row r="33" ht="15.75" customHeight="1">
      <c r="A33" s="21">
        <f>'Soul Energy Tiers'!J9</f>
        <v>1280</v>
      </c>
      <c r="B33" s="5"/>
      <c r="C33" s="55" t="s">
        <v>25</v>
      </c>
      <c r="D33" s="32">
        <f t="shared" si="40"/>
        <v>1280</v>
      </c>
      <c r="E33" s="5"/>
      <c r="F33" s="55" t="s">
        <v>25</v>
      </c>
      <c r="G33" s="32">
        <f t="shared" ref="G33:AB33" si="46">$A33/G$5</f>
        <v>640</v>
      </c>
      <c r="H33" s="32">
        <f t="shared" si="46"/>
        <v>213.3333333</v>
      </c>
      <c r="I33" s="32">
        <f t="shared" si="46"/>
        <v>640</v>
      </c>
      <c r="J33" s="32">
        <f t="shared" si="46"/>
        <v>1280</v>
      </c>
      <c r="K33" s="32">
        <f t="shared" si="46"/>
        <v>1280</v>
      </c>
      <c r="L33" s="32">
        <f t="shared" si="46"/>
        <v>1280</v>
      </c>
      <c r="M33" s="32">
        <f t="shared" si="46"/>
        <v>1280</v>
      </c>
      <c r="N33" s="32">
        <f t="shared" si="46"/>
        <v>1280</v>
      </c>
      <c r="O33" s="32">
        <f t="shared" si="46"/>
        <v>1280</v>
      </c>
      <c r="P33" s="32">
        <f t="shared" si="46"/>
        <v>1280</v>
      </c>
      <c r="Q33" s="32">
        <f t="shared" si="46"/>
        <v>1280</v>
      </c>
      <c r="R33" s="32">
        <f t="shared" si="46"/>
        <v>1280</v>
      </c>
      <c r="S33" s="32">
        <f t="shared" si="46"/>
        <v>1280</v>
      </c>
      <c r="T33" s="32">
        <f t="shared" si="46"/>
        <v>1280</v>
      </c>
      <c r="U33" s="32">
        <f t="shared" si="46"/>
        <v>1280</v>
      </c>
      <c r="V33" s="32">
        <f t="shared" si="46"/>
        <v>1280</v>
      </c>
      <c r="W33" s="32">
        <f t="shared" si="46"/>
        <v>1280</v>
      </c>
      <c r="X33" s="32">
        <f t="shared" si="46"/>
        <v>1280</v>
      </c>
      <c r="Y33" s="32">
        <f t="shared" si="46"/>
        <v>1280</v>
      </c>
      <c r="Z33" s="32">
        <f t="shared" si="46"/>
        <v>1280</v>
      </c>
      <c r="AA33" s="32">
        <f t="shared" si="46"/>
        <v>1280</v>
      </c>
      <c r="AB33" s="32">
        <f t="shared" si="46"/>
        <v>1280</v>
      </c>
    </row>
    <row r="34" ht="15.75" customHeight="1">
      <c r="A34" s="21">
        <f>'Soul Energy Tiers'!J10</f>
        <v>2560</v>
      </c>
      <c r="B34" s="5"/>
      <c r="C34" s="55" t="s">
        <v>27</v>
      </c>
      <c r="D34" s="32">
        <f t="shared" si="40"/>
        <v>2560</v>
      </c>
      <c r="E34" s="5"/>
      <c r="F34" s="55" t="s">
        <v>27</v>
      </c>
      <c r="G34" s="32">
        <f t="shared" ref="G34:AB34" si="47">$A34/G$5</f>
        <v>1280</v>
      </c>
      <c r="H34" s="32">
        <f t="shared" si="47"/>
        <v>426.6666667</v>
      </c>
      <c r="I34" s="32">
        <f t="shared" si="47"/>
        <v>1280</v>
      </c>
      <c r="J34" s="32">
        <f t="shared" si="47"/>
        <v>2560</v>
      </c>
      <c r="K34" s="32">
        <f t="shared" si="47"/>
        <v>2560</v>
      </c>
      <c r="L34" s="32">
        <f t="shared" si="47"/>
        <v>2560</v>
      </c>
      <c r="M34" s="32">
        <f t="shared" si="47"/>
        <v>2560</v>
      </c>
      <c r="N34" s="32">
        <f t="shared" si="47"/>
        <v>2560</v>
      </c>
      <c r="O34" s="32">
        <f t="shared" si="47"/>
        <v>2560</v>
      </c>
      <c r="P34" s="32">
        <f t="shared" si="47"/>
        <v>2560</v>
      </c>
      <c r="Q34" s="32">
        <f t="shared" si="47"/>
        <v>2560</v>
      </c>
      <c r="R34" s="32">
        <f t="shared" si="47"/>
        <v>2560</v>
      </c>
      <c r="S34" s="32">
        <f t="shared" si="47"/>
        <v>2560</v>
      </c>
      <c r="T34" s="32">
        <f t="shared" si="47"/>
        <v>2560</v>
      </c>
      <c r="U34" s="32">
        <f t="shared" si="47"/>
        <v>2560</v>
      </c>
      <c r="V34" s="32">
        <f t="shared" si="47"/>
        <v>2560</v>
      </c>
      <c r="W34" s="32">
        <f t="shared" si="47"/>
        <v>2560</v>
      </c>
      <c r="X34" s="32">
        <f t="shared" si="47"/>
        <v>2560</v>
      </c>
      <c r="Y34" s="32">
        <f t="shared" si="47"/>
        <v>2560</v>
      </c>
      <c r="Z34" s="32">
        <f t="shared" si="47"/>
        <v>2560</v>
      </c>
      <c r="AA34" s="32">
        <f t="shared" si="47"/>
        <v>2560</v>
      </c>
      <c r="AB34" s="32">
        <f t="shared" si="47"/>
        <v>2560</v>
      </c>
    </row>
    <row r="35" ht="15.75" customHeight="1">
      <c r="A35" s="21">
        <f>'Soul Energy Tiers'!J11</f>
        <v>5120</v>
      </c>
      <c r="B35" s="5"/>
      <c r="C35" s="55" t="s">
        <v>29</v>
      </c>
      <c r="D35" s="32">
        <f t="shared" si="40"/>
        <v>5120</v>
      </c>
      <c r="E35" s="5"/>
      <c r="F35" s="55" t="s">
        <v>29</v>
      </c>
      <c r="G35" s="32">
        <f t="shared" ref="G35:AB35" si="48">$A35/G$5</f>
        <v>2560</v>
      </c>
      <c r="H35" s="32">
        <f t="shared" si="48"/>
        <v>853.3333333</v>
      </c>
      <c r="I35" s="32">
        <f t="shared" si="48"/>
        <v>2560</v>
      </c>
      <c r="J35" s="32">
        <f t="shared" si="48"/>
        <v>5120</v>
      </c>
      <c r="K35" s="32">
        <f t="shared" si="48"/>
        <v>5120</v>
      </c>
      <c r="L35" s="32">
        <f t="shared" si="48"/>
        <v>5120</v>
      </c>
      <c r="M35" s="32">
        <f t="shared" si="48"/>
        <v>5120</v>
      </c>
      <c r="N35" s="32">
        <f t="shared" si="48"/>
        <v>5120</v>
      </c>
      <c r="O35" s="32">
        <f t="shared" si="48"/>
        <v>5120</v>
      </c>
      <c r="P35" s="32">
        <f t="shared" si="48"/>
        <v>5120</v>
      </c>
      <c r="Q35" s="32">
        <f t="shared" si="48"/>
        <v>5120</v>
      </c>
      <c r="R35" s="32">
        <f t="shared" si="48"/>
        <v>5120</v>
      </c>
      <c r="S35" s="32">
        <f t="shared" si="48"/>
        <v>5120</v>
      </c>
      <c r="T35" s="32">
        <f t="shared" si="48"/>
        <v>5120</v>
      </c>
      <c r="U35" s="32">
        <f t="shared" si="48"/>
        <v>5120</v>
      </c>
      <c r="V35" s="32">
        <f t="shared" si="48"/>
        <v>5120</v>
      </c>
      <c r="W35" s="32">
        <f t="shared" si="48"/>
        <v>5120</v>
      </c>
      <c r="X35" s="32">
        <f t="shared" si="48"/>
        <v>5120</v>
      </c>
      <c r="Y35" s="32">
        <f t="shared" si="48"/>
        <v>5120</v>
      </c>
      <c r="Z35" s="32">
        <f t="shared" si="48"/>
        <v>5120</v>
      </c>
      <c r="AA35" s="32">
        <f t="shared" si="48"/>
        <v>5120</v>
      </c>
      <c r="AB35" s="32">
        <f t="shared" si="48"/>
        <v>5120</v>
      </c>
    </row>
    <row r="36" ht="15.75" customHeight="1">
      <c r="A36" s="21">
        <f>'Soul Energy Tiers'!J12</f>
        <v>10240</v>
      </c>
      <c r="B36" s="5"/>
      <c r="C36" s="55" t="s">
        <v>31</v>
      </c>
      <c r="D36" s="32">
        <f t="shared" si="40"/>
        <v>10240</v>
      </c>
      <c r="E36" s="5"/>
      <c r="F36" s="55" t="s">
        <v>31</v>
      </c>
      <c r="G36" s="32">
        <f t="shared" ref="G36:AB36" si="49">$A36/G$5</f>
        <v>5120</v>
      </c>
      <c r="H36" s="32">
        <f t="shared" si="49"/>
        <v>1706.666667</v>
      </c>
      <c r="I36" s="32">
        <f t="shared" si="49"/>
        <v>5120</v>
      </c>
      <c r="J36" s="32">
        <f t="shared" si="49"/>
        <v>10240</v>
      </c>
      <c r="K36" s="32">
        <f t="shared" si="49"/>
        <v>10240</v>
      </c>
      <c r="L36" s="32">
        <f t="shared" si="49"/>
        <v>10240</v>
      </c>
      <c r="M36" s="32">
        <f t="shared" si="49"/>
        <v>10240</v>
      </c>
      <c r="N36" s="32">
        <f t="shared" si="49"/>
        <v>10240</v>
      </c>
      <c r="O36" s="32">
        <f t="shared" si="49"/>
        <v>10240</v>
      </c>
      <c r="P36" s="32">
        <f t="shared" si="49"/>
        <v>10240</v>
      </c>
      <c r="Q36" s="32">
        <f t="shared" si="49"/>
        <v>10240</v>
      </c>
      <c r="R36" s="32">
        <f t="shared" si="49"/>
        <v>10240</v>
      </c>
      <c r="S36" s="32">
        <f t="shared" si="49"/>
        <v>10240</v>
      </c>
      <c r="T36" s="32">
        <f t="shared" si="49"/>
        <v>10240</v>
      </c>
      <c r="U36" s="32">
        <f t="shared" si="49"/>
        <v>10240</v>
      </c>
      <c r="V36" s="32">
        <f t="shared" si="49"/>
        <v>10240</v>
      </c>
      <c r="W36" s="32">
        <f t="shared" si="49"/>
        <v>10240</v>
      </c>
      <c r="X36" s="32">
        <f t="shared" si="49"/>
        <v>10240</v>
      </c>
      <c r="Y36" s="32">
        <f t="shared" si="49"/>
        <v>10240</v>
      </c>
      <c r="Z36" s="32">
        <f t="shared" si="49"/>
        <v>10240</v>
      </c>
      <c r="AA36" s="32">
        <f t="shared" si="49"/>
        <v>10240</v>
      </c>
      <c r="AB36" s="32">
        <f t="shared" si="49"/>
        <v>10240</v>
      </c>
    </row>
    <row r="37" ht="15.75" customHeight="1">
      <c r="A37" s="21">
        <f>'Soul Energy Tiers'!J13</f>
        <v>20480</v>
      </c>
      <c r="B37" s="5"/>
      <c r="C37" s="55" t="s">
        <v>33</v>
      </c>
      <c r="D37" s="32">
        <f t="shared" si="40"/>
        <v>20480</v>
      </c>
      <c r="E37" s="5"/>
      <c r="F37" s="55" t="s">
        <v>33</v>
      </c>
      <c r="G37" s="32">
        <f t="shared" ref="G37:AB37" si="50">$A37/G$5</f>
        <v>10240</v>
      </c>
      <c r="H37" s="32">
        <f t="shared" si="50"/>
        <v>3413.333333</v>
      </c>
      <c r="I37" s="32">
        <f t="shared" si="50"/>
        <v>10240</v>
      </c>
      <c r="J37" s="32">
        <f t="shared" si="50"/>
        <v>20480</v>
      </c>
      <c r="K37" s="32">
        <f t="shared" si="50"/>
        <v>20480</v>
      </c>
      <c r="L37" s="32">
        <f t="shared" si="50"/>
        <v>20480</v>
      </c>
      <c r="M37" s="32">
        <f t="shared" si="50"/>
        <v>20480</v>
      </c>
      <c r="N37" s="32">
        <f t="shared" si="50"/>
        <v>20480</v>
      </c>
      <c r="O37" s="32">
        <f t="shared" si="50"/>
        <v>20480</v>
      </c>
      <c r="P37" s="32">
        <f t="shared" si="50"/>
        <v>20480</v>
      </c>
      <c r="Q37" s="32">
        <f t="shared" si="50"/>
        <v>20480</v>
      </c>
      <c r="R37" s="32">
        <f t="shared" si="50"/>
        <v>20480</v>
      </c>
      <c r="S37" s="32">
        <f t="shared" si="50"/>
        <v>20480</v>
      </c>
      <c r="T37" s="32">
        <f t="shared" si="50"/>
        <v>20480</v>
      </c>
      <c r="U37" s="32">
        <f t="shared" si="50"/>
        <v>20480</v>
      </c>
      <c r="V37" s="32">
        <f t="shared" si="50"/>
        <v>20480</v>
      </c>
      <c r="W37" s="32">
        <f t="shared" si="50"/>
        <v>20480</v>
      </c>
      <c r="X37" s="32">
        <f t="shared" si="50"/>
        <v>20480</v>
      </c>
      <c r="Y37" s="32">
        <f t="shared" si="50"/>
        <v>20480</v>
      </c>
      <c r="Z37" s="32">
        <f t="shared" si="50"/>
        <v>20480</v>
      </c>
      <c r="AA37" s="32">
        <f t="shared" si="50"/>
        <v>20480</v>
      </c>
      <c r="AB37" s="32">
        <f t="shared" si="50"/>
        <v>20480</v>
      </c>
    </row>
    <row r="38" ht="15.75" customHeight="1">
      <c r="A38" s="21">
        <f>'Soul Energy Tiers'!J14</f>
        <v>40960</v>
      </c>
      <c r="B38" s="5"/>
      <c r="C38" s="55" t="s">
        <v>35</v>
      </c>
      <c r="D38" s="32">
        <f t="shared" si="40"/>
        <v>40960</v>
      </c>
      <c r="E38" s="5"/>
      <c r="F38" s="55" t="s">
        <v>35</v>
      </c>
      <c r="G38" s="32">
        <f t="shared" ref="G38:AB38" si="51">$A38/G$5</f>
        <v>20480</v>
      </c>
      <c r="H38" s="32">
        <f t="shared" si="51"/>
        <v>6826.666667</v>
      </c>
      <c r="I38" s="32">
        <f t="shared" si="51"/>
        <v>20480</v>
      </c>
      <c r="J38" s="32">
        <f t="shared" si="51"/>
        <v>40960</v>
      </c>
      <c r="K38" s="32">
        <f t="shared" si="51"/>
        <v>40960</v>
      </c>
      <c r="L38" s="32">
        <f t="shared" si="51"/>
        <v>40960</v>
      </c>
      <c r="M38" s="32">
        <f t="shared" si="51"/>
        <v>40960</v>
      </c>
      <c r="N38" s="32">
        <f t="shared" si="51"/>
        <v>40960</v>
      </c>
      <c r="O38" s="32">
        <f t="shared" si="51"/>
        <v>40960</v>
      </c>
      <c r="P38" s="32">
        <f t="shared" si="51"/>
        <v>40960</v>
      </c>
      <c r="Q38" s="32">
        <f t="shared" si="51"/>
        <v>40960</v>
      </c>
      <c r="R38" s="32">
        <f t="shared" si="51"/>
        <v>40960</v>
      </c>
      <c r="S38" s="32">
        <f t="shared" si="51"/>
        <v>40960</v>
      </c>
      <c r="T38" s="32">
        <f t="shared" si="51"/>
        <v>40960</v>
      </c>
      <c r="U38" s="32">
        <f t="shared" si="51"/>
        <v>40960</v>
      </c>
      <c r="V38" s="32">
        <f t="shared" si="51"/>
        <v>40960</v>
      </c>
      <c r="W38" s="32">
        <f t="shared" si="51"/>
        <v>40960</v>
      </c>
      <c r="X38" s="32">
        <f t="shared" si="51"/>
        <v>40960</v>
      </c>
      <c r="Y38" s="32">
        <f t="shared" si="51"/>
        <v>40960</v>
      </c>
      <c r="Z38" s="32">
        <f t="shared" si="51"/>
        <v>40960</v>
      </c>
      <c r="AA38" s="32">
        <f t="shared" si="51"/>
        <v>40960</v>
      </c>
      <c r="AB38" s="32">
        <f t="shared" si="51"/>
        <v>40960</v>
      </c>
    </row>
    <row r="39" ht="15.75" customHeight="1">
      <c r="A39" s="21">
        <f>'Soul Energy Tiers'!J15</f>
        <v>81920</v>
      </c>
      <c r="B39" s="5"/>
      <c r="C39" s="55" t="s">
        <v>37</v>
      </c>
      <c r="D39" s="32">
        <f t="shared" si="40"/>
        <v>81920</v>
      </c>
      <c r="E39" s="5"/>
      <c r="F39" s="55" t="s">
        <v>37</v>
      </c>
      <c r="G39" s="32">
        <f t="shared" ref="G39:AB39" si="52">$A39/G$5</f>
        <v>40960</v>
      </c>
      <c r="H39" s="32">
        <f t="shared" si="52"/>
        <v>13653.33333</v>
      </c>
      <c r="I39" s="32">
        <f t="shared" si="52"/>
        <v>40960</v>
      </c>
      <c r="J39" s="32">
        <f t="shared" si="52"/>
        <v>81920</v>
      </c>
      <c r="K39" s="32">
        <f t="shared" si="52"/>
        <v>81920</v>
      </c>
      <c r="L39" s="32">
        <f t="shared" si="52"/>
        <v>81920</v>
      </c>
      <c r="M39" s="32">
        <f t="shared" si="52"/>
        <v>81920</v>
      </c>
      <c r="N39" s="32">
        <f t="shared" si="52"/>
        <v>81920</v>
      </c>
      <c r="O39" s="32">
        <f t="shared" si="52"/>
        <v>81920</v>
      </c>
      <c r="P39" s="32">
        <f t="shared" si="52"/>
        <v>81920</v>
      </c>
      <c r="Q39" s="32">
        <f t="shared" si="52"/>
        <v>81920</v>
      </c>
      <c r="R39" s="32">
        <f t="shared" si="52"/>
        <v>81920</v>
      </c>
      <c r="S39" s="32">
        <f t="shared" si="52"/>
        <v>81920</v>
      </c>
      <c r="T39" s="32">
        <f t="shared" si="52"/>
        <v>81920</v>
      </c>
      <c r="U39" s="32">
        <f t="shared" si="52"/>
        <v>81920</v>
      </c>
      <c r="V39" s="32">
        <f t="shared" si="52"/>
        <v>81920</v>
      </c>
      <c r="W39" s="32">
        <f t="shared" si="52"/>
        <v>81920</v>
      </c>
      <c r="X39" s="32">
        <f t="shared" si="52"/>
        <v>81920</v>
      </c>
      <c r="Y39" s="32">
        <f t="shared" si="52"/>
        <v>81920</v>
      </c>
      <c r="Z39" s="32">
        <f t="shared" si="52"/>
        <v>81920</v>
      </c>
      <c r="AA39" s="32">
        <f t="shared" si="52"/>
        <v>81920</v>
      </c>
      <c r="AB39" s="32">
        <f t="shared" si="52"/>
        <v>81920</v>
      </c>
    </row>
    <row r="40" ht="15.75" customHeight="1">
      <c r="A40" s="21">
        <f>'Soul Energy Tiers'!J16</f>
        <v>163840</v>
      </c>
      <c r="B40" s="5"/>
      <c r="C40" s="55" t="s">
        <v>39</v>
      </c>
      <c r="D40" s="32">
        <f t="shared" si="40"/>
        <v>163840</v>
      </c>
      <c r="E40" s="5"/>
      <c r="F40" s="55" t="s">
        <v>39</v>
      </c>
      <c r="G40" s="32">
        <f t="shared" ref="G40:AB40" si="53">$A40/G$5</f>
        <v>81920</v>
      </c>
      <c r="H40" s="32">
        <f t="shared" si="53"/>
        <v>27306.66667</v>
      </c>
      <c r="I40" s="32">
        <f t="shared" si="53"/>
        <v>81920</v>
      </c>
      <c r="J40" s="32">
        <f t="shared" si="53"/>
        <v>163840</v>
      </c>
      <c r="K40" s="32">
        <f t="shared" si="53"/>
        <v>163840</v>
      </c>
      <c r="L40" s="32">
        <f t="shared" si="53"/>
        <v>163840</v>
      </c>
      <c r="M40" s="32">
        <f t="shared" si="53"/>
        <v>163840</v>
      </c>
      <c r="N40" s="32">
        <f t="shared" si="53"/>
        <v>163840</v>
      </c>
      <c r="O40" s="32">
        <f t="shared" si="53"/>
        <v>163840</v>
      </c>
      <c r="P40" s="32">
        <f t="shared" si="53"/>
        <v>163840</v>
      </c>
      <c r="Q40" s="32">
        <f t="shared" si="53"/>
        <v>163840</v>
      </c>
      <c r="R40" s="32">
        <f t="shared" si="53"/>
        <v>163840</v>
      </c>
      <c r="S40" s="32">
        <f t="shared" si="53"/>
        <v>163840</v>
      </c>
      <c r="T40" s="32">
        <f t="shared" si="53"/>
        <v>163840</v>
      </c>
      <c r="U40" s="32">
        <f t="shared" si="53"/>
        <v>163840</v>
      </c>
      <c r="V40" s="32">
        <f t="shared" si="53"/>
        <v>163840</v>
      </c>
      <c r="W40" s="32">
        <f t="shared" si="53"/>
        <v>163840</v>
      </c>
      <c r="X40" s="32">
        <f t="shared" si="53"/>
        <v>163840</v>
      </c>
      <c r="Y40" s="32">
        <f t="shared" si="53"/>
        <v>163840</v>
      </c>
      <c r="Z40" s="32">
        <f t="shared" si="53"/>
        <v>163840</v>
      </c>
      <c r="AA40" s="32">
        <f t="shared" si="53"/>
        <v>163840</v>
      </c>
      <c r="AB40" s="32">
        <f t="shared" si="53"/>
        <v>163840</v>
      </c>
    </row>
    <row r="41" ht="15.75" customHeight="1">
      <c r="A41" s="21">
        <f>'Soul Energy Tiers'!J17</f>
        <v>327680</v>
      </c>
      <c r="B41" s="5"/>
      <c r="C41" s="55" t="s">
        <v>41</v>
      </c>
      <c r="D41" s="32">
        <f t="shared" si="40"/>
        <v>327680</v>
      </c>
      <c r="E41" s="5"/>
      <c r="F41" s="55" t="s">
        <v>41</v>
      </c>
      <c r="G41" s="32">
        <f t="shared" ref="G41:AB41" si="54">$A41/G$5</f>
        <v>163840</v>
      </c>
      <c r="H41" s="32">
        <f t="shared" si="54"/>
        <v>54613.33333</v>
      </c>
      <c r="I41" s="32">
        <f t="shared" si="54"/>
        <v>163840</v>
      </c>
      <c r="J41" s="32">
        <f t="shared" si="54"/>
        <v>327680</v>
      </c>
      <c r="K41" s="32">
        <f t="shared" si="54"/>
        <v>327680</v>
      </c>
      <c r="L41" s="32">
        <f t="shared" si="54"/>
        <v>327680</v>
      </c>
      <c r="M41" s="32">
        <f t="shared" si="54"/>
        <v>327680</v>
      </c>
      <c r="N41" s="32">
        <f t="shared" si="54"/>
        <v>327680</v>
      </c>
      <c r="O41" s="32">
        <f t="shared" si="54"/>
        <v>327680</v>
      </c>
      <c r="P41" s="32">
        <f t="shared" si="54"/>
        <v>327680</v>
      </c>
      <c r="Q41" s="32">
        <f t="shared" si="54"/>
        <v>327680</v>
      </c>
      <c r="R41" s="32">
        <f t="shared" si="54"/>
        <v>327680</v>
      </c>
      <c r="S41" s="32">
        <f t="shared" si="54"/>
        <v>327680</v>
      </c>
      <c r="T41" s="32">
        <f t="shared" si="54"/>
        <v>327680</v>
      </c>
      <c r="U41" s="32">
        <f t="shared" si="54"/>
        <v>327680</v>
      </c>
      <c r="V41" s="32">
        <f t="shared" si="54"/>
        <v>327680</v>
      </c>
      <c r="W41" s="32">
        <f t="shared" si="54"/>
        <v>327680</v>
      </c>
      <c r="X41" s="32">
        <f t="shared" si="54"/>
        <v>327680</v>
      </c>
      <c r="Y41" s="32">
        <f t="shared" si="54"/>
        <v>327680</v>
      </c>
      <c r="Z41" s="32">
        <f t="shared" si="54"/>
        <v>327680</v>
      </c>
      <c r="AA41" s="32">
        <f t="shared" si="54"/>
        <v>327680</v>
      </c>
      <c r="AB41" s="32">
        <f t="shared" si="54"/>
        <v>327680</v>
      </c>
    </row>
    <row r="42" ht="15.75" customHeight="1">
      <c r="A42" s="21">
        <f>'Soul Energy Tiers'!J18</f>
        <v>655360</v>
      </c>
      <c r="B42" s="5"/>
      <c r="C42" s="55" t="s">
        <v>43</v>
      </c>
      <c r="D42" s="32">
        <f t="shared" si="40"/>
        <v>655360</v>
      </c>
      <c r="E42" s="5"/>
      <c r="F42" s="55" t="s">
        <v>43</v>
      </c>
      <c r="G42" s="32">
        <f t="shared" ref="G42:AB42" si="55">$A42/G$5</f>
        <v>327680</v>
      </c>
      <c r="H42" s="32">
        <f t="shared" si="55"/>
        <v>109226.6667</v>
      </c>
      <c r="I42" s="32">
        <f t="shared" si="55"/>
        <v>327680</v>
      </c>
      <c r="J42" s="32">
        <f t="shared" si="55"/>
        <v>655360</v>
      </c>
      <c r="K42" s="32">
        <f t="shared" si="55"/>
        <v>655360</v>
      </c>
      <c r="L42" s="32">
        <f t="shared" si="55"/>
        <v>655360</v>
      </c>
      <c r="M42" s="32">
        <f t="shared" si="55"/>
        <v>655360</v>
      </c>
      <c r="N42" s="32">
        <f t="shared" si="55"/>
        <v>655360</v>
      </c>
      <c r="O42" s="32">
        <f t="shared" si="55"/>
        <v>655360</v>
      </c>
      <c r="P42" s="32">
        <f t="shared" si="55"/>
        <v>655360</v>
      </c>
      <c r="Q42" s="32">
        <f t="shared" si="55"/>
        <v>655360</v>
      </c>
      <c r="R42" s="32">
        <f t="shared" si="55"/>
        <v>655360</v>
      </c>
      <c r="S42" s="32">
        <f t="shared" si="55"/>
        <v>655360</v>
      </c>
      <c r="T42" s="32">
        <f t="shared" si="55"/>
        <v>655360</v>
      </c>
      <c r="U42" s="32">
        <f t="shared" si="55"/>
        <v>655360</v>
      </c>
      <c r="V42" s="32">
        <f t="shared" si="55"/>
        <v>655360</v>
      </c>
      <c r="W42" s="32">
        <f t="shared" si="55"/>
        <v>655360</v>
      </c>
      <c r="X42" s="32">
        <f t="shared" si="55"/>
        <v>655360</v>
      </c>
      <c r="Y42" s="32">
        <f t="shared" si="55"/>
        <v>655360</v>
      </c>
      <c r="Z42" s="32">
        <f t="shared" si="55"/>
        <v>655360</v>
      </c>
      <c r="AA42" s="32">
        <f t="shared" si="55"/>
        <v>655360</v>
      </c>
      <c r="AB42" s="32">
        <f t="shared" si="55"/>
        <v>655360</v>
      </c>
    </row>
    <row r="43" ht="15.75" customHeight="1">
      <c r="A43" s="21">
        <f>'Soul Energy Tiers'!J19</f>
        <v>1310720</v>
      </c>
      <c r="B43" s="5"/>
      <c r="C43" s="55" t="s">
        <v>45</v>
      </c>
      <c r="D43" s="32">
        <f t="shared" si="40"/>
        <v>1310720</v>
      </c>
      <c r="E43" s="5"/>
      <c r="F43" s="55" t="s">
        <v>45</v>
      </c>
      <c r="G43" s="32">
        <f t="shared" ref="G43:AB43" si="56">$A43/G$5</f>
        <v>655360</v>
      </c>
      <c r="H43" s="32">
        <f t="shared" si="56"/>
        <v>218453.3333</v>
      </c>
      <c r="I43" s="32">
        <f t="shared" si="56"/>
        <v>655360</v>
      </c>
      <c r="J43" s="32">
        <f t="shared" si="56"/>
        <v>1310720</v>
      </c>
      <c r="K43" s="32">
        <f t="shared" si="56"/>
        <v>1310720</v>
      </c>
      <c r="L43" s="32">
        <f t="shared" si="56"/>
        <v>1310720</v>
      </c>
      <c r="M43" s="32">
        <f t="shared" si="56"/>
        <v>1310720</v>
      </c>
      <c r="N43" s="32">
        <f t="shared" si="56"/>
        <v>1310720</v>
      </c>
      <c r="O43" s="32">
        <f t="shared" si="56"/>
        <v>1310720</v>
      </c>
      <c r="P43" s="32">
        <f t="shared" si="56"/>
        <v>1310720</v>
      </c>
      <c r="Q43" s="32">
        <f t="shared" si="56"/>
        <v>1310720</v>
      </c>
      <c r="R43" s="32">
        <f t="shared" si="56"/>
        <v>1310720</v>
      </c>
      <c r="S43" s="32">
        <f t="shared" si="56"/>
        <v>1310720</v>
      </c>
      <c r="T43" s="32">
        <f t="shared" si="56"/>
        <v>1310720</v>
      </c>
      <c r="U43" s="32">
        <f t="shared" si="56"/>
        <v>1310720</v>
      </c>
      <c r="V43" s="32">
        <f t="shared" si="56"/>
        <v>1310720</v>
      </c>
      <c r="W43" s="32">
        <f t="shared" si="56"/>
        <v>1310720</v>
      </c>
      <c r="X43" s="32">
        <f t="shared" si="56"/>
        <v>1310720</v>
      </c>
      <c r="Y43" s="32">
        <f t="shared" si="56"/>
        <v>1310720</v>
      </c>
      <c r="Z43" s="32">
        <f t="shared" si="56"/>
        <v>1310720</v>
      </c>
      <c r="AA43" s="32">
        <f t="shared" si="56"/>
        <v>1310720</v>
      </c>
      <c r="AB43" s="32">
        <f t="shared" si="56"/>
        <v>1310720</v>
      </c>
    </row>
    <row r="44" ht="15.75" customHeight="1">
      <c r="A44" s="35"/>
      <c r="B44" s="5"/>
      <c r="C44" s="5"/>
      <c r="E44" s="5"/>
      <c r="F44" s="35"/>
      <c r="G44" s="35" t="s">
        <v>76</v>
      </c>
    </row>
    <row r="45" ht="15.75" customHeight="1">
      <c r="A45" s="52" t="s">
        <v>75</v>
      </c>
      <c r="B45" s="5"/>
      <c r="C45" s="10" t="s">
        <v>3</v>
      </c>
      <c r="D45" s="10" t="s">
        <v>55</v>
      </c>
      <c r="E45" s="5"/>
      <c r="F45" s="53" t="s">
        <v>3</v>
      </c>
      <c r="G45" s="45" t="str">
        <f t="shared" ref="G45:AB45" si="57">G26</f>
        <v>Sand Worms</v>
      </c>
      <c r="H45" s="45" t="str">
        <f t="shared" si="57"/>
        <v>Walking Flathead</v>
      </c>
      <c r="I45" s="45" t="str">
        <f t="shared" si="57"/>
        <v>Wood People</v>
      </c>
      <c r="J45" s="45" t="str">
        <f t="shared" si="57"/>
        <v/>
      </c>
      <c r="K45" s="45" t="str">
        <f t="shared" si="57"/>
        <v/>
      </c>
      <c r="L45" s="45" t="str">
        <f t="shared" si="57"/>
        <v/>
      </c>
      <c r="M45" s="45" t="str">
        <f t="shared" si="57"/>
        <v/>
      </c>
      <c r="N45" s="45" t="str">
        <f t="shared" si="57"/>
        <v/>
      </c>
      <c r="O45" s="45" t="str">
        <f t="shared" si="57"/>
        <v/>
      </c>
      <c r="P45" s="45" t="str">
        <f t="shared" si="57"/>
        <v/>
      </c>
      <c r="Q45" s="45" t="str">
        <f t="shared" si="57"/>
        <v/>
      </c>
      <c r="R45" s="45" t="str">
        <f t="shared" si="57"/>
        <v/>
      </c>
      <c r="S45" s="45" t="str">
        <f t="shared" si="57"/>
        <v/>
      </c>
      <c r="T45" s="45" t="str">
        <f t="shared" si="57"/>
        <v/>
      </c>
      <c r="U45" s="45" t="str">
        <f t="shared" si="57"/>
        <v/>
      </c>
      <c r="V45" s="45" t="str">
        <f t="shared" si="57"/>
        <v/>
      </c>
      <c r="W45" s="45" t="str">
        <f t="shared" si="57"/>
        <v/>
      </c>
      <c r="X45" s="45" t="str">
        <f t="shared" si="57"/>
        <v/>
      </c>
      <c r="Y45" s="45" t="str">
        <f t="shared" si="57"/>
        <v/>
      </c>
      <c r="Z45" s="45" t="str">
        <f t="shared" si="57"/>
        <v/>
      </c>
      <c r="AA45" s="45" t="str">
        <f t="shared" si="57"/>
        <v/>
      </c>
      <c r="AB45" s="45" t="str">
        <f t="shared" si="57"/>
        <v/>
      </c>
    </row>
    <row r="46" ht="15.75" customHeight="1">
      <c r="A46" s="21">
        <f>'Soul Energy Tiers'!J3</f>
        <v>20</v>
      </c>
      <c r="B46" s="5"/>
      <c r="C46" s="54" t="s">
        <v>13</v>
      </c>
      <c r="D46" s="23">
        <f t="shared" ref="D46:D62" si="59">($A46/D$5)/365</f>
        <v>0.05479452055</v>
      </c>
      <c r="E46" s="5"/>
      <c r="F46" s="54" t="s">
        <v>13</v>
      </c>
      <c r="G46" s="32">
        <f t="shared" ref="G46:AB46" si="58">($A46/G$5)/365</f>
        <v>0.02739726027</v>
      </c>
      <c r="H46" s="32">
        <f t="shared" si="58"/>
        <v>0.009132420091</v>
      </c>
      <c r="I46" s="32">
        <f t="shared" si="58"/>
        <v>0.02739726027</v>
      </c>
      <c r="J46" s="32">
        <f t="shared" si="58"/>
        <v>0.05479452055</v>
      </c>
      <c r="K46" s="32">
        <f t="shared" si="58"/>
        <v>0.05479452055</v>
      </c>
      <c r="L46" s="32">
        <f t="shared" si="58"/>
        <v>0.05479452055</v>
      </c>
      <c r="M46" s="32">
        <f t="shared" si="58"/>
        <v>0.05479452055</v>
      </c>
      <c r="N46" s="32">
        <f t="shared" si="58"/>
        <v>0.05479452055</v>
      </c>
      <c r="O46" s="32">
        <f t="shared" si="58"/>
        <v>0.05479452055</v>
      </c>
      <c r="P46" s="32">
        <f t="shared" si="58"/>
        <v>0.05479452055</v>
      </c>
      <c r="Q46" s="32">
        <f t="shared" si="58"/>
        <v>0.05479452055</v>
      </c>
      <c r="R46" s="32">
        <f t="shared" si="58"/>
        <v>0.05479452055</v>
      </c>
      <c r="S46" s="32">
        <f t="shared" si="58"/>
        <v>0.05479452055</v>
      </c>
      <c r="T46" s="32">
        <f t="shared" si="58"/>
        <v>0.05479452055</v>
      </c>
      <c r="U46" s="32">
        <f t="shared" si="58"/>
        <v>0.05479452055</v>
      </c>
      <c r="V46" s="32">
        <f t="shared" si="58"/>
        <v>0.05479452055</v>
      </c>
      <c r="W46" s="32">
        <f t="shared" si="58"/>
        <v>0.05479452055</v>
      </c>
      <c r="X46" s="32">
        <f t="shared" si="58"/>
        <v>0.05479452055</v>
      </c>
      <c r="Y46" s="32">
        <f t="shared" si="58"/>
        <v>0.05479452055</v>
      </c>
      <c r="Z46" s="32">
        <f t="shared" si="58"/>
        <v>0.05479452055</v>
      </c>
      <c r="AA46" s="32">
        <f t="shared" si="58"/>
        <v>0.05479452055</v>
      </c>
      <c r="AB46" s="32">
        <f t="shared" si="58"/>
        <v>0.05479452055</v>
      </c>
    </row>
    <row r="47" ht="15.75" customHeight="1">
      <c r="A47" s="21">
        <f>'Soul Energy Tiers'!J4</f>
        <v>40</v>
      </c>
      <c r="B47" s="5"/>
      <c r="C47" s="55" t="s">
        <v>15</v>
      </c>
      <c r="D47" s="32">
        <f t="shared" si="59"/>
        <v>0.1095890411</v>
      </c>
      <c r="E47" s="5"/>
      <c r="F47" s="55" t="s">
        <v>15</v>
      </c>
      <c r="G47" s="32">
        <f t="shared" ref="G47:AB47" si="60">($A47/G$5)/365</f>
        <v>0.05479452055</v>
      </c>
      <c r="H47" s="32">
        <f t="shared" si="60"/>
        <v>0.01826484018</v>
      </c>
      <c r="I47" s="32">
        <f t="shared" si="60"/>
        <v>0.05479452055</v>
      </c>
      <c r="J47" s="32">
        <f t="shared" si="60"/>
        <v>0.1095890411</v>
      </c>
      <c r="K47" s="32">
        <f t="shared" si="60"/>
        <v>0.1095890411</v>
      </c>
      <c r="L47" s="32">
        <f t="shared" si="60"/>
        <v>0.1095890411</v>
      </c>
      <c r="M47" s="32">
        <f t="shared" si="60"/>
        <v>0.1095890411</v>
      </c>
      <c r="N47" s="32">
        <f t="shared" si="60"/>
        <v>0.1095890411</v>
      </c>
      <c r="O47" s="32">
        <f t="shared" si="60"/>
        <v>0.1095890411</v>
      </c>
      <c r="P47" s="32">
        <f t="shared" si="60"/>
        <v>0.1095890411</v>
      </c>
      <c r="Q47" s="32">
        <f t="shared" si="60"/>
        <v>0.1095890411</v>
      </c>
      <c r="R47" s="32">
        <f t="shared" si="60"/>
        <v>0.1095890411</v>
      </c>
      <c r="S47" s="32">
        <f t="shared" si="60"/>
        <v>0.1095890411</v>
      </c>
      <c r="T47" s="32">
        <f t="shared" si="60"/>
        <v>0.1095890411</v>
      </c>
      <c r="U47" s="32">
        <f t="shared" si="60"/>
        <v>0.1095890411</v>
      </c>
      <c r="V47" s="32">
        <f t="shared" si="60"/>
        <v>0.1095890411</v>
      </c>
      <c r="W47" s="32">
        <f t="shared" si="60"/>
        <v>0.1095890411</v>
      </c>
      <c r="X47" s="32">
        <f t="shared" si="60"/>
        <v>0.1095890411</v>
      </c>
      <c r="Y47" s="32">
        <f t="shared" si="60"/>
        <v>0.1095890411</v>
      </c>
      <c r="Z47" s="32">
        <f t="shared" si="60"/>
        <v>0.1095890411</v>
      </c>
      <c r="AA47" s="32">
        <f t="shared" si="60"/>
        <v>0.1095890411</v>
      </c>
      <c r="AB47" s="32">
        <f t="shared" si="60"/>
        <v>0.1095890411</v>
      </c>
    </row>
    <row r="48" ht="15.75" customHeight="1">
      <c r="A48" s="21">
        <f>'Soul Energy Tiers'!J5</f>
        <v>80</v>
      </c>
      <c r="B48" s="5"/>
      <c r="C48" s="55" t="s">
        <v>17</v>
      </c>
      <c r="D48" s="32">
        <f t="shared" si="59"/>
        <v>0.2191780822</v>
      </c>
      <c r="E48" s="5"/>
      <c r="F48" s="55" t="s">
        <v>17</v>
      </c>
      <c r="G48" s="32">
        <f t="shared" ref="G48:AB48" si="61">($A48/G$5)/365</f>
        <v>0.1095890411</v>
      </c>
      <c r="H48" s="32">
        <f t="shared" si="61"/>
        <v>0.03652968037</v>
      </c>
      <c r="I48" s="32">
        <f t="shared" si="61"/>
        <v>0.1095890411</v>
      </c>
      <c r="J48" s="32">
        <f t="shared" si="61"/>
        <v>0.2191780822</v>
      </c>
      <c r="K48" s="32">
        <f t="shared" si="61"/>
        <v>0.2191780822</v>
      </c>
      <c r="L48" s="32">
        <f t="shared" si="61"/>
        <v>0.2191780822</v>
      </c>
      <c r="M48" s="32">
        <f t="shared" si="61"/>
        <v>0.2191780822</v>
      </c>
      <c r="N48" s="32">
        <f t="shared" si="61"/>
        <v>0.2191780822</v>
      </c>
      <c r="O48" s="32">
        <f t="shared" si="61"/>
        <v>0.2191780822</v>
      </c>
      <c r="P48" s="32">
        <f t="shared" si="61"/>
        <v>0.2191780822</v>
      </c>
      <c r="Q48" s="32">
        <f t="shared" si="61"/>
        <v>0.2191780822</v>
      </c>
      <c r="R48" s="32">
        <f t="shared" si="61"/>
        <v>0.2191780822</v>
      </c>
      <c r="S48" s="32">
        <f t="shared" si="61"/>
        <v>0.2191780822</v>
      </c>
      <c r="T48" s="32">
        <f t="shared" si="61"/>
        <v>0.2191780822</v>
      </c>
      <c r="U48" s="32">
        <f t="shared" si="61"/>
        <v>0.2191780822</v>
      </c>
      <c r="V48" s="32">
        <f t="shared" si="61"/>
        <v>0.2191780822</v>
      </c>
      <c r="W48" s="32">
        <f t="shared" si="61"/>
        <v>0.2191780822</v>
      </c>
      <c r="X48" s="32">
        <f t="shared" si="61"/>
        <v>0.2191780822</v>
      </c>
      <c r="Y48" s="32">
        <f t="shared" si="61"/>
        <v>0.2191780822</v>
      </c>
      <c r="Z48" s="32">
        <f t="shared" si="61"/>
        <v>0.2191780822</v>
      </c>
      <c r="AA48" s="32">
        <f t="shared" si="61"/>
        <v>0.2191780822</v>
      </c>
      <c r="AB48" s="32">
        <f t="shared" si="61"/>
        <v>0.2191780822</v>
      </c>
    </row>
    <row r="49" ht="15.75" customHeight="1">
      <c r="A49" s="21">
        <f>'Soul Energy Tiers'!J6</f>
        <v>160</v>
      </c>
      <c r="B49" s="5"/>
      <c r="C49" s="55" t="s">
        <v>19</v>
      </c>
      <c r="D49" s="32">
        <f t="shared" si="59"/>
        <v>0.4383561644</v>
      </c>
      <c r="E49" s="5"/>
      <c r="F49" s="55" t="s">
        <v>19</v>
      </c>
      <c r="G49" s="32">
        <f t="shared" ref="G49:AB49" si="62">($A49/G$5)/365</f>
        <v>0.2191780822</v>
      </c>
      <c r="H49" s="32">
        <f t="shared" si="62"/>
        <v>0.07305936073</v>
      </c>
      <c r="I49" s="32">
        <f t="shared" si="62"/>
        <v>0.2191780822</v>
      </c>
      <c r="J49" s="32">
        <f t="shared" si="62"/>
        <v>0.4383561644</v>
      </c>
      <c r="K49" s="32">
        <f t="shared" si="62"/>
        <v>0.4383561644</v>
      </c>
      <c r="L49" s="32">
        <f t="shared" si="62"/>
        <v>0.4383561644</v>
      </c>
      <c r="M49" s="32">
        <f t="shared" si="62"/>
        <v>0.4383561644</v>
      </c>
      <c r="N49" s="32">
        <f t="shared" si="62"/>
        <v>0.4383561644</v>
      </c>
      <c r="O49" s="32">
        <f t="shared" si="62"/>
        <v>0.4383561644</v>
      </c>
      <c r="P49" s="32">
        <f t="shared" si="62"/>
        <v>0.4383561644</v>
      </c>
      <c r="Q49" s="32">
        <f t="shared" si="62"/>
        <v>0.4383561644</v>
      </c>
      <c r="R49" s="32">
        <f t="shared" si="62"/>
        <v>0.4383561644</v>
      </c>
      <c r="S49" s="32">
        <f t="shared" si="62"/>
        <v>0.4383561644</v>
      </c>
      <c r="T49" s="32">
        <f t="shared" si="62"/>
        <v>0.4383561644</v>
      </c>
      <c r="U49" s="32">
        <f t="shared" si="62"/>
        <v>0.4383561644</v>
      </c>
      <c r="V49" s="32">
        <f t="shared" si="62"/>
        <v>0.4383561644</v>
      </c>
      <c r="W49" s="32">
        <f t="shared" si="62"/>
        <v>0.4383561644</v>
      </c>
      <c r="X49" s="32">
        <f t="shared" si="62"/>
        <v>0.4383561644</v>
      </c>
      <c r="Y49" s="32">
        <f t="shared" si="62"/>
        <v>0.4383561644</v>
      </c>
      <c r="Z49" s="32">
        <f t="shared" si="62"/>
        <v>0.4383561644</v>
      </c>
      <c r="AA49" s="32">
        <f t="shared" si="62"/>
        <v>0.4383561644</v>
      </c>
      <c r="AB49" s="32">
        <f t="shared" si="62"/>
        <v>0.4383561644</v>
      </c>
    </row>
    <row r="50" ht="15.75" customHeight="1">
      <c r="A50" s="21">
        <f>'Soul Energy Tiers'!J7</f>
        <v>320</v>
      </c>
      <c r="B50" s="5"/>
      <c r="C50" s="55" t="s">
        <v>21</v>
      </c>
      <c r="D50" s="32">
        <f t="shared" si="59"/>
        <v>0.8767123288</v>
      </c>
      <c r="E50" s="5"/>
      <c r="F50" s="55" t="s">
        <v>21</v>
      </c>
      <c r="G50" s="32">
        <f t="shared" ref="G50:AB50" si="63">($A50/G$5)/365</f>
        <v>0.4383561644</v>
      </c>
      <c r="H50" s="32">
        <f t="shared" si="63"/>
        <v>0.1461187215</v>
      </c>
      <c r="I50" s="32">
        <f t="shared" si="63"/>
        <v>0.4383561644</v>
      </c>
      <c r="J50" s="32">
        <f t="shared" si="63"/>
        <v>0.8767123288</v>
      </c>
      <c r="K50" s="32">
        <f t="shared" si="63"/>
        <v>0.8767123288</v>
      </c>
      <c r="L50" s="32">
        <f t="shared" si="63"/>
        <v>0.8767123288</v>
      </c>
      <c r="M50" s="32">
        <f t="shared" si="63"/>
        <v>0.8767123288</v>
      </c>
      <c r="N50" s="32">
        <f t="shared" si="63"/>
        <v>0.8767123288</v>
      </c>
      <c r="O50" s="32">
        <f t="shared" si="63"/>
        <v>0.8767123288</v>
      </c>
      <c r="P50" s="32">
        <f t="shared" si="63"/>
        <v>0.8767123288</v>
      </c>
      <c r="Q50" s="32">
        <f t="shared" si="63"/>
        <v>0.8767123288</v>
      </c>
      <c r="R50" s="32">
        <f t="shared" si="63"/>
        <v>0.8767123288</v>
      </c>
      <c r="S50" s="32">
        <f t="shared" si="63"/>
        <v>0.8767123288</v>
      </c>
      <c r="T50" s="32">
        <f t="shared" si="63"/>
        <v>0.8767123288</v>
      </c>
      <c r="U50" s="32">
        <f t="shared" si="63"/>
        <v>0.8767123288</v>
      </c>
      <c r="V50" s="32">
        <f t="shared" si="63"/>
        <v>0.8767123288</v>
      </c>
      <c r="W50" s="32">
        <f t="shared" si="63"/>
        <v>0.8767123288</v>
      </c>
      <c r="X50" s="32">
        <f t="shared" si="63"/>
        <v>0.8767123288</v>
      </c>
      <c r="Y50" s="32">
        <f t="shared" si="63"/>
        <v>0.8767123288</v>
      </c>
      <c r="Z50" s="32">
        <f t="shared" si="63"/>
        <v>0.8767123288</v>
      </c>
      <c r="AA50" s="32">
        <f t="shared" si="63"/>
        <v>0.8767123288</v>
      </c>
      <c r="AB50" s="32">
        <f t="shared" si="63"/>
        <v>0.8767123288</v>
      </c>
    </row>
    <row r="51" ht="15.75" customHeight="1">
      <c r="A51" s="21">
        <f>'Soul Energy Tiers'!J8</f>
        <v>640</v>
      </c>
      <c r="B51" s="5"/>
      <c r="C51" s="55" t="s">
        <v>23</v>
      </c>
      <c r="D51" s="32">
        <f t="shared" si="59"/>
        <v>1.753424658</v>
      </c>
      <c r="E51" s="5"/>
      <c r="F51" s="55" t="s">
        <v>23</v>
      </c>
      <c r="G51" s="32">
        <f t="shared" ref="G51:AB51" si="64">($A51/G$5)/365</f>
        <v>0.8767123288</v>
      </c>
      <c r="H51" s="32">
        <f t="shared" si="64"/>
        <v>0.2922374429</v>
      </c>
      <c r="I51" s="32">
        <f t="shared" si="64"/>
        <v>0.8767123288</v>
      </c>
      <c r="J51" s="32">
        <f t="shared" si="64"/>
        <v>1.753424658</v>
      </c>
      <c r="K51" s="32">
        <f t="shared" si="64"/>
        <v>1.753424658</v>
      </c>
      <c r="L51" s="32">
        <f t="shared" si="64"/>
        <v>1.753424658</v>
      </c>
      <c r="M51" s="32">
        <f t="shared" si="64"/>
        <v>1.753424658</v>
      </c>
      <c r="N51" s="32">
        <f t="shared" si="64"/>
        <v>1.753424658</v>
      </c>
      <c r="O51" s="32">
        <f t="shared" si="64"/>
        <v>1.753424658</v>
      </c>
      <c r="P51" s="32">
        <f t="shared" si="64"/>
        <v>1.753424658</v>
      </c>
      <c r="Q51" s="32">
        <f t="shared" si="64"/>
        <v>1.753424658</v>
      </c>
      <c r="R51" s="32">
        <f t="shared" si="64"/>
        <v>1.753424658</v>
      </c>
      <c r="S51" s="32">
        <f t="shared" si="64"/>
        <v>1.753424658</v>
      </c>
      <c r="T51" s="32">
        <f t="shared" si="64"/>
        <v>1.753424658</v>
      </c>
      <c r="U51" s="32">
        <f t="shared" si="64"/>
        <v>1.753424658</v>
      </c>
      <c r="V51" s="32">
        <f t="shared" si="64"/>
        <v>1.753424658</v>
      </c>
      <c r="W51" s="32">
        <f t="shared" si="64"/>
        <v>1.753424658</v>
      </c>
      <c r="X51" s="32">
        <f t="shared" si="64"/>
        <v>1.753424658</v>
      </c>
      <c r="Y51" s="32">
        <f t="shared" si="64"/>
        <v>1.753424658</v>
      </c>
      <c r="Z51" s="32">
        <f t="shared" si="64"/>
        <v>1.753424658</v>
      </c>
      <c r="AA51" s="32">
        <f t="shared" si="64"/>
        <v>1.753424658</v>
      </c>
      <c r="AB51" s="32">
        <f t="shared" si="64"/>
        <v>1.753424658</v>
      </c>
    </row>
    <row r="52" ht="15.75" customHeight="1">
      <c r="A52" s="21">
        <f>'Soul Energy Tiers'!J9</f>
        <v>1280</v>
      </c>
      <c r="B52" s="5"/>
      <c r="C52" s="55" t="s">
        <v>25</v>
      </c>
      <c r="D52" s="32">
        <f t="shared" si="59"/>
        <v>3.506849315</v>
      </c>
      <c r="E52" s="5"/>
      <c r="F52" s="55" t="s">
        <v>25</v>
      </c>
      <c r="G52" s="32">
        <f t="shared" ref="G52:AB52" si="65">($A52/G$5)/365</f>
        <v>1.753424658</v>
      </c>
      <c r="H52" s="32">
        <f t="shared" si="65"/>
        <v>0.5844748858</v>
      </c>
      <c r="I52" s="32">
        <f t="shared" si="65"/>
        <v>1.753424658</v>
      </c>
      <c r="J52" s="32">
        <f t="shared" si="65"/>
        <v>3.506849315</v>
      </c>
      <c r="K52" s="32">
        <f t="shared" si="65"/>
        <v>3.506849315</v>
      </c>
      <c r="L52" s="32">
        <f t="shared" si="65"/>
        <v>3.506849315</v>
      </c>
      <c r="M52" s="32">
        <f t="shared" si="65"/>
        <v>3.506849315</v>
      </c>
      <c r="N52" s="32">
        <f t="shared" si="65"/>
        <v>3.506849315</v>
      </c>
      <c r="O52" s="32">
        <f t="shared" si="65"/>
        <v>3.506849315</v>
      </c>
      <c r="P52" s="32">
        <f t="shared" si="65"/>
        <v>3.506849315</v>
      </c>
      <c r="Q52" s="32">
        <f t="shared" si="65"/>
        <v>3.506849315</v>
      </c>
      <c r="R52" s="32">
        <f t="shared" si="65"/>
        <v>3.506849315</v>
      </c>
      <c r="S52" s="32">
        <f t="shared" si="65"/>
        <v>3.506849315</v>
      </c>
      <c r="T52" s="32">
        <f t="shared" si="65"/>
        <v>3.506849315</v>
      </c>
      <c r="U52" s="32">
        <f t="shared" si="65"/>
        <v>3.506849315</v>
      </c>
      <c r="V52" s="32">
        <f t="shared" si="65"/>
        <v>3.506849315</v>
      </c>
      <c r="W52" s="32">
        <f t="shared" si="65"/>
        <v>3.506849315</v>
      </c>
      <c r="X52" s="32">
        <f t="shared" si="65"/>
        <v>3.506849315</v>
      </c>
      <c r="Y52" s="32">
        <f t="shared" si="65"/>
        <v>3.506849315</v>
      </c>
      <c r="Z52" s="32">
        <f t="shared" si="65"/>
        <v>3.506849315</v>
      </c>
      <c r="AA52" s="32">
        <f t="shared" si="65"/>
        <v>3.506849315</v>
      </c>
      <c r="AB52" s="32">
        <f t="shared" si="65"/>
        <v>3.506849315</v>
      </c>
    </row>
    <row r="53" ht="15.75" customHeight="1">
      <c r="A53" s="21">
        <f>'Soul Energy Tiers'!J10</f>
        <v>2560</v>
      </c>
      <c r="B53" s="5"/>
      <c r="C53" s="55" t="s">
        <v>27</v>
      </c>
      <c r="D53" s="32">
        <f t="shared" si="59"/>
        <v>7.01369863</v>
      </c>
      <c r="E53" s="5"/>
      <c r="F53" s="55" t="s">
        <v>27</v>
      </c>
      <c r="G53" s="32">
        <f t="shared" ref="G53:AB53" si="66">($A53/G$5)/365</f>
        <v>3.506849315</v>
      </c>
      <c r="H53" s="32">
        <f t="shared" si="66"/>
        <v>1.168949772</v>
      </c>
      <c r="I53" s="32">
        <f t="shared" si="66"/>
        <v>3.506849315</v>
      </c>
      <c r="J53" s="32">
        <f t="shared" si="66"/>
        <v>7.01369863</v>
      </c>
      <c r="K53" s="32">
        <f t="shared" si="66"/>
        <v>7.01369863</v>
      </c>
      <c r="L53" s="32">
        <f t="shared" si="66"/>
        <v>7.01369863</v>
      </c>
      <c r="M53" s="32">
        <f t="shared" si="66"/>
        <v>7.01369863</v>
      </c>
      <c r="N53" s="32">
        <f t="shared" si="66"/>
        <v>7.01369863</v>
      </c>
      <c r="O53" s="32">
        <f t="shared" si="66"/>
        <v>7.01369863</v>
      </c>
      <c r="P53" s="32">
        <f t="shared" si="66"/>
        <v>7.01369863</v>
      </c>
      <c r="Q53" s="32">
        <f t="shared" si="66"/>
        <v>7.01369863</v>
      </c>
      <c r="R53" s="32">
        <f t="shared" si="66"/>
        <v>7.01369863</v>
      </c>
      <c r="S53" s="32">
        <f t="shared" si="66"/>
        <v>7.01369863</v>
      </c>
      <c r="T53" s="32">
        <f t="shared" si="66"/>
        <v>7.01369863</v>
      </c>
      <c r="U53" s="32">
        <f t="shared" si="66"/>
        <v>7.01369863</v>
      </c>
      <c r="V53" s="32">
        <f t="shared" si="66"/>
        <v>7.01369863</v>
      </c>
      <c r="W53" s="32">
        <f t="shared" si="66"/>
        <v>7.01369863</v>
      </c>
      <c r="X53" s="32">
        <f t="shared" si="66"/>
        <v>7.01369863</v>
      </c>
      <c r="Y53" s="32">
        <f t="shared" si="66"/>
        <v>7.01369863</v>
      </c>
      <c r="Z53" s="32">
        <f t="shared" si="66"/>
        <v>7.01369863</v>
      </c>
      <c r="AA53" s="32">
        <f t="shared" si="66"/>
        <v>7.01369863</v>
      </c>
      <c r="AB53" s="32">
        <f t="shared" si="66"/>
        <v>7.01369863</v>
      </c>
    </row>
    <row r="54" ht="15.75" customHeight="1">
      <c r="A54" s="21">
        <f>'Soul Energy Tiers'!J11</f>
        <v>5120</v>
      </c>
      <c r="B54" s="5"/>
      <c r="C54" s="55" t="s">
        <v>29</v>
      </c>
      <c r="D54" s="32">
        <f t="shared" si="59"/>
        <v>14.02739726</v>
      </c>
      <c r="E54" s="5"/>
      <c r="F54" s="55" t="s">
        <v>29</v>
      </c>
      <c r="G54" s="32">
        <f t="shared" ref="G54:AB54" si="67">($A54/G$5)/365</f>
        <v>7.01369863</v>
      </c>
      <c r="H54" s="32">
        <f t="shared" si="67"/>
        <v>2.337899543</v>
      </c>
      <c r="I54" s="32">
        <f t="shared" si="67"/>
        <v>7.01369863</v>
      </c>
      <c r="J54" s="32">
        <f t="shared" si="67"/>
        <v>14.02739726</v>
      </c>
      <c r="K54" s="32">
        <f t="shared" si="67"/>
        <v>14.02739726</v>
      </c>
      <c r="L54" s="32">
        <f t="shared" si="67"/>
        <v>14.02739726</v>
      </c>
      <c r="M54" s="32">
        <f t="shared" si="67"/>
        <v>14.02739726</v>
      </c>
      <c r="N54" s="32">
        <f t="shared" si="67"/>
        <v>14.02739726</v>
      </c>
      <c r="O54" s="32">
        <f t="shared" si="67"/>
        <v>14.02739726</v>
      </c>
      <c r="P54" s="32">
        <f t="shared" si="67"/>
        <v>14.02739726</v>
      </c>
      <c r="Q54" s="32">
        <f t="shared" si="67"/>
        <v>14.02739726</v>
      </c>
      <c r="R54" s="32">
        <f t="shared" si="67"/>
        <v>14.02739726</v>
      </c>
      <c r="S54" s="32">
        <f t="shared" si="67"/>
        <v>14.02739726</v>
      </c>
      <c r="T54" s="32">
        <f t="shared" si="67"/>
        <v>14.02739726</v>
      </c>
      <c r="U54" s="32">
        <f t="shared" si="67"/>
        <v>14.02739726</v>
      </c>
      <c r="V54" s="32">
        <f t="shared" si="67"/>
        <v>14.02739726</v>
      </c>
      <c r="W54" s="32">
        <f t="shared" si="67"/>
        <v>14.02739726</v>
      </c>
      <c r="X54" s="32">
        <f t="shared" si="67"/>
        <v>14.02739726</v>
      </c>
      <c r="Y54" s="32">
        <f t="shared" si="67"/>
        <v>14.02739726</v>
      </c>
      <c r="Z54" s="32">
        <f t="shared" si="67"/>
        <v>14.02739726</v>
      </c>
      <c r="AA54" s="32">
        <f t="shared" si="67"/>
        <v>14.02739726</v>
      </c>
      <c r="AB54" s="32">
        <f t="shared" si="67"/>
        <v>14.02739726</v>
      </c>
    </row>
    <row r="55" ht="15.75" customHeight="1">
      <c r="A55" s="21">
        <f>'Soul Energy Tiers'!J12</f>
        <v>10240</v>
      </c>
      <c r="B55" s="5"/>
      <c r="C55" s="55" t="s">
        <v>31</v>
      </c>
      <c r="D55" s="32">
        <f t="shared" si="59"/>
        <v>28.05479452</v>
      </c>
      <c r="E55" s="5"/>
      <c r="F55" s="55" t="s">
        <v>31</v>
      </c>
      <c r="G55" s="32">
        <f t="shared" ref="G55:AB55" si="68">($A55/G$5)/365</f>
        <v>14.02739726</v>
      </c>
      <c r="H55" s="32">
        <f t="shared" si="68"/>
        <v>4.675799087</v>
      </c>
      <c r="I55" s="32">
        <f t="shared" si="68"/>
        <v>14.02739726</v>
      </c>
      <c r="J55" s="32">
        <f t="shared" si="68"/>
        <v>28.05479452</v>
      </c>
      <c r="K55" s="32">
        <f t="shared" si="68"/>
        <v>28.05479452</v>
      </c>
      <c r="L55" s="32">
        <f t="shared" si="68"/>
        <v>28.05479452</v>
      </c>
      <c r="M55" s="32">
        <f t="shared" si="68"/>
        <v>28.05479452</v>
      </c>
      <c r="N55" s="32">
        <f t="shared" si="68"/>
        <v>28.05479452</v>
      </c>
      <c r="O55" s="32">
        <f t="shared" si="68"/>
        <v>28.05479452</v>
      </c>
      <c r="P55" s="32">
        <f t="shared" si="68"/>
        <v>28.05479452</v>
      </c>
      <c r="Q55" s="32">
        <f t="shared" si="68"/>
        <v>28.05479452</v>
      </c>
      <c r="R55" s="32">
        <f t="shared" si="68"/>
        <v>28.05479452</v>
      </c>
      <c r="S55" s="32">
        <f t="shared" si="68"/>
        <v>28.05479452</v>
      </c>
      <c r="T55" s="32">
        <f t="shared" si="68"/>
        <v>28.05479452</v>
      </c>
      <c r="U55" s="32">
        <f t="shared" si="68"/>
        <v>28.05479452</v>
      </c>
      <c r="V55" s="32">
        <f t="shared" si="68"/>
        <v>28.05479452</v>
      </c>
      <c r="W55" s="32">
        <f t="shared" si="68"/>
        <v>28.05479452</v>
      </c>
      <c r="X55" s="32">
        <f t="shared" si="68"/>
        <v>28.05479452</v>
      </c>
      <c r="Y55" s="32">
        <f t="shared" si="68"/>
        <v>28.05479452</v>
      </c>
      <c r="Z55" s="32">
        <f t="shared" si="68"/>
        <v>28.05479452</v>
      </c>
      <c r="AA55" s="32">
        <f t="shared" si="68"/>
        <v>28.05479452</v>
      </c>
      <c r="AB55" s="32">
        <f t="shared" si="68"/>
        <v>28.05479452</v>
      </c>
    </row>
    <row r="56" ht="15.75" customHeight="1">
      <c r="A56" s="21">
        <f>'Soul Energy Tiers'!J13</f>
        <v>20480</v>
      </c>
      <c r="B56" s="5"/>
      <c r="C56" s="55" t="s">
        <v>33</v>
      </c>
      <c r="D56" s="32">
        <f t="shared" si="59"/>
        <v>56.10958904</v>
      </c>
      <c r="E56" s="5"/>
      <c r="F56" s="55" t="s">
        <v>33</v>
      </c>
      <c r="G56" s="32">
        <f t="shared" ref="G56:AB56" si="69">($A56/G$5)/365</f>
        <v>28.05479452</v>
      </c>
      <c r="H56" s="32">
        <f t="shared" si="69"/>
        <v>9.351598174</v>
      </c>
      <c r="I56" s="32">
        <f t="shared" si="69"/>
        <v>28.05479452</v>
      </c>
      <c r="J56" s="32">
        <f t="shared" si="69"/>
        <v>56.10958904</v>
      </c>
      <c r="K56" s="32">
        <f t="shared" si="69"/>
        <v>56.10958904</v>
      </c>
      <c r="L56" s="32">
        <f t="shared" si="69"/>
        <v>56.10958904</v>
      </c>
      <c r="M56" s="32">
        <f t="shared" si="69"/>
        <v>56.10958904</v>
      </c>
      <c r="N56" s="32">
        <f t="shared" si="69"/>
        <v>56.10958904</v>
      </c>
      <c r="O56" s="32">
        <f t="shared" si="69"/>
        <v>56.10958904</v>
      </c>
      <c r="P56" s="32">
        <f t="shared" si="69"/>
        <v>56.10958904</v>
      </c>
      <c r="Q56" s="32">
        <f t="shared" si="69"/>
        <v>56.10958904</v>
      </c>
      <c r="R56" s="32">
        <f t="shared" si="69"/>
        <v>56.10958904</v>
      </c>
      <c r="S56" s="32">
        <f t="shared" si="69"/>
        <v>56.10958904</v>
      </c>
      <c r="T56" s="32">
        <f t="shared" si="69"/>
        <v>56.10958904</v>
      </c>
      <c r="U56" s="32">
        <f t="shared" si="69"/>
        <v>56.10958904</v>
      </c>
      <c r="V56" s="32">
        <f t="shared" si="69"/>
        <v>56.10958904</v>
      </c>
      <c r="W56" s="32">
        <f t="shared" si="69"/>
        <v>56.10958904</v>
      </c>
      <c r="X56" s="32">
        <f t="shared" si="69"/>
        <v>56.10958904</v>
      </c>
      <c r="Y56" s="32">
        <f t="shared" si="69"/>
        <v>56.10958904</v>
      </c>
      <c r="Z56" s="32">
        <f t="shared" si="69"/>
        <v>56.10958904</v>
      </c>
      <c r="AA56" s="32">
        <f t="shared" si="69"/>
        <v>56.10958904</v>
      </c>
      <c r="AB56" s="32">
        <f t="shared" si="69"/>
        <v>56.10958904</v>
      </c>
    </row>
    <row r="57" ht="15.75" customHeight="1">
      <c r="A57" s="21">
        <f>'Soul Energy Tiers'!J14</f>
        <v>40960</v>
      </c>
      <c r="B57" s="5"/>
      <c r="C57" s="55" t="s">
        <v>35</v>
      </c>
      <c r="D57" s="32">
        <f t="shared" si="59"/>
        <v>112.2191781</v>
      </c>
      <c r="E57" s="5"/>
      <c r="F57" s="55" t="s">
        <v>35</v>
      </c>
      <c r="G57" s="32">
        <f t="shared" ref="G57:AB57" si="70">($A57/G$5)/365</f>
        <v>56.10958904</v>
      </c>
      <c r="H57" s="32">
        <f t="shared" si="70"/>
        <v>18.70319635</v>
      </c>
      <c r="I57" s="32">
        <f t="shared" si="70"/>
        <v>56.10958904</v>
      </c>
      <c r="J57" s="32">
        <f t="shared" si="70"/>
        <v>112.2191781</v>
      </c>
      <c r="K57" s="32">
        <f t="shared" si="70"/>
        <v>112.2191781</v>
      </c>
      <c r="L57" s="32">
        <f t="shared" si="70"/>
        <v>112.2191781</v>
      </c>
      <c r="M57" s="32">
        <f t="shared" si="70"/>
        <v>112.2191781</v>
      </c>
      <c r="N57" s="32">
        <f t="shared" si="70"/>
        <v>112.2191781</v>
      </c>
      <c r="O57" s="32">
        <f t="shared" si="70"/>
        <v>112.2191781</v>
      </c>
      <c r="P57" s="32">
        <f t="shared" si="70"/>
        <v>112.2191781</v>
      </c>
      <c r="Q57" s="32">
        <f t="shared" si="70"/>
        <v>112.2191781</v>
      </c>
      <c r="R57" s="32">
        <f t="shared" si="70"/>
        <v>112.2191781</v>
      </c>
      <c r="S57" s="32">
        <f t="shared" si="70"/>
        <v>112.2191781</v>
      </c>
      <c r="T57" s="32">
        <f t="shared" si="70"/>
        <v>112.2191781</v>
      </c>
      <c r="U57" s="32">
        <f t="shared" si="70"/>
        <v>112.2191781</v>
      </c>
      <c r="V57" s="32">
        <f t="shared" si="70"/>
        <v>112.2191781</v>
      </c>
      <c r="W57" s="32">
        <f t="shared" si="70"/>
        <v>112.2191781</v>
      </c>
      <c r="X57" s="32">
        <f t="shared" si="70"/>
        <v>112.2191781</v>
      </c>
      <c r="Y57" s="32">
        <f t="shared" si="70"/>
        <v>112.2191781</v>
      </c>
      <c r="Z57" s="32">
        <f t="shared" si="70"/>
        <v>112.2191781</v>
      </c>
      <c r="AA57" s="32">
        <f t="shared" si="70"/>
        <v>112.2191781</v>
      </c>
      <c r="AB57" s="32">
        <f t="shared" si="70"/>
        <v>112.2191781</v>
      </c>
    </row>
    <row r="58" ht="15.75" customHeight="1">
      <c r="A58" s="21">
        <f>'Soul Energy Tiers'!J15</f>
        <v>81920</v>
      </c>
      <c r="B58" s="5"/>
      <c r="C58" s="55" t="s">
        <v>37</v>
      </c>
      <c r="D58" s="32">
        <f t="shared" si="59"/>
        <v>224.4383562</v>
      </c>
      <c r="E58" s="5"/>
      <c r="F58" s="55" t="s">
        <v>37</v>
      </c>
      <c r="G58" s="32">
        <f t="shared" ref="G58:AB58" si="71">($A58/G$5)/365</f>
        <v>112.2191781</v>
      </c>
      <c r="H58" s="32">
        <f t="shared" si="71"/>
        <v>37.40639269</v>
      </c>
      <c r="I58" s="32">
        <f t="shared" si="71"/>
        <v>112.2191781</v>
      </c>
      <c r="J58" s="32">
        <f t="shared" si="71"/>
        <v>224.4383562</v>
      </c>
      <c r="K58" s="32">
        <f t="shared" si="71"/>
        <v>224.4383562</v>
      </c>
      <c r="L58" s="32">
        <f t="shared" si="71"/>
        <v>224.4383562</v>
      </c>
      <c r="M58" s="32">
        <f t="shared" si="71"/>
        <v>224.4383562</v>
      </c>
      <c r="N58" s="32">
        <f t="shared" si="71"/>
        <v>224.4383562</v>
      </c>
      <c r="O58" s="32">
        <f t="shared" si="71"/>
        <v>224.4383562</v>
      </c>
      <c r="P58" s="32">
        <f t="shared" si="71"/>
        <v>224.4383562</v>
      </c>
      <c r="Q58" s="32">
        <f t="shared" si="71"/>
        <v>224.4383562</v>
      </c>
      <c r="R58" s="32">
        <f t="shared" si="71"/>
        <v>224.4383562</v>
      </c>
      <c r="S58" s="32">
        <f t="shared" si="71"/>
        <v>224.4383562</v>
      </c>
      <c r="T58" s="32">
        <f t="shared" si="71"/>
        <v>224.4383562</v>
      </c>
      <c r="U58" s="32">
        <f t="shared" si="71"/>
        <v>224.4383562</v>
      </c>
      <c r="V58" s="32">
        <f t="shared" si="71"/>
        <v>224.4383562</v>
      </c>
      <c r="W58" s="32">
        <f t="shared" si="71"/>
        <v>224.4383562</v>
      </c>
      <c r="X58" s="32">
        <f t="shared" si="71"/>
        <v>224.4383562</v>
      </c>
      <c r="Y58" s="32">
        <f t="shared" si="71"/>
        <v>224.4383562</v>
      </c>
      <c r="Z58" s="32">
        <f t="shared" si="71"/>
        <v>224.4383562</v>
      </c>
      <c r="AA58" s="32">
        <f t="shared" si="71"/>
        <v>224.4383562</v>
      </c>
      <c r="AB58" s="32">
        <f t="shared" si="71"/>
        <v>224.4383562</v>
      </c>
    </row>
    <row r="59" ht="15.75" customHeight="1">
      <c r="A59" s="21">
        <f>'Soul Energy Tiers'!J16</f>
        <v>163840</v>
      </c>
      <c r="B59" s="5"/>
      <c r="C59" s="55" t="s">
        <v>39</v>
      </c>
      <c r="D59" s="32">
        <f t="shared" si="59"/>
        <v>448.8767123</v>
      </c>
      <c r="E59" s="5"/>
      <c r="F59" s="55" t="s">
        <v>39</v>
      </c>
      <c r="G59" s="32">
        <f t="shared" ref="G59:AB59" si="72">($A59/G$5)/365</f>
        <v>224.4383562</v>
      </c>
      <c r="H59" s="32">
        <f t="shared" si="72"/>
        <v>74.81278539</v>
      </c>
      <c r="I59" s="32">
        <f t="shared" si="72"/>
        <v>224.4383562</v>
      </c>
      <c r="J59" s="32">
        <f t="shared" si="72"/>
        <v>448.8767123</v>
      </c>
      <c r="K59" s="32">
        <f t="shared" si="72"/>
        <v>448.8767123</v>
      </c>
      <c r="L59" s="32">
        <f t="shared" si="72"/>
        <v>448.8767123</v>
      </c>
      <c r="M59" s="32">
        <f t="shared" si="72"/>
        <v>448.8767123</v>
      </c>
      <c r="N59" s="32">
        <f t="shared" si="72"/>
        <v>448.8767123</v>
      </c>
      <c r="O59" s="32">
        <f t="shared" si="72"/>
        <v>448.8767123</v>
      </c>
      <c r="P59" s="32">
        <f t="shared" si="72"/>
        <v>448.8767123</v>
      </c>
      <c r="Q59" s="32">
        <f t="shared" si="72"/>
        <v>448.8767123</v>
      </c>
      <c r="R59" s="32">
        <f t="shared" si="72"/>
        <v>448.8767123</v>
      </c>
      <c r="S59" s="32">
        <f t="shared" si="72"/>
        <v>448.8767123</v>
      </c>
      <c r="T59" s="32">
        <f t="shared" si="72"/>
        <v>448.8767123</v>
      </c>
      <c r="U59" s="32">
        <f t="shared" si="72"/>
        <v>448.8767123</v>
      </c>
      <c r="V59" s="32">
        <f t="shared" si="72"/>
        <v>448.8767123</v>
      </c>
      <c r="W59" s="32">
        <f t="shared" si="72"/>
        <v>448.8767123</v>
      </c>
      <c r="X59" s="32">
        <f t="shared" si="72"/>
        <v>448.8767123</v>
      </c>
      <c r="Y59" s="32">
        <f t="shared" si="72"/>
        <v>448.8767123</v>
      </c>
      <c r="Z59" s="32">
        <f t="shared" si="72"/>
        <v>448.8767123</v>
      </c>
      <c r="AA59" s="32">
        <f t="shared" si="72"/>
        <v>448.8767123</v>
      </c>
      <c r="AB59" s="32">
        <f t="shared" si="72"/>
        <v>448.8767123</v>
      </c>
    </row>
    <row r="60" ht="15.75" customHeight="1">
      <c r="A60" s="21">
        <f>'Soul Energy Tiers'!J17</f>
        <v>327680</v>
      </c>
      <c r="B60" s="5"/>
      <c r="C60" s="55" t="s">
        <v>41</v>
      </c>
      <c r="D60" s="32">
        <f t="shared" si="59"/>
        <v>897.7534247</v>
      </c>
      <c r="E60" s="5"/>
      <c r="F60" s="55" t="s">
        <v>41</v>
      </c>
      <c r="G60" s="32">
        <f t="shared" ref="G60:AB60" si="73">($A60/G$5)/365</f>
        <v>448.8767123</v>
      </c>
      <c r="H60" s="32">
        <f t="shared" si="73"/>
        <v>149.6255708</v>
      </c>
      <c r="I60" s="32">
        <f t="shared" si="73"/>
        <v>448.8767123</v>
      </c>
      <c r="J60" s="32">
        <f t="shared" si="73"/>
        <v>897.7534247</v>
      </c>
      <c r="K60" s="32">
        <f t="shared" si="73"/>
        <v>897.7534247</v>
      </c>
      <c r="L60" s="32">
        <f t="shared" si="73"/>
        <v>897.7534247</v>
      </c>
      <c r="M60" s="32">
        <f t="shared" si="73"/>
        <v>897.7534247</v>
      </c>
      <c r="N60" s="32">
        <f t="shared" si="73"/>
        <v>897.7534247</v>
      </c>
      <c r="O60" s="32">
        <f t="shared" si="73"/>
        <v>897.7534247</v>
      </c>
      <c r="P60" s="32">
        <f t="shared" si="73"/>
        <v>897.7534247</v>
      </c>
      <c r="Q60" s="32">
        <f t="shared" si="73"/>
        <v>897.7534247</v>
      </c>
      <c r="R60" s="32">
        <f t="shared" si="73"/>
        <v>897.7534247</v>
      </c>
      <c r="S60" s="32">
        <f t="shared" si="73"/>
        <v>897.7534247</v>
      </c>
      <c r="T60" s="32">
        <f t="shared" si="73"/>
        <v>897.7534247</v>
      </c>
      <c r="U60" s="32">
        <f t="shared" si="73"/>
        <v>897.7534247</v>
      </c>
      <c r="V60" s="32">
        <f t="shared" si="73"/>
        <v>897.7534247</v>
      </c>
      <c r="W60" s="32">
        <f t="shared" si="73"/>
        <v>897.7534247</v>
      </c>
      <c r="X60" s="32">
        <f t="shared" si="73"/>
        <v>897.7534247</v>
      </c>
      <c r="Y60" s="32">
        <f t="shared" si="73"/>
        <v>897.7534247</v>
      </c>
      <c r="Z60" s="32">
        <f t="shared" si="73"/>
        <v>897.7534247</v>
      </c>
      <c r="AA60" s="32">
        <f t="shared" si="73"/>
        <v>897.7534247</v>
      </c>
      <c r="AB60" s="32">
        <f t="shared" si="73"/>
        <v>897.7534247</v>
      </c>
    </row>
    <row r="61" ht="15.75" customHeight="1">
      <c r="A61" s="21">
        <f>'Soul Energy Tiers'!J18</f>
        <v>655360</v>
      </c>
      <c r="B61" s="5"/>
      <c r="C61" s="55" t="s">
        <v>43</v>
      </c>
      <c r="D61" s="32">
        <f t="shared" si="59"/>
        <v>1795.506849</v>
      </c>
      <c r="E61" s="5"/>
      <c r="F61" s="55" t="s">
        <v>43</v>
      </c>
      <c r="G61" s="32">
        <f t="shared" ref="G61:AB61" si="74">($A61/G$5)/365</f>
        <v>897.7534247</v>
      </c>
      <c r="H61" s="32">
        <f t="shared" si="74"/>
        <v>299.2511416</v>
      </c>
      <c r="I61" s="32">
        <f t="shared" si="74"/>
        <v>897.7534247</v>
      </c>
      <c r="J61" s="32">
        <f t="shared" si="74"/>
        <v>1795.506849</v>
      </c>
      <c r="K61" s="32">
        <f t="shared" si="74"/>
        <v>1795.506849</v>
      </c>
      <c r="L61" s="32">
        <f t="shared" si="74"/>
        <v>1795.506849</v>
      </c>
      <c r="M61" s="32">
        <f t="shared" si="74"/>
        <v>1795.506849</v>
      </c>
      <c r="N61" s="32">
        <f t="shared" si="74"/>
        <v>1795.506849</v>
      </c>
      <c r="O61" s="32">
        <f t="shared" si="74"/>
        <v>1795.506849</v>
      </c>
      <c r="P61" s="32">
        <f t="shared" si="74"/>
        <v>1795.506849</v>
      </c>
      <c r="Q61" s="32">
        <f t="shared" si="74"/>
        <v>1795.506849</v>
      </c>
      <c r="R61" s="32">
        <f t="shared" si="74"/>
        <v>1795.506849</v>
      </c>
      <c r="S61" s="32">
        <f t="shared" si="74"/>
        <v>1795.506849</v>
      </c>
      <c r="T61" s="32">
        <f t="shared" si="74"/>
        <v>1795.506849</v>
      </c>
      <c r="U61" s="32">
        <f t="shared" si="74"/>
        <v>1795.506849</v>
      </c>
      <c r="V61" s="32">
        <f t="shared" si="74"/>
        <v>1795.506849</v>
      </c>
      <c r="W61" s="32">
        <f t="shared" si="74"/>
        <v>1795.506849</v>
      </c>
      <c r="X61" s="32">
        <f t="shared" si="74"/>
        <v>1795.506849</v>
      </c>
      <c r="Y61" s="32">
        <f t="shared" si="74"/>
        <v>1795.506849</v>
      </c>
      <c r="Z61" s="32">
        <f t="shared" si="74"/>
        <v>1795.506849</v>
      </c>
      <c r="AA61" s="32">
        <f t="shared" si="74"/>
        <v>1795.506849</v>
      </c>
      <c r="AB61" s="32">
        <f t="shared" si="74"/>
        <v>1795.506849</v>
      </c>
    </row>
    <row r="62" ht="15.75" customHeight="1">
      <c r="A62" s="21">
        <f>'Soul Energy Tiers'!J19</f>
        <v>1310720</v>
      </c>
      <c r="B62" s="5"/>
      <c r="C62" s="55" t="s">
        <v>45</v>
      </c>
      <c r="D62" s="32">
        <f t="shared" si="59"/>
        <v>3591.013699</v>
      </c>
      <c r="E62" s="5"/>
      <c r="F62" s="55" t="s">
        <v>45</v>
      </c>
      <c r="G62" s="32">
        <f t="shared" ref="G62:AB62" si="75">($A62/G$5)/365</f>
        <v>1795.506849</v>
      </c>
      <c r="H62" s="32">
        <f t="shared" si="75"/>
        <v>598.5022831</v>
      </c>
      <c r="I62" s="32">
        <f t="shared" si="75"/>
        <v>1795.506849</v>
      </c>
      <c r="J62" s="32">
        <f t="shared" si="75"/>
        <v>3591.013699</v>
      </c>
      <c r="K62" s="32">
        <f t="shared" si="75"/>
        <v>3591.013699</v>
      </c>
      <c r="L62" s="32">
        <f t="shared" si="75"/>
        <v>3591.013699</v>
      </c>
      <c r="M62" s="32">
        <f t="shared" si="75"/>
        <v>3591.013699</v>
      </c>
      <c r="N62" s="32">
        <f t="shared" si="75"/>
        <v>3591.013699</v>
      </c>
      <c r="O62" s="32">
        <f t="shared" si="75"/>
        <v>3591.013699</v>
      </c>
      <c r="P62" s="32">
        <f t="shared" si="75"/>
        <v>3591.013699</v>
      </c>
      <c r="Q62" s="32">
        <f t="shared" si="75"/>
        <v>3591.013699</v>
      </c>
      <c r="R62" s="32">
        <f t="shared" si="75"/>
        <v>3591.013699</v>
      </c>
      <c r="S62" s="32">
        <f t="shared" si="75"/>
        <v>3591.013699</v>
      </c>
      <c r="T62" s="32">
        <f t="shared" si="75"/>
        <v>3591.013699</v>
      </c>
      <c r="U62" s="32">
        <f t="shared" si="75"/>
        <v>3591.013699</v>
      </c>
      <c r="V62" s="32">
        <f t="shared" si="75"/>
        <v>3591.013699</v>
      </c>
      <c r="W62" s="32">
        <f t="shared" si="75"/>
        <v>3591.013699</v>
      </c>
      <c r="X62" s="32">
        <f t="shared" si="75"/>
        <v>3591.013699</v>
      </c>
      <c r="Y62" s="32">
        <f t="shared" si="75"/>
        <v>3591.013699</v>
      </c>
      <c r="Z62" s="32">
        <f t="shared" si="75"/>
        <v>3591.013699</v>
      </c>
      <c r="AA62" s="32">
        <f t="shared" si="75"/>
        <v>3591.013699</v>
      </c>
      <c r="AB62" s="32">
        <f t="shared" si="75"/>
        <v>3591.013699</v>
      </c>
    </row>
    <row r="63" ht="15.75" customHeight="1">
      <c r="B63" s="5"/>
      <c r="E63" s="5"/>
    </row>
    <row r="64" ht="15.75" customHeight="1">
      <c r="B64" s="5"/>
      <c r="E64" s="5"/>
    </row>
    <row r="65" ht="15.75" customHeight="1">
      <c r="B65" s="5"/>
      <c r="E65" s="5"/>
    </row>
    <row r="66" ht="15.75" customHeight="1">
      <c r="B66" s="5"/>
      <c r="E66" s="5"/>
    </row>
    <row r="67" ht="15.75" customHeight="1">
      <c r="B67" s="5"/>
      <c r="E67" s="5"/>
    </row>
    <row r="68" ht="15.75" customHeight="1">
      <c r="B68" s="5"/>
      <c r="E68" s="5"/>
    </row>
    <row r="69" ht="15.75" customHeight="1">
      <c r="B69" s="5"/>
      <c r="E69" s="5"/>
    </row>
    <row r="70" ht="15.75" customHeight="1">
      <c r="B70" s="5"/>
      <c r="E70" s="5"/>
    </row>
    <row r="71" ht="15.75" customHeight="1">
      <c r="B71" s="5"/>
      <c r="E71" s="5"/>
    </row>
    <row r="72" ht="15.75" customHeight="1">
      <c r="B72" s="5"/>
      <c r="E72" s="5"/>
    </row>
    <row r="73" ht="15.75" customHeight="1">
      <c r="B73" s="5"/>
      <c r="E73" s="5"/>
    </row>
    <row r="74" ht="15.75" customHeight="1">
      <c r="B74" s="5"/>
      <c r="E74" s="5"/>
    </row>
    <row r="75" ht="15.75" customHeight="1">
      <c r="B75" s="5"/>
      <c r="E75" s="5"/>
    </row>
    <row r="76" ht="15.75" customHeight="1">
      <c r="B76" s="5"/>
      <c r="E76" s="5"/>
    </row>
    <row r="77" ht="15.75" customHeight="1">
      <c r="B77" s="5"/>
      <c r="E77" s="5"/>
    </row>
    <row r="78" ht="15.75" customHeight="1">
      <c r="B78" s="5"/>
      <c r="E78" s="5"/>
    </row>
    <row r="79" ht="15.75" customHeight="1">
      <c r="B79" s="5"/>
      <c r="E79" s="5"/>
    </row>
    <row r="80" ht="15.75" customHeight="1">
      <c r="B80" s="5"/>
      <c r="E80" s="5"/>
    </row>
    <row r="81" ht="15.75" customHeight="1">
      <c r="B81" s="5"/>
      <c r="E81" s="5"/>
    </row>
    <row r="82" ht="15.75" customHeight="1">
      <c r="B82" s="5"/>
      <c r="E82" s="5"/>
    </row>
    <row r="83" ht="15.75" customHeight="1">
      <c r="B83" s="5"/>
      <c r="E83" s="5"/>
    </row>
    <row r="84" ht="15.75" customHeight="1">
      <c r="B84" s="5"/>
      <c r="E84" s="5"/>
    </row>
    <row r="85" ht="15.75" customHeight="1">
      <c r="B85" s="5"/>
      <c r="E85" s="5"/>
    </row>
    <row r="86" ht="15.75" customHeight="1">
      <c r="B86" s="5"/>
      <c r="E86" s="5"/>
    </row>
    <row r="87" ht="15.75" customHeight="1">
      <c r="B87" s="5"/>
      <c r="E87" s="5"/>
    </row>
    <row r="88" ht="15.75" customHeight="1">
      <c r="B88" s="5"/>
      <c r="E88" s="5"/>
    </row>
    <row r="89" ht="15.75" customHeight="1">
      <c r="B89" s="5"/>
      <c r="E89" s="5"/>
    </row>
    <row r="90" ht="15.75" customHeight="1">
      <c r="B90" s="5"/>
      <c r="E90" s="5"/>
    </row>
    <row r="91" ht="15.75" customHeight="1">
      <c r="B91" s="5"/>
      <c r="E91" s="5"/>
    </row>
    <row r="92" ht="15.75" customHeight="1">
      <c r="B92" s="5"/>
      <c r="E92" s="5"/>
    </row>
    <row r="93" ht="15.75" customHeight="1">
      <c r="B93" s="5"/>
      <c r="E93" s="5"/>
    </row>
    <row r="94" ht="15.75" customHeight="1">
      <c r="B94" s="5"/>
      <c r="E94" s="5"/>
    </row>
    <row r="95" ht="15.75" customHeight="1">
      <c r="B95" s="5"/>
      <c r="E95" s="5"/>
    </row>
    <row r="96" ht="15.75" customHeight="1">
      <c r="B96" s="5"/>
      <c r="E96" s="5"/>
    </row>
    <row r="97" ht="15.75" customHeight="1">
      <c r="B97" s="5"/>
      <c r="E97" s="5"/>
    </row>
    <row r="98" ht="15.75" customHeight="1">
      <c r="B98" s="5"/>
      <c r="E98" s="5"/>
    </row>
    <row r="99" ht="15.75" customHeight="1">
      <c r="B99" s="5"/>
      <c r="E99" s="5"/>
    </row>
    <row r="100" ht="15.75" customHeight="1">
      <c r="B100" s="5"/>
      <c r="E100" s="5"/>
    </row>
    <row r="101" ht="15.75" customHeight="1">
      <c r="B101" s="5"/>
      <c r="E101" s="5"/>
    </row>
    <row r="102" ht="15.75" customHeight="1">
      <c r="B102" s="5"/>
      <c r="E102" s="5"/>
    </row>
    <row r="103" ht="15.75" customHeight="1">
      <c r="B103" s="5"/>
      <c r="E103" s="5"/>
    </row>
    <row r="104" ht="15.75" customHeight="1">
      <c r="B104" s="5"/>
      <c r="E104" s="5"/>
    </row>
    <row r="105" ht="15.75" customHeight="1">
      <c r="B105" s="5"/>
      <c r="E105" s="5"/>
    </row>
    <row r="106" ht="15.75" customHeight="1">
      <c r="B106" s="5"/>
      <c r="E106" s="5"/>
    </row>
    <row r="107" ht="15.75" customHeight="1">
      <c r="B107" s="5"/>
      <c r="E107" s="5"/>
    </row>
    <row r="108" ht="15.75" customHeight="1">
      <c r="B108" s="5"/>
      <c r="E108" s="5"/>
    </row>
    <row r="109" ht="15.75" customHeight="1">
      <c r="B109" s="5"/>
      <c r="E109" s="5"/>
    </row>
    <row r="110" ht="15.75" customHeight="1">
      <c r="B110" s="5"/>
      <c r="E110" s="5"/>
    </row>
    <row r="111" ht="15.75" customHeight="1">
      <c r="B111" s="5"/>
      <c r="E111" s="5"/>
    </row>
    <row r="112" ht="15.75" customHeight="1">
      <c r="B112" s="5"/>
      <c r="E112" s="5"/>
    </row>
    <row r="113" ht="15.75" customHeight="1">
      <c r="B113" s="5"/>
      <c r="E113" s="5"/>
    </row>
    <row r="114" ht="15.75" customHeight="1">
      <c r="B114" s="5"/>
      <c r="E114" s="5"/>
    </row>
    <row r="115" ht="15.75" customHeight="1">
      <c r="B115" s="5"/>
      <c r="E115" s="5"/>
    </row>
    <row r="116" ht="15.75" customHeight="1">
      <c r="B116" s="5"/>
      <c r="E116" s="5"/>
    </row>
    <row r="117" ht="15.75" customHeight="1">
      <c r="B117" s="5"/>
      <c r="E117" s="5"/>
    </row>
    <row r="118" ht="15.75" customHeight="1">
      <c r="B118" s="5"/>
      <c r="E118" s="5"/>
    </row>
    <row r="119" ht="15.75" customHeight="1">
      <c r="B119" s="5"/>
      <c r="E119" s="5"/>
    </row>
    <row r="120" ht="15.75" customHeight="1">
      <c r="B120" s="5"/>
      <c r="E120" s="5"/>
    </row>
    <row r="121" ht="15.75" customHeight="1">
      <c r="B121" s="5"/>
      <c r="E121" s="5"/>
    </row>
    <row r="122" ht="15.75" customHeight="1">
      <c r="B122" s="5"/>
      <c r="E122" s="5"/>
    </row>
    <row r="123" ht="15.75" customHeight="1">
      <c r="B123" s="5"/>
      <c r="E123" s="5"/>
    </row>
    <row r="124" ht="15.75" customHeight="1">
      <c r="B124" s="5"/>
      <c r="E124" s="5"/>
    </row>
    <row r="125" ht="15.75" customHeight="1">
      <c r="B125" s="5"/>
      <c r="E125" s="5"/>
    </row>
    <row r="126" ht="15.75" customHeight="1">
      <c r="B126" s="5"/>
      <c r="E126" s="5"/>
    </row>
    <row r="127" ht="15.75" customHeight="1">
      <c r="B127" s="5"/>
      <c r="E127" s="5"/>
    </row>
    <row r="128" ht="15.75" customHeight="1">
      <c r="B128" s="5"/>
      <c r="E128" s="5"/>
    </row>
    <row r="129" ht="15.75" customHeight="1">
      <c r="B129" s="5"/>
      <c r="E129" s="5"/>
    </row>
    <row r="130" ht="15.75" customHeight="1">
      <c r="B130" s="5"/>
      <c r="E130" s="5"/>
    </row>
    <row r="131" ht="15.75" customHeight="1">
      <c r="B131" s="5"/>
      <c r="E131" s="5"/>
    </row>
    <row r="132" ht="15.75" customHeight="1">
      <c r="B132" s="5"/>
      <c r="E132" s="5"/>
    </row>
    <row r="133" ht="15.75" customHeight="1">
      <c r="B133" s="5"/>
      <c r="E133" s="5"/>
    </row>
    <row r="134" ht="15.75" customHeight="1">
      <c r="B134" s="5"/>
      <c r="E134" s="5"/>
    </row>
    <row r="135" ht="15.75" customHeight="1">
      <c r="B135" s="5"/>
      <c r="E135" s="5"/>
    </row>
    <row r="136" ht="15.75" customHeight="1">
      <c r="B136" s="5"/>
      <c r="E136" s="5"/>
    </row>
    <row r="137" ht="15.75" customHeight="1">
      <c r="B137" s="5"/>
      <c r="E137" s="5"/>
    </row>
    <row r="138" ht="15.75" customHeight="1">
      <c r="B138" s="5"/>
      <c r="E138" s="5"/>
    </row>
    <row r="139" ht="15.75" customHeight="1">
      <c r="B139" s="5"/>
      <c r="E139" s="5"/>
    </row>
    <row r="140" ht="15.75" customHeight="1">
      <c r="B140" s="5"/>
      <c r="E140" s="5"/>
    </row>
    <row r="141" ht="15.75" customHeight="1">
      <c r="B141" s="5"/>
      <c r="E141" s="5"/>
    </row>
    <row r="142" ht="15.75" customHeight="1">
      <c r="B142" s="5"/>
      <c r="E142" s="5"/>
    </row>
    <row r="143" ht="15.75" customHeight="1">
      <c r="B143" s="5"/>
      <c r="E143" s="5"/>
    </row>
    <row r="144" ht="15.75" customHeight="1">
      <c r="B144" s="5"/>
      <c r="E144" s="5"/>
    </row>
    <row r="145" ht="15.75" customHeight="1">
      <c r="B145" s="5"/>
      <c r="E145" s="5"/>
    </row>
    <row r="146" ht="15.75" customHeight="1">
      <c r="B146" s="5"/>
      <c r="E146" s="5"/>
    </row>
    <row r="147" ht="15.75" customHeight="1">
      <c r="B147" s="5"/>
      <c r="E147" s="5"/>
    </row>
    <row r="148" ht="15.75" customHeight="1">
      <c r="B148" s="5"/>
      <c r="E148" s="5"/>
    </row>
    <row r="149" ht="15.75" customHeight="1">
      <c r="B149" s="5"/>
      <c r="E149" s="5"/>
    </row>
    <row r="150" ht="15.75" customHeight="1">
      <c r="B150" s="5"/>
      <c r="E150" s="5"/>
    </row>
    <row r="151" ht="15.75" customHeight="1">
      <c r="B151" s="5"/>
      <c r="E151" s="5"/>
    </row>
    <row r="152" ht="15.75" customHeight="1">
      <c r="B152" s="5"/>
      <c r="E152" s="5"/>
    </row>
    <row r="153" ht="15.75" customHeight="1">
      <c r="B153" s="5"/>
      <c r="E153" s="5"/>
    </row>
    <row r="154" ht="15.75" customHeight="1">
      <c r="B154" s="5"/>
      <c r="E154" s="5"/>
    </row>
    <row r="155" ht="15.75" customHeight="1">
      <c r="B155" s="5"/>
      <c r="E155" s="5"/>
    </row>
    <row r="156" ht="15.75" customHeight="1">
      <c r="B156" s="5"/>
      <c r="E156" s="5"/>
    </row>
    <row r="157" ht="15.75" customHeight="1">
      <c r="B157" s="5"/>
      <c r="E157" s="5"/>
    </row>
    <row r="158" ht="15.75" customHeight="1">
      <c r="B158" s="5"/>
      <c r="E158" s="5"/>
    </row>
    <row r="159" ht="15.75" customHeight="1">
      <c r="B159" s="5"/>
      <c r="E159" s="5"/>
    </row>
    <row r="160" ht="15.75" customHeight="1">
      <c r="B160" s="5"/>
      <c r="E160" s="5"/>
    </row>
    <row r="161" ht="15.75" customHeight="1">
      <c r="B161" s="5"/>
      <c r="E161" s="5"/>
    </row>
    <row r="162" ht="15.75" customHeight="1">
      <c r="B162" s="5"/>
      <c r="E162" s="5"/>
    </row>
    <row r="163" ht="15.75" customHeight="1">
      <c r="B163" s="5"/>
      <c r="E163" s="5"/>
    </row>
    <row r="164" ht="15.75" customHeight="1">
      <c r="B164" s="5"/>
      <c r="E164" s="5"/>
    </row>
    <row r="165" ht="15.75" customHeight="1">
      <c r="B165" s="5"/>
      <c r="E165" s="5"/>
    </row>
    <row r="166" ht="15.75" customHeight="1">
      <c r="B166" s="5"/>
      <c r="E166" s="5"/>
    </row>
    <row r="167" ht="15.75" customHeight="1">
      <c r="B167" s="5"/>
      <c r="E167" s="5"/>
    </row>
    <row r="168" ht="15.75" customHeight="1">
      <c r="B168" s="5"/>
      <c r="E168" s="5"/>
    </row>
    <row r="169" ht="15.75" customHeight="1">
      <c r="B169" s="5"/>
      <c r="E169" s="5"/>
    </row>
    <row r="170" ht="15.75" customHeight="1">
      <c r="B170" s="5"/>
      <c r="E170" s="5"/>
    </row>
    <row r="171" ht="15.75" customHeight="1">
      <c r="B171" s="5"/>
      <c r="E171" s="5"/>
    </row>
    <row r="172" ht="15.75" customHeight="1">
      <c r="B172" s="5"/>
      <c r="E172" s="5"/>
    </row>
    <row r="173" ht="15.75" customHeight="1">
      <c r="B173" s="5"/>
      <c r="E173" s="5"/>
    </row>
    <row r="174" ht="15.75" customHeight="1">
      <c r="B174" s="5"/>
      <c r="E174" s="5"/>
    </row>
    <row r="175" ht="15.75" customHeight="1">
      <c r="B175" s="5"/>
      <c r="E175" s="5"/>
    </row>
    <row r="176" ht="15.75" customHeight="1">
      <c r="B176" s="5"/>
      <c r="E176" s="5"/>
    </row>
    <row r="177" ht="15.75" customHeight="1">
      <c r="B177" s="5"/>
      <c r="E177" s="5"/>
    </row>
    <row r="178" ht="15.75" customHeight="1">
      <c r="B178" s="5"/>
      <c r="E178" s="5"/>
    </row>
    <row r="179" ht="15.75" customHeight="1">
      <c r="B179" s="5"/>
      <c r="E179" s="5"/>
    </row>
    <row r="180" ht="15.75" customHeight="1">
      <c r="B180" s="5"/>
      <c r="E180" s="5"/>
    </row>
    <row r="181" ht="15.75" customHeight="1">
      <c r="B181" s="5"/>
      <c r="E181" s="5"/>
    </row>
    <row r="182" ht="15.75" customHeight="1">
      <c r="B182" s="5"/>
      <c r="E182" s="5"/>
    </row>
    <row r="183" ht="15.75" customHeight="1">
      <c r="B183" s="5"/>
      <c r="E183" s="5"/>
    </row>
    <row r="184" ht="15.75" customHeight="1">
      <c r="B184" s="5"/>
      <c r="E184" s="5"/>
    </row>
    <row r="185" ht="15.75" customHeight="1">
      <c r="B185" s="5"/>
      <c r="E185" s="5"/>
    </row>
    <row r="186" ht="15.75" customHeight="1">
      <c r="B186" s="5"/>
      <c r="E186" s="5"/>
    </row>
    <row r="187" ht="15.75" customHeight="1">
      <c r="B187" s="5"/>
      <c r="E187" s="5"/>
    </row>
    <row r="188" ht="15.75" customHeight="1">
      <c r="B188" s="5"/>
      <c r="E188" s="5"/>
    </row>
    <row r="189" ht="15.75" customHeight="1">
      <c r="B189" s="5"/>
      <c r="E189" s="5"/>
    </row>
    <row r="190" ht="15.75" customHeight="1">
      <c r="B190" s="5"/>
      <c r="E190" s="5"/>
    </row>
    <row r="191" ht="15.75" customHeight="1">
      <c r="B191" s="5"/>
      <c r="E191" s="5"/>
    </row>
    <row r="192" ht="15.75" customHeight="1">
      <c r="B192" s="5"/>
      <c r="E192" s="5"/>
    </row>
    <row r="193" ht="15.75" customHeight="1">
      <c r="B193" s="5"/>
      <c r="E193" s="5"/>
    </row>
    <row r="194" ht="15.75" customHeight="1">
      <c r="B194" s="5"/>
      <c r="E194" s="5"/>
    </row>
    <row r="195" ht="15.75" customHeight="1">
      <c r="B195" s="5"/>
      <c r="E195" s="5"/>
    </row>
    <row r="196" ht="15.75" customHeight="1">
      <c r="B196" s="5"/>
      <c r="E196" s="5"/>
    </row>
    <row r="197" ht="15.75" customHeight="1">
      <c r="B197" s="5"/>
      <c r="E197" s="5"/>
    </row>
    <row r="198" ht="15.75" customHeight="1">
      <c r="B198" s="5"/>
      <c r="E198" s="5"/>
    </row>
    <row r="199" ht="15.75" customHeight="1">
      <c r="B199" s="5"/>
      <c r="E199" s="5"/>
    </row>
    <row r="200" ht="15.75" customHeight="1">
      <c r="B200" s="5"/>
      <c r="E200" s="5"/>
    </row>
    <row r="201" ht="15.75" customHeight="1">
      <c r="B201" s="5"/>
      <c r="E201" s="5"/>
    </row>
    <row r="202" ht="15.75" customHeight="1">
      <c r="B202" s="5"/>
      <c r="E202" s="5"/>
    </row>
    <row r="203" ht="15.75" customHeight="1">
      <c r="B203" s="5"/>
      <c r="E203" s="5"/>
    </row>
    <row r="204" ht="15.75" customHeight="1">
      <c r="B204" s="5"/>
      <c r="E204" s="5"/>
    </row>
    <row r="205" ht="15.75" customHeight="1">
      <c r="B205" s="5"/>
      <c r="E205" s="5"/>
    </row>
    <row r="206" ht="15.75" customHeight="1">
      <c r="B206" s="5"/>
      <c r="E206" s="5"/>
    </row>
    <row r="207" ht="15.75" customHeight="1">
      <c r="B207" s="5"/>
      <c r="E207" s="5"/>
    </row>
    <row r="208" ht="15.75" customHeight="1">
      <c r="B208" s="5"/>
      <c r="E208" s="5"/>
    </row>
    <row r="209" ht="15.75" customHeight="1">
      <c r="B209" s="5"/>
      <c r="E209" s="5"/>
    </row>
    <row r="210" ht="15.75" customHeight="1">
      <c r="B210" s="5"/>
      <c r="E210" s="5"/>
    </row>
    <row r="211" ht="15.75" customHeight="1">
      <c r="B211" s="5"/>
      <c r="E211" s="5"/>
    </row>
    <row r="212" ht="15.75" customHeight="1">
      <c r="B212" s="5"/>
      <c r="E212" s="5"/>
    </row>
    <row r="213" ht="15.75" customHeight="1">
      <c r="B213" s="5"/>
      <c r="E213" s="5"/>
    </row>
    <row r="214" ht="15.75" customHeight="1">
      <c r="B214" s="5"/>
      <c r="E214" s="5"/>
    </row>
    <row r="215" ht="15.75" customHeight="1">
      <c r="B215" s="5"/>
      <c r="E215" s="5"/>
    </row>
    <row r="216" ht="15.75" customHeight="1">
      <c r="B216" s="5"/>
      <c r="E216" s="5"/>
    </row>
    <row r="217" ht="15.75" customHeight="1">
      <c r="B217" s="5"/>
      <c r="E217" s="5"/>
    </row>
    <row r="218" ht="15.75" customHeight="1">
      <c r="B218" s="5"/>
      <c r="E218" s="5"/>
    </row>
    <row r="219" ht="15.75" customHeight="1">
      <c r="B219" s="5"/>
      <c r="E219" s="5"/>
    </row>
    <row r="220" ht="15.75" customHeight="1">
      <c r="B220" s="5"/>
      <c r="E220" s="5"/>
    </row>
    <row r="221" ht="15.75" customHeight="1">
      <c r="B221" s="5"/>
      <c r="E221" s="5"/>
    </row>
    <row r="222" ht="15.75" customHeight="1">
      <c r="B222" s="5"/>
      <c r="E222" s="5"/>
    </row>
    <row r="223" ht="15.75" customHeight="1">
      <c r="B223" s="5"/>
      <c r="E223" s="5"/>
    </row>
    <row r="224" ht="15.75" customHeight="1">
      <c r="B224" s="5"/>
      <c r="E224" s="5"/>
    </row>
    <row r="225" ht="15.75" customHeight="1">
      <c r="B225" s="5"/>
      <c r="E225" s="5"/>
    </row>
    <row r="226" ht="15.75" customHeight="1">
      <c r="B226" s="5"/>
      <c r="E226" s="5"/>
    </row>
    <row r="227" ht="15.75" customHeight="1">
      <c r="B227" s="5"/>
      <c r="E227" s="5"/>
    </row>
    <row r="228" ht="15.75" customHeight="1">
      <c r="B228" s="5"/>
      <c r="E228" s="5"/>
    </row>
    <row r="229" ht="15.75" customHeight="1">
      <c r="B229" s="5"/>
      <c r="E229" s="5"/>
    </row>
    <row r="230" ht="15.75" customHeight="1">
      <c r="B230" s="5"/>
      <c r="E230" s="5"/>
    </row>
    <row r="231" ht="15.75" customHeight="1">
      <c r="B231" s="5"/>
      <c r="E231" s="5"/>
    </row>
    <row r="232" ht="15.75" customHeight="1">
      <c r="B232" s="5"/>
      <c r="E232" s="5"/>
    </row>
    <row r="233" ht="15.75" customHeight="1">
      <c r="B233" s="5"/>
      <c r="E233" s="5"/>
    </row>
    <row r="234" ht="15.75" customHeight="1">
      <c r="B234" s="5"/>
      <c r="E234" s="5"/>
    </row>
    <row r="235" ht="15.75" customHeight="1">
      <c r="B235" s="5"/>
      <c r="E235" s="5"/>
    </row>
    <row r="236" ht="15.75" customHeight="1">
      <c r="B236" s="5"/>
      <c r="E236" s="5"/>
    </row>
    <row r="237" ht="15.75" customHeight="1">
      <c r="B237" s="5"/>
      <c r="E237" s="5"/>
    </row>
    <row r="238" ht="15.75" customHeight="1">
      <c r="B238" s="5"/>
      <c r="E238" s="5"/>
    </row>
    <row r="239" ht="15.75" customHeight="1">
      <c r="B239" s="5"/>
      <c r="E239" s="5"/>
    </row>
    <row r="240" ht="15.75" customHeight="1">
      <c r="B240" s="5"/>
      <c r="E240" s="5"/>
    </row>
    <row r="241" ht="15.75" customHeight="1">
      <c r="B241" s="5"/>
      <c r="E241" s="5"/>
    </row>
    <row r="242" ht="15.75" customHeight="1">
      <c r="B242" s="5"/>
      <c r="E242" s="5"/>
    </row>
    <row r="243" ht="15.75" customHeight="1">
      <c r="B243" s="5"/>
      <c r="E243" s="5"/>
    </row>
    <row r="244" ht="15.75" customHeight="1">
      <c r="B244" s="5"/>
      <c r="E244" s="5"/>
    </row>
    <row r="245" ht="15.75" customHeight="1">
      <c r="B245" s="5"/>
      <c r="E245" s="5"/>
    </row>
    <row r="246" ht="15.75" customHeight="1">
      <c r="B246" s="5"/>
      <c r="E246" s="5"/>
    </row>
    <row r="247" ht="15.75" customHeight="1">
      <c r="B247" s="5"/>
      <c r="E247" s="5"/>
    </row>
    <row r="248" ht="15.75" customHeight="1">
      <c r="B248" s="5"/>
      <c r="E248" s="5"/>
    </row>
    <row r="249" ht="15.75" customHeight="1">
      <c r="B249" s="5"/>
      <c r="E249" s="5"/>
    </row>
    <row r="250" ht="15.75" customHeight="1">
      <c r="B250" s="5"/>
      <c r="E250" s="5"/>
    </row>
    <row r="251" ht="15.75" customHeight="1">
      <c r="B251" s="5"/>
      <c r="E251" s="5"/>
    </row>
    <row r="252" ht="15.75" customHeight="1">
      <c r="B252" s="5"/>
      <c r="E252" s="5"/>
    </row>
    <row r="253" ht="15.75" customHeight="1">
      <c r="B253" s="5"/>
      <c r="E253" s="5"/>
    </row>
    <row r="254" ht="15.75" customHeight="1">
      <c r="B254" s="5"/>
      <c r="E254" s="5"/>
    </row>
    <row r="255" ht="15.75" customHeight="1">
      <c r="B255" s="5"/>
      <c r="E255" s="5"/>
    </row>
    <row r="256" ht="15.75" customHeight="1">
      <c r="B256" s="5"/>
      <c r="E256" s="5"/>
    </row>
    <row r="257" ht="15.75" customHeight="1">
      <c r="B257" s="5"/>
      <c r="E257" s="5"/>
    </row>
    <row r="258" ht="15.75" customHeight="1">
      <c r="B258" s="5"/>
      <c r="E258" s="5"/>
    </row>
    <row r="259" ht="15.75" customHeight="1">
      <c r="B259" s="5"/>
      <c r="E259" s="5"/>
    </row>
    <row r="260" ht="15.75" customHeight="1">
      <c r="B260" s="5"/>
      <c r="E260" s="5"/>
    </row>
    <row r="261" ht="15.75" customHeight="1">
      <c r="B261" s="5"/>
      <c r="E261" s="5"/>
    </row>
    <row r="262" ht="15.75" customHeight="1">
      <c r="B262" s="5"/>
      <c r="E262" s="5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G8:G24">
    <cfRule type="cellIs" dxfId="0" priority="1" operator="greaterThanOrEqual">
      <formula>$G$4</formula>
    </cfRule>
  </conditionalFormatting>
  <conditionalFormatting sqref="H8:H24">
    <cfRule type="cellIs" dxfId="0" priority="2" operator="greaterThanOrEqual">
      <formula>$H$4</formula>
    </cfRule>
  </conditionalFormatting>
  <conditionalFormatting sqref="I8:I24">
    <cfRule type="cellIs" dxfId="0" priority="3" operator="greaterThanOrEqual">
      <formula>$I$4</formula>
    </cfRule>
  </conditionalFormatting>
  <conditionalFormatting sqref="J8:J24">
    <cfRule type="cellIs" dxfId="0" priority="4" operator="greaterThanOrEqual">
      <formula>$J$4</formula>
    </cfRule>
  </conditionalFormatting>
  <conditionalFormatting sqref="K8:K24">
    <cfRule type="cellIs" dxfId="0" priority="5" operator="greaterThanOrEqual">
      <formula>$K$4</formula>
    </cfRule>
  </conditionalFormatting>
  <conditionalFormatting sqref="L8:L24">
    <cfRule type="cellIs" dxfId="0" priority="6" operator="greaterThanOrEqual">
      <formula>$L$4</formula>
    </cfRule>
  </conditionalFormatting>
  <conditionalFormatting sqref="M8:M24">
    <cfRule type="cellIs" dxfId="0" priority="7" operator="greaterThanOrEqual">
      <formula>$M$4</formula>
    </cfRule>
  </conditionalFormatting>
  <conditionalFormatting sqref="N8:N24">
    <cfRule type="cellIs" dxfId="0" priority="8" operator="greaterThanOrEqual">
      <formula>$N$4</formula>
    </cfRule>
  </conditionalFormatting>
  <conditionalFormatting sqref="O8:O24">
    <cfRule type="cellIs" dxfId="0" priority="9" operator="greaterThanOrEqual">
      <formula>$O$4</formula>
    </cfRule>
  </conditionalFormatting>
  <conditionalFormatting sqref="G8:G24">
    <cfRule type="cellIs" dxfId="1" priority="10" operator="between">
      <formula>$G$3</formula>
      <formula>$G$4</formula>
    </cfRule>
  </conditionalFormatting>
  <conditionalFormatting sqref="H8:H24">
    <cfRule type="cellIs" dxfId="1" priority="11" operator="between">
      <formula>$H$3</formula>
      <formula>$H$4</formula>
    </cfRule>
  </conditionalFormatting>
  <conditionalFormatting sqref="I8:I24">
    <cfRule type="cellIs" dxfId="1" priority="12" operator="between">
      <formula>I$3</formula>
      <formula>I$4</formula>
    </cfRule>
  </conditionalFormatting>
  <conditionalFormatting sqref="J8:J24">
    <cfRule type="cellIs" dxfId="1" priority="13" operator="between">
      <formula>$J$3</formula>
      <formula>$J$4</formula>
    </cfRule>
  </conditionalFormatting>
  <conditionalFormatting sqref="K8:K24">
    <cfRule type="cellIs" dxfId="1" priority="14" operator="between">
      <formula>$K$3</formula>
      <formula>$K$4</formula>
    </cfRule>
  </conditionalFormatting>
  <conditionalFormatting sqref="L8:L24">
    <cfRule type="cellIs" dxfId="1" priority="15" operator="between">
      <formula>$L$3</formula>
      <formula>$L$4</formula>
    </cfRule>
  </conditionalFormatting>
  <conditionalFormatting sqref="M8:M24">
    <cfRule type="cellIs" dxfId="1" priority="16" operator="between">
      <formula>$M$3</formula>
      <formula>$M$4</formula>
    </cfRule>
  </conditionalFormatting>
  <conditionalFormatting sqref="N8:N24">
    <cfRule type="cellIs" dxfId="1" priority="17" operator="between">
      <formula>$N$3</formula>
      <formula>$N$4</formula>
    </cfRule>
  </conditionalFormatting>
  <conditionalFormatting sqref="O8:O24">
    <cfRule type="cellIs" dxfId="1" priority="18" operator="between">
      <formula>$O$3</formula>
      <formula>$O$4</formula>
    </cfRule>
  </conditionalFormatting>
  <conditionalFormatting sqref="G8:G24">
    <cfRule type="cellIs" dxfId="2" priority="19" operator="lessThanOrEqual">
      <formula>$G$2</formula>
    </cfRule>
  </conditionalFormatting>
  <conditionalFormatting sqref="D46:D62 G46:AB62">
    <cfRule type="cellIs" dxfId="3" priority="20" operator="lessThanOrEqual">
      <formula>1</formula>
    </cfRule>
  </conditionalFormatting>
  <conditionalFormatting sqref="D27:D43 G27:AB43">
    <cfRule type="cellIs" dxfId="3" priority="21" operator="greaterThanOrEqual">
      <formula>365</formula>
    </cfRule>
  </conditionalFormatting>
  <conditionalFormatting sqref="D8:D24">
    <cfRule type="cellIs" dxfId="4" priority="22" operator="greaterThanOrEqual">
      <formula>$D$4</formula>
    </cfRule>
  </conditionalFormatting>
  <conditionalFormatting sqref="D8:D24">
    <cfRule type="cellIs" dxfId="2" priority="23" operator="lessThanOrEqual">
      <formula>$D$2</formula>
    </cfRule>
  </conditionalFormatting>
  <conditionalFormatting sqref="D8:D24">
    <cfRule type="cellIs" dxfId="1" priority="24" operator="between">
      <formula>$D$3</formula>
      <formula>$D$4</formula>
    </cfRule>
  </conditionalFormatting>
  <conditionalFormatting sqref="P8:P24">
    <cfRule type="cellIs" dxfId="2" priority="25" operator="lessThanOrEqual">
      <formula>$P$2</formula>
    </cfRule>
  </conditionalFormatting>
  <conditionalFormatting sqref="H8:H24">
    <cfRule type="cellIs" dxfId="2" priority="26" operator="lessThanOrEqual">
      <formula>$H$2</formula>
    </cfRule>
  </conditionalFormatting>
  <conditionalFormatting sqref="I8:I24">
    <cfRule type="cellIs" dxfId="2" priority="27" operator="lessThanOrEqual">
      <formula>$I$2</formula>
    </cfRule>
  </conditionalFormatting>
  <conditionalFormatting sqref="J8:J24">
    <cfRule type="cellIs" dxfId="2" priority="28" operator="lessThanOrEqual">
      <formula>$J$2</formula>
    </cfRule>
  </conditionalFormatting>
  <conditionalFormatting sqref="K8:K24">
    <cfRule type="cellIs" dxfId="2" priority="29" operator="lessThanOrEqual">
      <formula>$K$2</formula>
    </cfRule>
  </conditionalFormatting>
  <conditionalFormatting sqref="L8:L24">
    <cfRule type="cellIs" dxfId="2" priority="30" operator="lessThanOrEqual">
      <formula>$L$2</formula>
    </cfRule>
  </conditionalFormatting>
  <conditionalFormatting sqref="M8:M24">
    <cfRule type="cellIs" dxfId="2" priority="31" operator="lessThanOrEqual">
      <formula>$M$2</formula>
    </cfRule>
  </conditionalFormatting>
  <conditionalFormatting sqref="N8:N24">
    <cfRule type="cellIs" dxfId="2" priority="32" operator="lessThanOrEqual">
      <formula>$N$2</formula>
    </cfRule>
  </conditionalFormatting>
  <conditionalFormatting sqref="O8:O24">
    <cfRule type="cellIs" dxfId="2" priority="33" operator="lessThanOrEqual">
      <formula>$O$2</formula>
    </cfRule>
  </conditionalFormatting>
  <conditionalFormatting sqref="Q8:Q24">
    <cfRule type="cellIs" dxfId="2" priority="34" operator="lessThanOrEqual">
      <formula>$Q$2</formula>
    </cfRule>
  </conditionalFormatting>
  <conditionalFormatting sqref="R8:R24">
    <cfRule type="cellIs" dxfId="2" priority="35" operator="lessThanOrEqual">
      <formula>$R$2</formula>
    </cfRule>
  </conditionalFormatting>
  <conditionalFormatting sqref="S8:S24">
    <cfRule type="cellIs" dxfId="2" priority="36" operator="lessThanOrEqual">
      <formula>$S$2</formula>
    </cfRule>
  </conditionalFormatting>
  <conditionalFormatting sqref="T8:T24">
    <cfRule type="cellIs" dxfId="2" priority="37" operator="lessThanOrEqual">
      <formula>$T$2</formula>
    </cfRule>
  </conditionalFormatting>
  <conditionalFormatting sqref="U8:U24">
    <cfRule type="cellIs" dxfId="2" priority="38" operator="lessThanOrEqual">
      <formula>$U$2</formula>
    </cfRule>
  </conditionalFormatting>
  <conditionalFormatting sqref="V8:V24">
    <cfRule type="cellIs" dxfId="2" priority="39" operator="lessThanOrEqual">
      <formula>$V$2</formula>
    </cfRule>
  </conditionalFormatting>
  <conditionalFormatting sqref="W8:W24">
    <cfRule type="cellIs" dxfId="2" priority="40" operator="lessThanOrEqual">
      <formula>$W$2</formula>
    </cfRule>
  </conditionalFormatting>
  <conditionalFormatting sqref="X8:X24">
    <cfRule type="cellIs" dxfId="2" priority="41" operator="lessThanOrEqual">
      <formula>$X$2</formula>
    </cfRule>
  </conditionalFormatting>
  <conditionalFormatting sqref="Y8:Y24">
    <cfRule type="cellIs" dxfId="2" priority="42" operator="lessThanOrEqual">
      <formula>$Y$2</formula>
    </cfRule>
  </conditionalFormatting>
  <conditionalFormatting sqref="Z8:Z24">
    <cfRule type="cellIs" dxfId="2" priority="43" operator="lessThanOrEqual">
      <formula>$Z$2</formula>
    </cfRule>
  </conditionalFormatting>
  <conditionalFormatting sqref="AA8:AA24">
    <cfRule type="cellIs" dxfId="2" priority="44" operator="lessThanOrEqual">
      <formula>$AA$2</formula>
    </cfRule>
  </conditionalFormatting>
  <conditionalFormatting sqref="AB8:AB24">
    <cfRule type="cellIs" dxfId="2" priority="45" operator="lessThanOrEqual">
      <formula>$AB$2</formula>
    </cfRule>
  </conditionalFormatting>
  <conditionalFormatting sqref="P7:P24">
    <cfRule type="cellIs" dxfId="1" priority="46" operator="between">
      <formula>$P$3</formula>
      <formula>$P$4</formula>
    </cfRule>
  </conditionalFormatting>
  <conditionalFormatting sqref="Q8:Q24">
    <cfRule type="cellIs" dxfId="1" priority="47" operator="between">
      <formula>$Q$3</formula>
      <formula>$Q$4</formula>
    </cfRule>
  </conditionalFormatting>
  <conditionalFormatting sqref="R8:R24">
    <cfRule type="cellIs" dxfId="1" priority="48" operator="between">
      <formula>$R$3</formula>
      <formula>$R$4</formula>
    </cfRule>
  </conditionalFormatting>
  <conditionalFormatting sqref="S8:S24">
    <cfRule type="cellIs" dxfId="1" priority="49" operator="between">
      <formula>$S$3</formula>
      <formula>$S$4</formula>
    </cfRule>
  </conditionalFormatting>
  <conditionalFormatting sqref="T8:T24">
    <cfRule type="cellIs" dxfId="1" priority="50" operator="between">
      <formula>$T$3</formula>
      <formula>$T$4</formula>
    </cfRule>
  </conditionalFormatting>
  <conditionalFormatting sqref="U8:U24">
    <cfRule type="cellIs" dxfId="1" priority="51" operator="between">
      <formula>$U$3</formula>
      <formula>$U$4</formula>
    </cfRule>
  </conditionalFormatting>
  <conditionalFormatting sqref="V8:V24">
    <cfRule type="cellIs" dxfId="1" priority="52" operator="between">
      <formula>$V$3</formula>
      <formula>$V$4</formula>
    </cfRule>
  </conditionalFormatting>
  <conditionalFormatting sqref="W8:W24">
    <cfRule type="cellIs" dxfId="1" priority="53" operator="between">
      <formula>$W$3</formula>
      <formula>$W$4</formula>
    </cfRule>
  </conditionalFormatting>
  <conditionalFormatting sqref="X8:X24">
    <cfRule type="cellIs" dxfId="1" priority="54" operator="between">
      <formula>$X$3</formula>
      <formula>$X$4</formula>
    </cfRule>
  </conditionalFormatting>
  <conditionalFormatting sqref="Y8:Y24">
    <cfRule type="cellIs" dxfId="1" priority="55" operator="between">
      <formula>$Y$3</formula>
      <formula>$Y$4</formula>
    </cfRule>
  </conditionalFormatting>
  <conditionalFormatting sqref="Z8:Z24">
    <cfRule type="cellIs" dxfId="1" priority="56" operator="between">
      <formula>$Z$3</formula>
      <formula>$Z$4</formula>
    </cfRule>
  </conditionalFormatting>
  <conditionalFormatting sqref="AA8:AA24">
    <cfRule type="cellIs" dxfId="1" priority="57" operator="between">
      <formula>$AA$3</formula>
      <formula>$AA$4</formula>
    </cfRule>
  </conditionalFormatting>
  <conditionalFormatting sqref="AB8:AB24">
    <cfRule type="cellIs" dxfId="1" priority="58" operator="between">
      <formula>$AB$3</formula>
      <formula>$AB$4</formula>
    </cfRule>
  </conditionalFormatting>
  <conditionalFormatting sqref="P8:P24">
    <cfRule type="cellIs" dxfId="0" priority="59" operator="greaterThanOrEqual">
      <formula>$P$4</formula>
    </cfRule>
  </conditionalFormatting>
  <conditionalFormatting sqref="Q8:Q24">
    <cfRule type="cellIs" dxfId="0" priority="60" operator="greaterThanOrEqual">
      <formula>$O$4</formula>
    </cfRule>
  </conditionalFormatting>
  <conditionalFormatting sqref="R8:R24">
    <cfRule type="cellIs" dxfId="0" priority="61" operator="greaterThanOrEqual">
      <formula>$R$4</formula>
    </cfRule>
  </conditionalFormatting>
  <conditionalFormatting sqref="S8:S24">
    <cfRule type="cellIs" dxfId="0" priority="62" operator="greaterThanOrEqual">
      <formula>$S$4</formula>
    </cfRule>
  </conditionalFormatting>
  <conditionalFormatting sqref="T8:T24">
    <cfRule type="cellIs" dxfId="0" priority="63" operator="greaterThanOrEqual">
      <formula>$T$4</formula>
    </cfRule>
  </conditionalFormatting>
  <conditionalFormatting sqref="U8:U24">
    <cfRule type="cellIs" dxfId="0" priority="64" operator="greaterThanOrEqual">
      <formula>$U$4</formula>
    </cfRule>
  </conditionalFormatting>
  <conditionalFormatting sqref="V8:V24">
    <cfRule type="cellIs" dxfId="0" priority="65" operator="greaterThanOrEqual">
      <formula>$V$4</formula>
    </cfRule>
  </conditionalFormatting>
  <conditionalFormatting sqref="W8:W24">
    <cfRule type="cellIs" dxfId="0" priority="66" operator="greaterThanOrEqual">
      <formula>$W$4</formula>
    </cfRule>
  </conditionalFormatting>
  <conditionalFormatting sqref="X8:X24">
    <cfRule type="cellIs" dxfId="0" priority="67" operator="greaterThanOrEqual">
      <formula>$X$4</formula>
    </cfRule>
  </conditionalFormatting>
  <conditionalFormatting sqref="Y8:Y24">
    <cfRule type="cellIs" dxfId="0" priority="68" operator="greaterThanOrEqual">
      <formula>$Y$4</formula>
    </cfRule>
  </conditionalFormatting>
  <conditionalFormatting sqref="Z8:Z24">
    <cfRule type="cellIs" dxfId="0" priority="69" operator="greaterThanOrEqual">
      <formula>$Z$4</formula>
    </cfRule>
  </conditionalFormatting>
  <conditionalFormatting sqref="AA8:AA24">
    <cfRule type="cellIs" dxfId="0" priority="70" operator="greaterThanOrEqual">
      <formula>$AA$4</formula>
    </cfRule>
  </conditionalFormatting>
  <conditionalFormatting sqref="AB8:AB24">
    <cfRule type="cellIs" dxfId="0" priority="71" operator="greaterThanOrEqual">
      <formula>$AB$4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.38"/>
    <col customWidth="1" min="3" max="3" width="10.5"/>
    <col customWidth="1" min="4" max="4" width="12.63"/>
    <col customWidth="1" min="5" max="5" width="2.38"/>
    <col customWidth="1" min="6" max="6" width="10.5"/>
    <col customWidth="1" min="9" max="10" width="14.63"/>
  </cols>
  <sheetData>
    <row r="1" ht="15.75" customHeight="1">
      <c r="A1" s="34"/>
      <c r="B1" s="5"/>
      <c r="C1" s="34" t="s">
        <v>47</v>
      </c>
      <c r="E1" s="5"/>
      <c r="F1" s="35"/>
      <c r="G1" s="34" t="s">
        <v>48</v>
      </c>
    </row>
    <row r="2" ht="15.75" customHeight="1">
      <c r="A2" s="36" t="s">
        <v>49</v>
      </c>
      <c r="B2" s="5"/>
      <c r="C2" s="37" t="s">
        <v>50</v>
      </c>
      <c r="D2" s="38">
        <f>D3/12</f>
        <v>0.01893939394</v>
      </c>
      <c r="E2" s="5"/>
      <c r="F2" s="37" t="s">
        <v>50</v>
      </c>
      <c r="G2" s="38">
        <f t="shared" ref="G2:AB2" si="1">G3/12</f>
        <v>0.0946969697</v>
      </c>
      <c r="H2" s="38">
        <f t="shared" si="1"/>
        <v>7.575757576</v>
      </c>
      <c r="I2" s="38">
        <f t="shared" si="1"/>
        <v>5.681818182</v>
      </c>
      <c r="J2" s="38">
        <f t="shared" si="1"/>
        <v>4.734848485</v>
      </c>
      <c r="K2" s="38">
        <f t="shared" si="1"/>
        <v>0.01893939394</v>
      </c>
      <c r="L2" s="38">
        <f t="shared" si="1"/>
        <v>0.01893939394</v>
      </c>
      <c r="M2" s="38">
        <f t="shared" si="1"/>
        <v>0.01893939394</v>
      </c>
      <c r="N2" s="38">
        <f t="shared" si="1"/>
        <v>0.01893939394</v>
      </c>
      <c r="O2" s="38">
        <f t="shared" si="1"/>
        <v>0.01893939394</v>
      </c>
      <c r="P2" s="38">
        <f t="shared" si="1"/>
        <v>0.01893939394</v>
      </c>
      <c r="Q2" s="38">
        <f t="shared" si="1"/>
        <v>0.01893939394</v>
      </c>
      <c r="R2" s="38">
        <f t="shared" si="1"/>
        <v>0.01893939394</v>
      </c>
      <c r="S2" s="38">
        <f t="shared" si="1"/>
        <v>0.01893939394</v>
      </c>
      <c r="T2" s="38">
        <f t="shared" si="1"/>
        <v>0.01893939394</v>
      </c>
      <c r="U2" s="38">
        <f t="shared" si="1"/>
        <v>0.01893939394</v>
      </c>
      <c r="V2" s="38">
        <f t="shared" si="1"/>
        <v>0.01893939394</v>
      </c>
      <c r="W2" s="38">
        <f t="shared" si="1"/>
        <v>0.01893939394</v>
      </c>
      <c r="X2" s="38">
        <f t="shared" si="1"/>
        <v>0.01893939394</v>
      </c>
      <c r="Y2" s="38">
        <f t="shared" si="1"/>
        <v>0.01893939394</v>
      </c>
      <c r="Z2" s="38">
        <f t="shared" si="1"/>
        <v>0.01893939394</v>
      </c>
      <c r="AA2" s="38">
        <f t="shared" si="1"/>
        <v>0.01893939394</v>
      </c>
      <c r="AB2" s="38">
        <f t="shared" si="1"/>
        <v>0.01893939394</v>
      </c>
    </row>
    <row r="3" ht="15.75" customHeight="1">
      <c r="B3" s="5"/>
      <c r="C3" s="37" t="s">
        <v>51</v>
      </c>
      <c r="D3" s="38">
        <f>D4/4.4</f>
        <v>0.2272727273</v>
      </c>
      <c r="E3" s="5"/>
      <c r="F3" s="37" t="s">
        <v>51</v>
      </c>
      <c r="G3" s="38">
        <f t="shared" ref="G3:AB3" si="2">G4/4.4</f>
        <v>1.136363636</v>
      </c>
      <c r="H3" s="38">
        <f t="shared" si="2"/>
        <v>90.90909091</v>
      </c>
      <c r="I3" s="38">
        <f t="shared" si="2"/>
        <v>68.18181818</v>
      </c>
      <c r="J3" s="38">
        <f t="shared" si="2"/>
        <v>56.81818182</v>
      </c>
      <c r="K3" s="38">
        <f t="shared" si="2"/>
        <v>0.2272727273</v>
      </c>
      <c r="L3" s="38">
        <f t="shared" si="2"/>
        <v>0.2272727273</v>
      </c>
      <c r="M3" s="38">
        <f t="shared" si="2"/>
        <v>0.2272727273</v>
      </c>
      <c r="N3" s="38">
        <f t="shared" si="2"/>
        <v>0.2272727273</v>
      </c>
      <c r="O3" s="38">
        <f t="shared" si="2"/>
        <v>0.2272727273</v>
      </c>
      <c r="P3" s="38">
        <f t="shared" si="2"/>
        <v>0.2272727273</v>
      </c>
      <c r="Q3" s="38">
        <f t="shared" si="2"/>
        <v>0.2272727273</v>
      </c>
      <c r="R3" s="38">
        <f t="shared" si="2"/>
        <v>0.2272727273</v>
      </c>
      <c r="S3" s="38">
        <f t="shared" si="2"/>
        <v>0.2272727273</v>
      </c>
      <c r="T3" s="38">
        <f t="shared" si="2"/>
        <v>0.2272727273</v>
      </c>
      <c r="U3" s="38">
        <f t="shared" si="2"/>
        <v>0.2272727273</v>
      </c>
      <c r="V3" s="38">
        <f t="shared" si="2"/>
        <v>0.2272727273</v>
      </c>
      <c r="W3" s="38">
        <f t="shared" si="2"/>
        <v>0.2272727273</v>
      </c>
      <c r="X3" s="38">
        <f t="shared" si="2"/>
        <v>0.2272727273</v>
      </c>
      <c r="Y3" s="38">
        <f t="shared" si="2"/>
        <v>0.2272727273</v>
      </c>
      <c r="Z3" s="38">
        <f t="shared" si="2"/>
        <v>0.2272727273</v>
      </c>
      <c r="AA3" s="38">
        <f t="shared" si="2"/>
        <v>0.2272727273</v>
      </c>
      <c r="AB3" s="38">
        <f t="shared" si="2"/>
        <v>0.2272727273</v>
      </c>
    </row>
    <row r="4" ht="15.75" customHeight="1">
      <c r="B4" s="5"/>
      <c r="C4" s="37" t="s">
        <v>52</v>
      </c>
      <c r="D4" s="39">
        <v>1.0</v>
      </c>
      <c r="E4" s="5"/>
      <c r="F4" s="37" t="s">
        <v>52</v>
      </c>
      <c r="G4" s="39">
        <v>5.0</v>
      </c>
      <c r="H4" s="39">
        <v>400.0</v>
      </c>
      <c r="I4" s="39">
        <v>300.0</v>
      </c>
      <c r="J4" s="39">
        <v>250.0</v>
      </c>
      <c r="K4" s="39">
        <v>1.0</v>
      </c>
      <c r="L4" s="39">
        <v>1.0</v>
      </c>
      <c r="M4" s="39">
        <v>1.0</v>
      </c>
      <c r="N4" s="39">
        <v>1.0</v>
      </c>
      <c r="O4" s="39">
        <v>1.0</v>
      </c>
      <c r="P4" s="39">
        <v>1.0</v>
      </c>
      <c r="Q4" s="39">
        <v>1.0</v>
      </c>
      <c r="R4" s="39">
        <v>1.0</v>
      </c>
      <c r="S4" s="39">
        <v>1.0</v>
      </c>
      <c r="T4" s="39">
        <v>1.0</v>
      </c>
      <c r="U4" s="39">
        <v>1.0</v>
      </c>
      <c r="V4" s="39">
        <v>1.0</v>
      </c>
      <c r="W4" s="39">
        <v>1.0</v>
      </c>
      <c r="X4" s="39">
        <v>1.0</v>
      </c>
      <c r="Y4" s="39">
        <v>1.0</v>
      </c>
      <c r="Z4" s="39">
        <v>1.0</v>
      </c>
      <c r="AA4" s="39">
        <v>1.0</v>
      </c>
      <c r="AB4" s="39">
        <v>1.0</v>
      </c>
    </row>
    <row r="5" ht="25.5" customHeight="1">
      <c r="B5" s="56"/>
      <c r="C5" s="57" t="s">
        <v>53</v>
      </c>
      <c r="D5" s="58">
        <v>1.0</v>
      </c>
      <c r="E5" s="56"/>
      <c r="F5" s="57" t="s">
        <v>53</v>
      </c>
      <c r="G5" s="39">
        <v>10.0</v>
      </c>
      <c r="H5" s="39">
        <v>10.0</v>
      </c>
      <c r="I5" s="39">
        <v>3.0</v>
      </c>
      <c r="J5" s="39">
        <v>2.0</v>
      </c>
      <c r="K5" s="39">
        <v>1.0</v>
      </c>
      <c r="L5" s="39">
        <v>1.0</v>
      </c>
      <c r="M5" s="39">
        <v>1.0</v>
      </c>
      <c r="N5" s="39">
        <v>1.0</v>
      </c>
      <c r="O5" s="39">
        <v>1.0</v>
      </c>
      <c r="P5" s="39">
        <v>1.0</v>
      </c>
      <c r="Q5" s="39">
        <v>1.0</v>
      </c>
      <c r="R5" s="39">
        <v>1.0</v>
      </c>
      <c r="S5" s="39">
        <v>1.0</v>
      </c>
      <c r="T5" s="39">
        <v>1.0</v>
      </c>
      <c r="U5" s="39">
        <v>1.0</v>
      </c>
      <c r="V5" s="39">
        <v>1.0</v>
      </c>
      <c r="W5" s="39">
        <v>1.0</v>
      </c>
      <c r="X5" s="39">
        <v>1.0</v>
      </c>
      <c r="Y5" s="39">
        <v>1.0</v>
      </c>
      <c r="Z5" s="39">
        <v>1.0</v>
      </c>
      <c r="AA5" s="39">
        <v>1.0</v>
      </c>
      <c r="AB5" s="39">
        <v>1.0</v>
      </c>
    </row>
    <row r="6" ht="15.75" customHeight="1">
      <c r="A6" s="35"/>
      <c r="B6" s="5"/>
      <c r="C6" s="5"/>
      <c r="E6" s="5"/>
      <c r="F6" s="35"/>
      <c r="G6" s="35" t="s">
        <v>54</v>
      </c>
    </row>
    <row r="7" ht="15.75" customHeight="1">
      <c r="A7" s="42" t="s">
        <v>12</v>
      </c>
      <c r="B7" s="5"/>
      <c r="C7" s="10" t="s">
        <v>3</v>
      </c>
      <c r="D7" s="10" t="s">
        <v>55</v>
      </c>
      <c r="E7" s="5"/>
      <c r="F7" s="10" t="s">
        <v>3</v>
      </c>
      <c r="G7" s="10" t="s">
        <v>97</v>
      </c>
      <c r="H7" s="10" t="s">
        <v>98</v>
      </c>
      <c r="I7" s="10" t="s">
        <v>99</v>
      </c>
      <c r="J7" s="10" t="s">
        <v>100</v>
      </c>
      <c r="K7" s="10"/>
      <c r="L7" s="10"/>
      <c r="M7" s="10"/>
      <c r="N7" s="10"/>
      <c r="O7" s="10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ht="15.75" customHeight="1">
      <c r="A8" s="21">
        <f>'Soul Energy Tiers'!K3</f>
        <v>400</v>
      </c>
      <c r="B8" s="5"/>
      <c r="C8" s="15" t="s">
        <v>13</v>
      </c>
      <c r="D8" s="46">
        <f t="shared" ref="D8:D24" si="5">($A8/D$5)/365</f>
        <v>1.095890411</v>
      </c>
      <c r="E8" s="5"/>
      <c r="F8" s="15" t="s">
        <v>13</v>
      </c>
      <c r="G8" s="46">
        <f t="shared" ref="G8:O8" si="3">($A8/G$5)/365</f>
        <v>0.1095890411</v>
      </c>
      <c r="H8" s="46">
        <f t="shared" si="3"/>
        <v>0.1095890411</v>
      </c>
      <c r="I8" s="46">
        <f t="shared" si="3"/>
        <v>0.3652968037</v>
      </c>
      <c r="J8" s="46">
        <f t="shared" si="3"/>
        <v>0.5479452055</v>
      </c>
      <c r="K8" s="46">
        <f t="shared" si="3"/>
        <v>1.095890411</v>
      </c>
      <c r="L8" s="46">
        <f t="shared" si="3"/>
        <v>1.095890411</v>
      </c>
      <c r="M8" s="46">
        <f t="shared" si="3"/>
        <v>1.095890411</v>
      </c>
      <c r="N8" s="46">
        <f t="shared" si="3"/>
        <v>1.095890411</v>
      </c>
      <c r="O8" s="49">
        <f t="shared" si="3"/>
        <v>1.095890411</v>
      </c>
      <c r="P8" s="50">
        <f t="shared" ref="P8:AB8" si="4">($A8/N$5)/365</f>
        <v>1.095890411</v>
      </c>
      <c r="Q8" s="50">
        <f t="shared" si="4"/>
        <v>1.095890411</v>
      </c>
      <c r="R8" s="50">
        <f t="shared" si="4"/>
        <v>1.095890411</v>
      </c>
      <c r="S8" s="50">
        <f t="shared" si="4"/>
        <v>1.095890411</v>
      </c>
      <c r="T8" s="50">
        <f t="shared" si="4"/>
        <v>1.095890411</v>
      </c>
      <c r="U8" s="50">
        <f t="shared" si="4"/>
        <v>1.095890411</v>
      </c>
      <c r="V8" s="50">
        <f t="shared" si="4"/>
        <v>1.095890411</v>
      </c>
      <c r="W8" s="50">
        <f t="shared" si="4"/>
        <v>1.095890411</v>
      </c>
      <c r="X8" s="50">
        <f t="shared" si="4"/>
        <v>1.095890411</v>
      </c>
      <c r="Y8" s="50">
        <f t="shared" si="4"/>
        <v>1.095890411</v>
      </c>
      <c r="Z8" s="50">
        <f t="shared" si="4"/>
        <v>1.095890411</v>
      </c>
      <c r="AA8" s="50">
        <f t="shared" si="4"/>
        <v>1.095890411</v>
      </c>
      <c r="AB8" s="50">
        <f t="shared" si="4"/>
        <v>1.095890411</v>
      </c>
    </row>
    <row r="9" ht="15.75" customHeight="1">
      <c r="A9" s="21">
        <f>'Soul Energy Tiers'!K4</f>
        <v>1200</v>
      </c>
      <c r="B9" s="5"/>
      <c r="C9" s="24" t="s">
        <v>15</v>
      </c>
      <c r="D9" s="46">
        <f t="shared" si="5"/>
        <v>3.287671233</v>
      </c>
      <c r="E9" s="5"/>
      <c r="F9" s="24" t="s">
        <v>15</v>
      </c>
      <c r="G9" s="46">
        <f t="shared" ref="G9:O9" si="6">($A9/G$5)/365</f>
        <v>0.3287671233</v>
      </c>
      <c r="H9" s="46">
        <f t="shared" si="6"/>
        <v>0.3287671233</v>
      </c>
      <c r="I9" s="46">
        <f t="shared" si="6"/>
        <v>1.095890411</v>
      </c>
      <c r="J9" s="46">
        <f t="shared" si="6"/>
        <v>1.643835616</v>
      </c>
      <c r="K9" s="46">
        <f t="shared" si="6"/>
        <v>3.287671233</v>
      </c>
      <c r="L9" s="46">
        <f t="shared" si="6"/>
        <v>3.287671233</v>
      </c>
      <c r="M9" s="46">
        <f t="shared" si="6"/>
        <v>3.287671233</v>
      </c>
      <c r="N9" s="46">
        <f t="shared" si="6"/>
        <v>3.287671233</v>
      </c>
      <c r="O9" s="49">
        <f t="shared" si="6"/>
        <v>3.287671233</v>
      </c>
      <c r="P9" s="50">
        <f t="shared" ref="P9:AB9" si="7">($A9/N$5)/365</f>
        <v>3.287671233</v>
      </c>
      <c r="Q9" s="50">
        <f t="shared" si="7"/>
        <v>3.287671233</v>
      </c>
      <c r="R9" s="50">
        <f t="shared" si="7"/>
        <v>3.287671233</v>
      </c>
      <c r="S9" s="50">
        <f t="shared" si="7"/>
        <v>3.287671233</v>
      </c>
      <c r="T9" s="50">
        <f t="shared" si="7"/>
        <v>3.287671233</v>
      </c>
      <c r="U9" s="50">
        <f t="shared" si="7"/>
        <v>3.287671233</v>
      </c>
      <c r="V9" s="50">
        <f t="shared" si="7"/>
        <v>3.287671233</v>
      </c>
      <c r="W9" s="50">
        <f t="shared" si="7"/>
        <v>3.287671233</v>
      </c>
      <c r="X9" s="50">
        <f t="shared" si="7"/>
        <v>3.287671233</v>
      </c>
      <c r="Y9" s="50">
        <f t="shared" si="7"/>
        <v>3.287671233</v>
      </c>
      <c r="Z9" s="50">
        <f t="shared" si="7"/>
        <v>3.287671233</v>
      </c>
      <c r="AA9" s="50">
        <f t="shared" si="7"/>
        <v>3.287671233</v>
      </c>
      <c r="AB9" s="50">
        <f t="shared" si="7"/>
        <v>3.287671233</v>
      </c>
    </row>
    <row r="10" ht="15.75" customHeight="1">
      <c r="A10" s="21">
        <f>'Soul Energy Tiers'!K5</f>
        <v>2800</v>
      </c>
      <c r="B10" s="5"/>
      <c r="C10" s="24" t="s">
        <v>17</v>
      </c>
      <c r="D10" s="46">
        <f t="shared" si="5"/>
        <v>7.671232877</v>
      </c>
      <c r="E10" s="5"/>
      <c r="F10" s="24" t="s">
        <v>17</v>
      </c>
      <c r="G10" s="46">
        <f t="shared" ref="G10:O10" si="8">($A10/G$5)/365</f>
        <v>0.7671232877</v>
      </c>
      <c r="H10" s="46">
        <f t="shared" si="8"/>
        <v>0.7671232877</v>
      </c>
      <c r="I10" s="46">
        <f t="shared" si="8"/>
        <v>2.557077626</v>
      </c>
      <c r="J10" s="46">
        <f t="shared" si="8"/>
        <v>3.835616438</v>
      </c>
      <c r="K10" s="46">
        <f t="shared" si="8"/>
        <v>7.671232877</v>
      </c>
      <c r="L10" s="46">
        <f t="shared" si="8"/>
        <v>7.671232877</v>
      </c>
      <c r="M10" s="46">
        <f t="shared" si="8"/>
        <v>7.671232877</v>
      </c>
      <c r="N10" s="46">
        <f t="shared" si="8"/>
        <v>7.671232877</v>
      </c>
      <c r="O10" s="49">
        <f t="shared" si="8"/>
        <v>7.671232877</v>
      </c>
      <c r="P10" s="50">
        <f t="shared" ref="P10:AB10" si="9">($A10/N$5)/365</f>
        <v>7.671232877</v>
      </c>
      <c r="Q10" s="50">
        <f t="shared" si="9"/>
        <v>7.671232877</v>
      </c>
      <c r="R10" s="50">
        <f t="shared" si="9"/>
        <v>7.671232877</v>
      </c>
      <c r="S10" s="50">
        <f t="shared" si="9"/>
        <v>7.671232877</v>
      </c>
      <c r="T10" s="50">
        <f t="shared" si="9"/>
        <v>7.671232877</v>
      </c>
      <c r="U10" s="50">
        <f t="shared" si="9"/>
        <v>7.671232877</v>
      </c>
      <c r="V10" s="50">
        <f t="shared" si="9"/>
        <v>7.671232877</v>
      </c>
      <c r="W10" s="50">
        <f t="shared" si="9"/>
        <v>7.671232877</v>
      </c>
      <c r="X10" s="50">
        <f t="shared" si="9"/>
        <v>7.671232877</v>
      </c>
      <c r="Y10" s="50">
        <f t="shared" si="9"/>
        <v>7.671232877</v>
      </c>
      <c r="Z10" s="50">
        <f t="shared" si="9"/>
        <v>7.671232877</v>
      </c>
      <c r="AA10" s="50">
        <f t="shared" si="9"/>
        <v>7.671232877</v>
      </c>
      <c r="AB10" s="50">
        <f t="shared" si="9"/>
        <v>7.671232877</v>
      </c>
    </row>
    <row r="11" ht="15.75" customHeight="1">
      <c r="A11" s="21">
        <f>'Soul Energy Tiers'!K6</f>
        <v>6000</v>
      </c>
      <c r="B11" s="5"/>
      <c r="C11" s="24" t="s">
        <v>19</v>
      </c>
      <c r="D11" s="46">
        <f t="shared" si="5"/>
        <v>16.43835616</v>
      </c>
      <c r="E11" s="5"/>
      <c r="F11" s="24" t="s">
        <v>19</v>
      </c>
      <c r="G11" s="46">
        <f t="shared" ref="G11:O11" si="10">($A11/G$5)/365</f>
        <v>1.643835616</v>
      </c>
      <c r="H11" s="46">
        <f t="shared" si="10"/>
        <v>1.643835616</v>
      </c>
      <c r="I11" s="46">
        <f t="shared" si="10"/>
        <v>5.479452055</v>
      </c>
      <c r="J11" s="46">
        <f t="shared" si="10"/>
        <v>8.219178082</v>
      </c>
      <c r="K11" s="46">
        <f t="shared" si="10"/>
        <v>16.43835616</v>
      </c>
      <c r="L11" s="46">
        <f t="shared" si="10"/>
        <v>16.43835616</v>
      </c>
      <c r="M11" s="46">
        <f t="shared" si="10"/>
        <v>16.43835616</v>
      </c>
      <c r="N11" s="46">
        <f t="shared" si="10"/>
        <v>16.43835616</v>
      </c>
      <c r="O11" s="49">
        <f t="shared" si="10"/>
        <v>16.43835616</v>
      </c>
      <c r="P11" s="50">
        <f t="shared" ref="P11:AB11" si="11">($A11/N$5)/365</f>
        <v>16.43835616</v>
      </c>
      <c r="Q11" s="50">
        <f t="shared" si="11"/>
        <v>16.43835616</v>
      </c>
      <c r="R11" s="50">
        <f t="shared" si="11"/>
        <v>16.43835616</v>
      </c>
      <c r="S11" s="50">
        <f t="shared" si="11"/>
        <v>16.43835616</v>
      </c>
      <c r="T11" s="50">
        <f t="shared" si="11"/>
        <v>16.43835616</v>
      </c>
      <c r="U11" s="50">
        <f t="shared" si="11"/>
        <v>16.43835616</v>
      </c>
      <c r="V11" s="50">
        <f t="shared" si="11"/>
        <v>16.43835616</v>
      </c>
      <c r="W11" s="50">
        <f t="shared" si="11"/>
        <v>16.43835616</v>
      </c>
      <c r="X11" s="50">
        <f t="shared" si="11"/>
        <v>16.43835616</v>
      </c>
      <c r="Y11" s="50">
        <f t="shared" si="11"/>
        <v>16.43835616</v>
      </c>
      <c r="Z11" s="50">
        <f t="shared" si="11"/>
        <v>16.43835616</v>
      </c>
      <c r="AA11" s="50">
        <f t="shared" si="11"/>
        <v>16.43835616</v>
      </c>
      <c r="AB11" s="50">
        <f t="shared" si="11"/>
        <v>16.43835616</v>
      </c>
    </row>
    <row r="12" ht="15.75" customHeight="1">
      <c r="A12" s="21">
        <f>'Soul Energy Tiers'!K7</f>
        <v>12400</v>
      </c>
      <c r="B12" s="5"/>
      <c r="C12" s="24" t="s">
        <v>21</v>
      </c>
      <c r="D12" s="46">
        <f t="shared" si="5"/>
        <v>33.97260274</v>
      </c>
      <c r="E12" s="5"/>
      <c r="F12" s="24" t="s">
        <v>21</v>
      </c>
      <c r="G12" s="46">
        <f t="shared" ref="G12:O12" si="12">($A12/G$5)/365</f>
        <v>3.397260274</v>
      </c>
      <c r="H12" s="46">
        <f t="shared" si="12"/>
        <v>3.397260274</v>
      </c>
      <c r="I12" s="46">
        <f t="shared" si="12"/>
        <v>11.32420091</v>
      </c>
      <c r="J12" s="46">
        <f t="shared" si="12"/>
        <v>16.98630137</v>
      </c>
      <c r="K12" s="46">
        <f t="shared" si="12"/>
        <v>33.97260274</v>
      </c>
      <c r="L12" s="46">
        <f t="shared" si="12"/>
        <v>33.97260274</v>
      </c>
      <c r="M12" s="46">
        <f t="shared" si="12"/>
        <v>33.97260274</v>
      </c>
      <c r="N12" s="46">
        <f t="shared" si="12"/>
        <v>33.97260274</v>
      </c>
      <c r="O12" s="49">
        <f t="shared" si="12"/>
        <v>33.97260274</v>
      </c>
      <c r="P12" s="50">
        <f t="shared" ref="P12:AB12" si="13">($A12/N$5)/365</f>
        <v>33.97260274</v>
      </c>
      <c r="Q12" s="50">
        <f t="shared" si="13"/>
        <v>33.97260274</v>
      </c>
      <c r="R12" s="50">
        <f t="shared" si="13"/>
        <v>33.97260274</v>
      </c>
      <c r="S12" s="50">
        <f t="shared" si="13"/>
        <v>33.97260274</v>
      </c>
      <c r="T12" s="50">
        <f t="shared" si="13"/>
        <v>33.97260274</v>
      </c>
      <c r="U12" s="50">
        <f t="shared" si="13"/>
        <v>33.97260274</v>
      </c>
      <c r="V12" s="50">
        <f t="shared" si="13"/>
        <v>33.97260274</v>
      </c>
      <c r="W12" s="50">
        <f t="shared" si="13"/>
        <v>33.97260274</v>
      </c>
      <c r="X12" s="50">
        <f t="shared" si="13"/>
        <v>33.97260274</v>
      </c>
      <c r="Y12" s="50">
        <f t="shared" si="13"/>
        <v>33.97260274</v>
      </c>
      <c r="Z12" s="50">
        <f t="shared" si="13"/>
        <v>33.97260274</v>
      </c>
      <c r="AA12" s="50">
        <f t="shared" si="13"/>
        <v>33.97260274</v>
      </c>
      <c r="AB12" s="50">
        <f t="shared" si="13"/>
        <v>33.97260274</v>
      </c>
    </row>
    <row r="13" ht="15.75" customHeight="1">
      <c r="A13" s="21">
        <f>'Soul Energy Tiers'!K8</f>
        <v>25200</v>
      </c>
      <c r="B13" s="5"/>
      <c r="C13" s="24" t="s">
        <v>23</v>
      </c>
      <c r="D13" s="46">
        <f t="shared" si="5"/>
        <v>69.04109589</v>
      </c>
      <c r="E13" s="5"/>
      <c r="F13" s="24" t="s">
        <v>23</v>
      </c>
      <c r="G13" s="46">
        <f t="shared" ref="G13:O13" si="14">($A13/G$5)/365</f>
        <v>6.904109589</v>
      </c>
      <c r="H13" s="46">
        <f t="shared" si="14"/>
        <v>6.904109589</v>
      </c>
      <c r="I13" s="46">
        <f t="shared" si="14"/>
        <v>23.01369863</v>
      </c>
      <c r="J13" s="46">
        <f t="shared" si="14"/>
        <v>34.52054795</v>
      </c>
      <c r="K13" s="46">
        <f t="shared" si="14"/>
        <v>69.04109589</v>
      </c>
      <c r="L13" s="46">
        <f t="shared" si="14"/>
        <v>69.04109589</v>
      </c>
      <c r="M13" s="46">
        <f t="shared" si="14"/>
        <v>69.04109589</v>
      </c>
      <c r="N13" s="46">
        <f t="shared" si="14"/>
        <v>69.04109589</v>
      </c>
      <c r="O13" s="49">
        <f t="shared" si="14"/>
        <v>69.04109589</v>
      </c>
      <c r="P13" s="50">
        <f t="shared" ref="P13:AB13" si="15">($A13/N$5)/365</f>
        <v>69.04109589</v>
      </c>
      <c r="Q13" s="50">
        <f t="shared" si="15"/>
        <v>69.04109589</v>
      </c>
      <c r="R13" s="50">
        <f t="shared" si="15"/>
        <v>69.04109589</v>
      </c>
      <c r="S13" s="50">
        <f t="shared" si="15"/>
        <v>69.04109589</v>
      </c>
      <c r="T13" s="50">
        <f t="shared" si="15"/>
        <v>69.04109589</v>
      </c>
      <c r="U13" s="50">
        <f t="shared" si="15"/>
        <v>69.04109589</v>
      </c>
      <c r="V13" s="50">
        <f t="shared" si="15"/>
        <v>69.04109589</v>
      </c>
      <c r="W13" s="50">
        <f t="shared" si="15"/>
        <v>69.04109589</v>
      </c>
      <c r="X13" s="50">
        <f t="shared" si="15"/>
        <v>69.04109589</v>
      </c>
      <c r="Y13" s="50">
        <f t="shared" si="15"/>
        <v>69.04109589</v>
      </c>
      <c r="Z13" s="50">
        <f t="shared" si="15"/>
        <v>69.04109589</v>
      </c>
      <c r="AA13" s="50">
        <f t="shared" si="15"/>
        <v>69.04109589</v>
      </c>
      <c r="AB13" s="50">
        <f t="shared" si="15"/>
        <v>69.04109589</v>
      </c>
    </row>
    <row r="14" ht="15.75" customHeight="1">
      <c r="A14" s="21">
        <f>'Soul Energy Tiers'!K9</f>
        <v>50800</v>
      </c>
      <c r="B14" s="5"/>
      <c r="C14" s="24" t="s">
        <v>25</v>
      </c>
      <c r="D14" s="46">
        <f t="shared" si="5"/>
        <v>139.1780822</v>
      </c>
      <c r="E14" s="5"/>
      <c r="F14" s="24" t="s">
        <v>25</v>
      </c>
      <c r="G14" s="46">
        <f t="shared" ref="G14:O14" si="16">($A14/G$5)/365</f>
        <v>13.91780822</v>
      </c>
      <c r="H14" s="46">
        <f t="shared" si="16"/>
        <v>13.91780822</v>
      </c>
      <c r="I14" s="46">
        <f t="shared" si="16"/>
        <v>46.39269406</v>
      </c>
      <c r="J14" s="46">
        <f t="shared" si="16"/>
        <v>69.5890411</v>
      </c>
      <c r="K14" s="46">
        <f t="shared" si="16"/>
        <v>139.1780822</v>
      </c>
      <c r="L14" s="46">
        <f t="shared" si="16"/>
        <v>139.1780822</v>
      </c>
      <c r="M14" s="46">
        <f t="shared" si="16"/>
        <v>139.1780822</v>
      </c>
      <c r="N14" s="46">
        <f t="shared" si="16"/>
        <v>139.1780822</v>
      </c>
      <c r="O14" s="49">
        <f t="shared" si="16"/>
        <v>139.1780822</v>
      </c>
      <c r="P14" s="50">
        <f t="shared" ref="P14:AB14" si="17">($A14/N$5)/365</f>
        <v>139.1780822</v>
      </c>
      <c r="Q14" s="50">
        <f t="shared" si="17"/>
        <v>139.1780822</v>
      </c>
      <c r="R14" s="50">
        <f t="shared" si="17"/>
        <v>139.1780822</v>
      </c>
      <c r="S14" s="50">
        <f t="shared" si="17"/>
        <v>139.1780822</v>
      </c>
      <c r="T14" s="50">
        <f t="shared" si="17"/>
        <v>139.1780822</v>
      </c>
      <c r="U14" s="50">
        <f t="shared" si="17"/>
        <v>139.1780822</v>
      </c>
      <c r="V14" s="50">
        <f t="shared" si="17"/>
        <v>139.1780822</v>
      </c>
      <c r="W14" s="50">
        <f t="shared" si="17"/>
        <v>139.1780822</v>
      </c>
      <c r="X14" s="50">
        <f t="shared" si="17"/>
        <v>139.1780822</v>
      </c>
      <c r="Y14" s="50">
        <f t="shared" si="17"/>
        <v>139.1780822</v>
      </c>
      <c r="Z14" s="50">
        <f t="shared" si="17"/>
        <v>139.1780822</v>
      </c>
      <c r="AA14" s="50">
        <f t="shared" si="17"/>
        <v>139.1780822</v>
      </c>
      <c r="AB14" s="50">
        <f t="shared" si="17"/>
        <v>139.1780822</v>
      </c>
    </row>
    <row r="15" ht="15.75" customHeight="1">
      <c r="A15" s="21">
        <f>'Soul Energy Tiers'!K10</f>
        <v>102000</v>
      </c>
      <c r="B15" s="5"/>
      <c r="C15" s="24" t="s">
        <v>27</v>
      </c>
      <c r="D15" s="46">
        <f t="shared" si="5"/>
        <v>279.4520548</v>
      </c>
      <c r="E15" s="5"/>
      <c r="F15" s="24" t="s">
        <v>27</v>
      </c>
      <c r="G15" s="46">
        <f t="shared" ref="G15:O15" si="18">($A15/G$5)/365</f>
        <v>27.94520548</v>
      </c>
      <c r="H15" s="46">
        <f t="shared" si="18"/>
        <v>27.94520548</v>
      </c>
      <c r="I15" s="46">
        <f t="shared" si="18"/>
        <v>93.15068493</v>
      </c>
      <c r="J15" s="46">
        <f t="shared" si="18"/>
        <v>139.7260274</v>
      </c>
      <c r="K15" s="46">
        <f t="shared" si="18"/>
        <v>279.4520548</v>
      </c>
      <c r="L15" s="46">
        <f t="shared" si="18"/>
        <v>279.4520548</v>
      </c>
      <c r="M15" s="46">
        <f t="shared" si="18"/>
        <v>279.4520548</v>
      </c>
      <c r="N15" s="46">
        <f t="shared" si="18"/>
        <v>279.4520548</v>
      </c>
      <c r="O15" s="49">
        <f t="shared" si="18"/>
        <v>279.4520548</v>
      </c>
      <c r="P15" s="50">
        <f t="shared" ref="P15:AB15" si="19">($A15/N$5)/365</f>
        <v>279.4520548</v>
      </c>
      <c r="Q15" s="50">
        <f t="shared" si="19"/>
        <v>279.4520548</v>
      </c>
      <c r="R15" s="50">
        <f t="shared" si="19"/>
        <v>279.4520548</v>
      </c>
      <c r="S15" s="50">
        <f t="shared" si="19"/>
        <v>279.4520548</v>
      </c>
      <c r="T15" s="50">
        <f t="shared" si="19"/>
        <v>279.4520548</v>
      </c>
      <c r="U15" s="50">
        <f t="shared" si="19"/>
        <v>279.4520548</v>
      </c>
      <c r="V15" s="50">
        <f t="shared" si="19"/>
        <v>279.4520548</v>
      </c>
      <c r="W15" s="50">
        <f t="shared" si="19"/>
        <v>279.4520548</v>
      </c>
      <c r="X15" s="50">
        <f t="shared" si="19"/>
        <v>279.4520548</v>
      </c>
      <c r="Y15" s="50">
        <f t="shared" si="19"/>
        <v>279.4520548</v>
      </c>
      <c r="Z15" s="50">
        <f t="shared" si="19"/>
        <v>279.4520548</v>
      </c>
      <c r="AA15" s="50">
        <f t="shared" si="19"/>
        <v>279.4520548</v>
      </c>
      <c r="AB15" s="50">
        <f t="shared" si="19"/>
        <v>279.4520548</v>
      </c>
    </row>
    <row r="16" ht="15.75" customHeight="1">
      <c r="A16" s="21">
        <f>'Soul Energy Tiers'!K11</f>
        <v>204400</v>
      </c>
      <c r="B16" s="5"/>
      <c r="C16" s="24" t="s">
        <v>29</v>
      </c>
      <c r="D16" s="46">
        <f t="shared" si="5"/>
        <v>560</v>
      </c>
      <c r="E16" s="5"/>
      <c r="F16" s="24" t="s">
        <v>29</v>
      </c>
      <c r="G16" s="46">
        <f t="shared" ref="G16:O16" si="20">($A16/G$5)/365</f>
        <v>56</v>
      </c>
      <c r="H16" s="46">
        <f t="shared" si="20"/>
        <v>56</v>
      </c>
      <c r="I16" s="46">
        <f t="shared" si="20"/>
        <v>186.6666667</v>
      </c>
      <c r="J16" s="46">
        <f t="shared" si="20"/>
        <v>280</v>
      </c>
      <c r="K16" s="46">
        <f t="shared" si="20"/>
        <v>560</v>
      </c>
      <c r="L16" s="46">
        <f t="shared" si="20"/>
        <v>560</v>
      </c>
      <c r="M16" s="46">
        <f t="shared" si="20"/>
        <v>560</v>
      </c>
      <c r="N16" s="46">
        <f t="shared" si="20"/>
        <v>560</v>
      </c>
      <c r="O16" s="49">
        <f t="shared" si="20"/>
        <v>560</v>
      </c>
      <c r="P16" s="50">
        <f t="shared" ref="P16:AB16" si="21">($A16/N$5)/365</f>
        <v>560</v>
      </c>
      <c r="Q16" s="50">
        <f t="shared" si="21"/>
        <v>560</v>
      </c>
      <c r="R16" s="50">
        <f t="shared" si="21"/>
        <v>560</v>
      </c>
      <c r="S16" s="50">
        <f t="shared" si="21"/>
        <v>560</v>
      </c>
      <c r="T16" s="50">
        <f t="shared" si="21"/>
        <v>560</v>
      </c>
      <c r="U16" s="50">
        <f t="shared" si="21"/>
        <v>560</v>
      </c>
      <c r="V16" s="50">
        <f t="shared" si="21"/>
        <v>560</v>
      </c>
      <c r="W16" s="50">
        <f t="shared" si="21"/>
        <v>560</v>
      </c>
      <c r="X16" s="50">
        <f t="shared" si="21"/>
        <v>560</v>
      </c>
      <c r="Y16" s="50">
        <f t="shared" si="21"/>
        <v>560</v>
      </c>
      <c r="Z16" s="50">
        <f t="shared" si="21"/>
        <v>560</v>
      </c>
      <c r="AA16" s="50">
        <f t="shared" si="21"/>
        <v>560</v>
      </c>
      <c r="AB16" s="50">
        <f t="shared" si="21"/>
        <v>560</v>
      </c>
    </row>
    <row r="17" ht="15.75" customHeight="1">
      <c r="A17" s="21">
        <f>'Soul Energy Tiers'!K12</f>
        <v>409200</v>
      </c>
      <c r="B17" s="5"/>
      <c r="C17" s="24" t="s">
        <v>31</v>
      </c>
      <c r="D17" s="46">
        <f t="shared" si="5"/>
        <v>1121.09589</v>
      </c>
      <c r="E17" s="5"/>
      <c r="F17" s="24" t="s">
        <v>31</v>
      </c>
      <c r="G17" s="46">
        <f t="shared" ref="G17:O17" si="22">($A17/G$5)/365</f>
        <v>112.109589</v>
      </c>
      <c r="H17" s="46">
        <f t="shared" si="22"/>
        <v>112.109589</v>
      </c>
      <c r="I17" s="46">
        <f t="shared" si="22"/>
        <v>373.6986301</v>
      </c>
      <c r="J17" s="46">
        <f t="shared" si="22"/>
        <v>560.5479452</v>
      </c>
      <c r="K17" s="46">
        <f t="shared" si="22"/>
        <v>1121.09589</v>
      </c>
      <c r="L17" s="46">
        <f t="shared" si="22"/>
        <v>1121.09589</v>
      </c>
      <c r="M17" s="46">
        <f t="shared" si="22"/>
        <v>1121.09589</v>
      </c>
      <c r="N17" s="46">
        <f t="shared" si="22"/>
        <v>1121.09589</v>
      </c>
      <c r="O17" s="49">
        <f t="shared" si="22"/>
        <v>1121.09589</v>
      </c>
      <c r="P17" s="50">
        <f t="shared" ref="P17:AB17" si="23">($A17/N$5)/365</f>
        <v>1121.09589</v>
      </c>
      <c r="Q17" s="50">
        <f t="shared" si="23"/>
        <v>1121.09589</v>
      </c>
      <c r="R17" s="50">
        <f t="shared" si="23"/>
        <v>1121.09589</v>
      </c>
      <c r="S17" s="50">
        <f t="shared" si="23"/>
        <v>1121.09589</v>
      </c>
      <c r="T17" s="50">
        <f t="shared" si="23"/>
        <v>1121.09589</v>
      </c>
      <c r="U17" s="50">
        <f t="shared" si="23"/>
        <v>1121.09589</v>
      </c>
      <c r="V17" s="50">
        <f t="shared" si="23"/>
        <v>1121.09589</v>
      </c>
      <c r="W17" s="50">
        <f t="shared" si="23"/>
        <v>1121.09589</v>
      </c>
      <c r="X17" s="50">
        <f t="shared" si="23"/>
        <v>1121.09589</v>
      </c>
      <c r="Y17" s="50">
        <f t="shared" si="23"/>
        <v>1121.09589</v>
      </c>
      <c r="Z17" s="50">
        <f t="shared" si="23"/>
        <v>1121.09589</v>
      </c>
      <c r="AA17" s="50">
        <f t="shared" si="23"/>
        <v>1121.09589</v>
      </c>
      <c r="AB17" s="50">
        <f t="shared" si="23"/>
        <v>1121.09589</v>
      </c>
    </row>
    <row r="18" ht="15.75" customHeight="1">
      <c r="A18" s="21">
        <f>'Soul Energy Tiers'!K13</f>
        <v>818800</v>
      </c>
      <c r="B18" s="5"/>
      <c r="C18" s="24" t="s">
        <v>33</v>
      </c>
      <c r="D18" s="46">
        <f t="shared" si="5"/>
        <v>2243.287671</v>
      </c>
      <c r="E18" s="5"/>
      <c r="F18" s="24" t="s">
        <v>33</v>
      </c>
      <c r="G18" s="46">
        <f t="shared" ref="G18:O18" si="24">($A18/G$5)/365</f>
        <v>224.3287671</v>
      </c>
      <c r="H18" s="46">
        <f t="shared" si="24"/>
        <v>224.3287671</v>
      </c>
      <c r="I18" s="46">
        <f t="shared" si="24"/>
        <v>747.7625571</v>
      </c>
      <c r="J18" s="46">
        <f t="shared" si="24"/>
        <v>1121.643836</v>
      </c>
      <c r="K18" s="46">
        <f t="shared" si="24"/>
        <v>2243.287671</v>
      </c>
      <c r="L18" s="46">
        <f t="shared" si="24"/>
        <v>2243.287671</v>
      </c>
      <c r="M18" s="46">
        <f t="shared" si="24"/>
        <v>2243.287671</v>
      </c>
      <c r="N18" s="46">
        <f t="shared" si="24"/>
        <v>2243.287671</v>
      </c>
      <c r="O18" s="49">
        <f t="shared" si="24"/>
        <v>2243.287671</v>
      </c>
      <c r="P18" s="50">
        <f t="shared" ref="P18:AB18" si="25">($A18/N$5)/365</f>
        <v>2243.287671</v>
      </c>
      <c r="Q18" s="50">
        <f t="shared" si="25"/>
        <v>2243.287671</v>
      </c>
      <c r="R18" s="50">
        <f t="shared" si="25"/>
        <v>2243.287671</v>
      </c>
      <c r="S18" s="50">
        <f t="shared" si="25"/>
        <v>2243.287671</v>
      </c>
      <c r="T18" s="50">
        <f t="shared" si="25"/>
        <v>2243.287671</v>
      </c>
      <c r="U18" s="50">
        <f t="shared" si="25"/>
        <v>2243.287671</v>
      </c>
      <c r="V18" s="50">
        <f t="shared" si="25"/>
        <v>2243.287671</v>
      </c>
      <c r="W18" s="50">
        <f t="shared" si="25"/>
        <v>2243.287671</v>
      </c>
      <c r="X18" s="50">
        <f t="shared" si="25"/>
        <v>2243.287671</v>
      </c>
      <c r="Y18" s="50">
        <f t="shared" si="25"/>
        <v>2243.287671</v>
      </c>
      <c r="Z18" s="50">
        <f t="shared" si="25"/>
        <v>2243.287671</v>
      </c>
      <c r="AA18" s="50">
        <f t="shared" si="25"/>
        <v>2243.287671</v>
      </c>
      <c r="AB18" s="50">
        <f t="shared" si="25"/>
        <v>2243.287671</v>
      </c>
    </row>
    <row r="19" ht="15.75" customHeight="1">
      <c r="A19" s="21">
        <f>'Soul Energy Tiers'!K14</f>
        <v>1638000</v>
      </c>
      <c r="B19" s="5"/>
      <c r="C19" s="24" t="s">
        <v>35</v>
      </c>
      <c r="D19" s="46">
        <f t="shared" si="5"/>
        <v>4487.671233</v>
      </c>
      <c r="E19" s="5"/>
      <c r="F19" s="24" t="s">
        <v>35</v>
      </c>
      <c r="G19" s="46">
        <f t="shared" ref="G19:O19" si="26">($A19/G$5)/365</f>
        <v>448.7671233</v>
      </c>
      <c r="H19" s="46">
        <f t="shared" si="26"/>
        <v>448.7671233</v>
      </c>
      <c r="I19" s="46">
        <f t="shared" si="26"/>
        <v>1495.890411</v>
      </c>
      <c r="J19" s="46">
        <f t="shared" si="26"/>
        <v>2243.835616</v>
      </c>
      <c r="K19" s="46">
        <f t="shared" si="26"/>
        <v>4487.671233</v>
      </c>
      <c r="L19" s="46">
        <f t="shared" si="26"/>
        <v>4487.671233</v>
      </c>
      <c r="M19" s="46">
        <f t="shared" si="26"/>
        <v>4487.671233</v>
      </c>
      <c r="N19" s="46">
        <f t="shared" si="26"/>
        <v>4487.671233</v>
      </c>
      <c r="O19" s="49">
        <f t="shared" si="26"/>
        <v>4487.671233</v>
      </c>
      <c r="P19" s="50">
        <f t="shared" ref="P19:AB19" si="27">($A19/N$5)/365</f>
        <v>4487.671233</v>
      </c>
      <c r="Q19" s="50">
        <f t="shared" si="27"/>
        <v>4487.671233</v>
      </c>
      <c r="R19" s="50">
        <f t="shared" si="27"/>
        <v>4487.671233</v>
      </c>
      <c r="S19" s="50">
        <f t="shared" si="27"/>
        <v>4487.671233</v>
      </c>
      <c r="T19" s="50">
        <f t="shared" si="27"/>
        <v>4487.671233</v>
      </c>
      <c r="U19" s="50">
        <f t="shared" si="27"/>
        <v>4487.671233</v>
      </c>
      <c r="V19" s="50">
        <f t="shared" si="27"/>
        <v>4487.671233</v>
      </c>
      <c r="W19" s="50">
        <f t="shared" si="27"/>
        <v>4487.671233</v>
      </c>
      <c r="X19" s="50">
        <f t="shared" si="27"/>
        <v>4487.671233</v>
      </c>
      <c r="Y19" s="50">
        <f t="shared" si="27"/>
        <v>4487.671233</v>
      </c>
      <c r="Z19" s="50">
        <f t="shared" si="27"/>
        <v>4487.671233</v>
      </c>
      <c r="AA19" s="50">
        <f t="shared" si="27"/>
        <v>4487.671233</v>
      </c>
      <c r="AB19" s="50">
        <f t="shared" si="27"/>
        <v>4487.671233</v>
      </c>
    </row>
    <row r="20" ht="15.75" customHeight="1">
      <c r="A20" s="21">
        <f>'Soul Energy Tiers'!K15</f>
        <v>3276400</v>
      </c>
      <c r="B20" s="5"/>
      <c r="C20" s="24" t="s">
        <v>37</v>
      </c>
      <c r="D20" s="46">
        <f t="shared" si="5"/>
        <v>8976.438356</v>
      </c>
      <c r="E20" s="5"/>
      <c r="F20" s="24" t="s">
        <v>37</v>
      </c>
      <c r="G20" s="46">
        <f t="shared" ref="G20:O20" si="28">($A20/G$5)/365</f>
        <v>897.6438356</v>
      </c>
      <c r="H20" s="46">
        <f t="shared" si="28"/>
        <v>897.6438356</v>
      </c>
      <c r="I20" s="46">
        <f t="shared" si="28"/>
        <v>2992.146119</v>
      </c>
      <c r="J20" s="46">
        <f t="shared" si="28"/>
        <v>4488.219178</v>
      </c>
      <c r="K20" s="46">
        <f t="shared" si="28"/>
        <v>8976.438356</v>
      </c>
      <c r="L20" s="46">
        <f t="shared" si="28"/>
        <v>8976.438356</v>
      </c>
      <c r="M20" s="46">
        <f t="shared" si="28"/>
        <v>8976.438356</v>
      </c>
      <c r="N20" s="46">
        <f t="shared" si="28"/>
        <v>8976.438356</v>
      </c>
      <c r="O20" s="49">
        <f t="shared" si="28"/>
        <v>8976.438356</v>
      </c>
      <c r="P20" s="50">
        <f t="shared" ref="P20:AB20" si="29">($A20/N$5)/365</f>
        <v>8976.438356</v>
      </c>
      <c r="Q20" s="50">
        <f t="shared" si="29"/>
        <v>8976.438356</v>
      </c>
      <c r="R20" s="50">
        <f t="shared" si="29"/>
        <v>8976.438356</v>
      </c>
      <c r="S20" s="50">
        <f t="shared" si="29"/>
        <v>8976.438356</v>
      </c>
      <c r="T20" s="50">
        <f t="shared" si="29"/>
        <v>8976.438356</v>
      </c>
      <c r="U20" s="50">
        <f t="shared" si="29"/>
        <v>8976.438356</v>
      </c>
      <c r="V20" s="50">
        <f t="shared" si="29"/>
        <v>8976.438356</v>
      </c>
      <c r="W20" s="50">
        <f t="shared" si="29"/>
        <v>8976.438356</v>
      </c>
      <c r="X20" s="50">
        <f t="shared" si="29"/>
        <v>8976.438356</v>
      </c>
      <c r="Y20" s="50">
        <f t="shared" si="29"/>
        <v>8976.438356</v>
      </c>
      <c r="Z20" s="50">
        <f t="shared" si="29"/>
        <v>8976.438356</v>
      </c>
      <c r="AA20" s="50">
        <f t="shared" si="29"/>
        <v>8976.438356</v>
      </c>
      <c r="AB20" s="50">
        <f t="shared" si="29"/>
        <v>8976.438356</v>
      </c>
    </row>
    <row r="21" ht="15.75" customHeight="1">
      <c r="A21" s="21">
        <f>'Soul Energy Tiers'!K16</f>
        <v>6553200</v>
      </c>
      <c r="B21" s="5"/>
      <c r="C21" s="24" t="s">
        <v>39</v>
      </c>
      <c r="D21" s="46">
        <f t="shared" si="5"/>
        <v>17953.9726</v>
      </c>
      <c r="E21" s="5"/>
      <c r="F21" s="24" t="s">
        <v>39</v>
      </c>
      <c r="G21" s="46">
        <f t="shared" ref="G21:O21" si="30">($A21/G$5)/365</f>
        <v>1795.39726</v>
      </c>
      <c r="H21" s="46">
        <f t="shared" si="30"/>
        <v>1795.39726</v>
      </c>
      <c r="I21" s="46">
        <f t="shared" si="30"/>
        <v>5984.657534</v>
      </c>
      <c r="J21" s="46">
        <f t="shared" si="30"/>
        <v>8976.986301</v>
      </c>
      <c r="K21" s="46">
        <f t="shared" si="30"/>
        <v>17953.9726</v>
      </c>
      <c r="L21" s="46">
        <f t="shared" si="30"/>
        <v>17953.9726</v>
      </c>
      <c r="M21" s="46">
        <f t="shared" si="30"/>
        <v>17953.9726</v>
      </c>
      <c r="N21" s="46">
        <f t="shared" si="30"/>
        <v>17953.9726</v>
      </c>
      <c r="O21" s="49">
        <f t="shared" si="30"/>
        <v>17953.9726</v>
      </c>
      <c r="P21" s="50">
        <f t="shared" ref="P21:AB21" si="31">($A21/N$5)/365</f>
        <v>17953.9726</v>
      </c>
      <c r="Q21" s="50">
        <f t="shared" si="31"/>
        <v>17953.9726</v>
      </c>
      <c r="R21" s="50">
        <f t="shared" si="31"/>
        <v>17953.9726</v>
      </c>
      <c r="S21" s="50">
        <f t="shared" si="31"/>
        <v>17953.9726</v>
      </c>
      <c r="T21" s="50">
        <f t="shared" si="31"/>
        <v>17953.9726</v>
      </c>
      <c r="U21" s="50">
        <f t="shared" si="31"/>
        <v>17953.9726</v>
      </c>
      <c r="V21" s="50">
        <f t="shared" si="31"/>
        <v>17953.9726</v>
      </c>
      <c r="W21" s="50">
        <f t="shared" si="31"/>
        <v>17953.9726</v>
      </c>
      <c r="X21" s="50">
        <f t="shared" si="31"/>
        <v>17953.9726</v>
      </c>
      <c r="Y21" s="50">
        <f t="shared" si="31"/>
        <v>17953.9726</v>
      </c>
      <c r="Z21" s="50">
        <f t="shared" si="31"/>
        <v>17953.9726</v>
      </c>
      <c r="AA21" s="50">
        <f t="shared" si="31"/>
        <v>17953.9726</v>
      </c>
      <c r="AB21" s="50">
        <f t="shared" si="31"/>
        <v>17953.9726</v>
      </c>
    </row>
    <row r="22" ht="15.75" customHeight="1">
      <c r="A22" s="21">
        <f>'Soul Energy Tiers'!K17</f>
        <v>13106800</v>
      </c>
      <c r="B22" s="5"/>
      <c r="C22" s="24" t="s">
        <v>41</v>
      </c>
      <c r="D22" s="46">
        <f t="shared" si="5"/>
        <v>35909.0411</v>
      </c>
      <c r="E22" s="5"/>
      <c r="F22" s="24" t="s">
        <v>41</v>
      </c>
      <c r="G22" s="46">
        <f t="shared" ref="G22:O22" si="32">($A22/G$5)/365</f>
        <v>3590.90411</v>
      </c>
      <c r="H22" s="46">
        <f t="shared" si="32"/>
        <v>3590.90411</v>
      </c>
      <c r="I22" s="46">
        <f t="shared" si="32"/>
        <v>11969.68037</v>
      </c>
      <c r="J22" s="46">
        <f t="shared" si="32"/>
        <v>17954.52055</v>
      </c>
      <c r="K22" s="46">
        <f t="shared" si="32"/>
        <v>35909.0411</v>
      </c>
      <c r="L22" s="46">
        <f t="shared" si="32"/>
        <v>35909.0411</v>
      </c>
      <c r="M22" s="46">
        <f t="shared" si="32"/>
        <v>35909.0411</v>
      </c>
      <c r="N22" s="46">
        <f t="shared" si="32"/>
        <v>35909.0411</v>
      </c>
      <c r="O22" s="49">
        <f t="shared" si="32"/>
        <v>35909.0411</v>
      </c>
      <c r="P22" s="50">
        <f t="shared" ref="P22:AB22" si="33">($A22/N$5)/365</f>
        <v>35909.0411</v>
      </c>
      <c r="Q22" s="50">
        <f t="shared" si="33"/>
        <v>35909.0411</v>
      </c>
      <c r="R22" s="50">
        <f t="shared" si="33"/>
        <v>35909.0411</v>
      </c>
      <c r="S22" s="50">
        <f t="shared" si="33"/>
        <v>35909.0411</v>
      </c>
      <c r="T22" s="50">
        <f t="shared" si="33"/>
        <v>35909.0411</v>
      </c>
      <c r="U22" s="50">
        <f t="shared" si="33"/>
        <v>35909.0411</v>
      </c>
      <c r="V22" s="50">
        <f t="shared" si="33"/>
        <v>35909.0411</v>
      </c>
      <c r="W22" s="50">
        <f t="shared" si="33"/>
        <v>35909.0411</v>
      </c>
      <c r="X22" s="50">
        <f t="shared" si="33"/>
        <v>35909.0411</v>
      </c>
      <c r="Y22" s="50">
        <f t="shared" si="33"/>
        <v>35909.0411</v>
      </c>
      <c r="Z22" s="50">
        <f t="shared" si="33"/>
        <v>35909.0411</v>
      </c>
      <c r="AA22" s="50">
        <f t="shared" si="33"/>
        <v>35909.0411</v>
      </c>
      <c r="AB22" s="50">
        <f t="shared" si="33"/>
        <v>35909.0411</v>
      </c>
    </row>
    <row r="23" ht="15.75" customHeight="1">
      <c r="A23" s="21">
        <f>'Soul Energy Tiers'!K18</f>
        <v>26214000</v>
      </c>
      <c r="B23" s="5"/>
      <c r="C23" s="24" t="s">
        <v>43</v>
      </c>
      <c r="D23" s="46">
        <f t="shared" si="5"/>
        <v>71819.17808</v>
      </c>
      <c r="E23" s="5"/>
      <c r="F23" s="24" t="s">
        <v>43</v>
      </c>
      <c r="G23" s="46">
        <f t="shared" ref="G23:O23" si="34">($A23/G$5)/365</f>
        <v>7181.917808</v>
      </c>
      <c r="H23" s="46">
        <f t="shared" si="34"/>
        <v>7181.917808</v>
      </c>
      <c r="I23" s="46">
        <f t="shared" si="34"/>
        <v>23939.72603</v>
      </c>
      <c r="J23" s="46">
        <f t="shared" si="34"/>
        <v>35909.58904</v>
      </c>
      <c r="K23" s="46">
        <f t="shared" si="34"/>
        <v>71819.17808</v>
      </c>
      <c r="L23" s="46">
        <f t="shared" si="34"/>
        <v>71819.17808</v>
      </c>
      <c r="M23" s="46">
        <f t="shared" si="34"/>
        <v>71819.17808</v>
      </c>
      <c r="N23" s="46">
        <f t="shared" si="34"/>
        <v>71819.17808</v>
      </c>
      <c r="O23" s="49">
        <f t="shared" si="34"/>
        <v>71819.17808</v>
      </c>
      <c r="P23" s="50">
        <f t="shared" ref="P23:AB23" si="35">($A23/N$5)/365</f>
        <v>71819.17808</v>
      </c>
      <c r="Q23" s="50">
        <f t="shared" si="35"/>
        <v>71819.17808</v>
      </c>
      <c r="R23" s="50">
        <f t="shared" si="35"/>
        <v>71819.17808</v>
      </c>
      <c r="S23" s="50">
        <f t="shared" si="35"/>
        <v>71819.17808</v>
      </c>
      <c r="T23" s="50">
        <f t="shared" si="35"/>
        <v>71819.17808</v>
      </c>
      <c r="U23" s="50">
        <f t="shared" si="35"/>
        <v>71819.17808</v>
      </c>
      <c r="V23" s="50">
        <f t="shared" si="35"/>
        <v>71819.17808</v>
      </c>
      <c r="W23" s="50">
        <f t="shared" si="35"/>
        <v>71819.17808</v>
      </c>
      <c r="X23" s="50">
        <f t="shared" si="35"/>
        <v>71819.17808</v>
      </c>
      <c r="Y23" s="50">
        <f t="shared" si="35"/>
        <v>71819.17808</v>
      </c>
      <c r="Z23" s="50">
        <f t="shared" si="35"/>
        <v>71819.17808</v>
      </c>
      <c r="AA23" s="50">
        <f t="shared" si="35"/>
        <v>71819.17808</v>
      </c>
      <c r="AB23" s="50">
        <f t="shared" si="35"/>
        <v>71819.17808</v>
      </c>
    </row>
    <row r="24" ht="15.75" customHeight="1">
      <c r="A24" s="21">
        <f>'Soul Energy Tiers'!K19</f>
        <v>52428400</v>
      </c>
      <c r="B24" s="5"/>
      <c r="C24" s="24" t="s">
        <v>45</v>
      </c>
      <c r="D24" s="46">
        <f t="shared" si="5"/>
        <v>143639.4521</v>
      </c>
      <c r="E24" s="5"/>
      <c r="F24" s="24" t="s">
        <v>45</v>
      </c>
      <c r="G24" s="46">
        <f t="shared" ref="G24:O24" si="36">($A24/G$5)/365</f>
        <v>14363.94521</v>
      </c>
      <c r="H24" s="46">
        <f t="shared" si="36"/>
        <v>14363.94521</v>
      </c>
      <c r="I24" s="46">
        <f t="shared" si="36"/>
        <v>47879.81735</v>
      </c>
      <c r="J24" s="46">
        <f t="shared" si="36"/>
        <v>71819.72603</v>
      </c>
      <c r="K24" s="46">
        <f t="shared" si="36"/>
        <v>143639.4521</v>
      </c>
      <c r="L24" s="46">
        <f t="shared" si="36"/>
        <v>143639.4521</v>
      </c>
      <c r="M24" s="46">
        <f t="shared" si="36"/>
        <v>143639.4521</v>
      </c>
      <c r="N24" s="46">
        <f t="shared" si="36"/>
        <v>143639.4521</v>
      </c>
      <c r="O24" s="49">
        <f t="shared" si="36"/>
        <v>143639.4521</v>
      </c>
      <c r="P24" s="50">
        <f t="shared" ref="P24:AB24" si="37">($A24/N$5)/365</f>
        <v>143639.4521</v>
      </c>
      <c r="Q24" s="50">
        <f t="shared" si="37"/>
        <v>143639.4521</v>
      </c>
      <c r="R24" s="50">
        <f t="shared" si="37"/>
        <v>143639.4521</v>
      </c>
      <c r="S24" s="50">
        <f t="shared" si="37"/>
        <v>143639.4521</v>
      </c>
      <c r="T24" s="50">
        <f t="shared" si="37"/>
        <v>143639.4521</v>
      </c>
      <c r="U24" s="50">
        <f t="shared" si="37"/>
        <v>143639.4521</v>
      </c>
      <c r="V24" s="50">
        <f t="shared" si="37"/>
        <v>143639.4521</v>
      </c>
      <c r="W24" s="50">
        <f t="shared" si="37"/>
        <v>143639.4521</v>
      </c>
      <c r="X24" s="50">
        <f t="shared" si="37"/>
        <v>143639.4521</v>
      </c>
      <c r="Y24" s="50">
        <f t="shared" si="37"/>
        <v>143639.4521</v>
      </c>
      <c r="Z24" s="50">
        <f t="shared" si="37"/>
        <v>143639.4521</v>
      </c>
      <c r="AA24" s="50">
        <f t="shared" si="37"/>
        <v>143639.4521</v>
      </c>
      <c r="AB24" s="50">
        <f t="shared" si="37"/>
        <v>143639.4521</v>
      </c>
    </row>
    <row r="25" ht="15.75" customHeight="1">
      <c r="A25" s="35"/>
      <c r="B25" s="5"/>
      <c r="C25" s="5"/>
      <c r="E25" s="5"/>
      <c r="F25" s="35"/>
      <c r="G25" s="35" t="s">
        <v>74</v>
      </c>
    </row>
    <row r="26" ht="15.75" customHeight="1">
      <c r="A26" s="52" t="s">
        <v>75</v>
      </c>
      <c r="B26" s="5"/>
      <c r="C26" s="10" t="s">
        <v>3</v>
      </c>
      <c r="D26" s="10" t="s">
        <v>55</v>
      </c>
      <c r="E26" s="5"/>
      <c r="F26" s="53" t="s">
        <v>3</v>
      </c>
      <c r="G26" s="45" t="str">
        <f t="shared" ref="G26:AB26" si="38">G7</f>
        <v>Sweet Sting</v>
      </c>
      <c r="H26" s="45" t="str">
        <f t="shared" si="38"/>
        <v>Big Wingas</v>
      </c>
      <c r="I26" s="45" t="str">
        <f t="shared" si="38"/>
        <v>Trunk People</v>
      </c>
      <c r="J26" s="45" t="str">
        <f t="shared" si="38"/>
        <v>Shapeshifter</v>
      </c>
      <c r="K26" s="45" t="str">
        <f t="shared" si="38"/>
        <v/>
      </c>
      <c r="L26" s="45" t="str">
        <f t="shared" si="38"/>
        <v/>
      </c>
      <c r="M26" s="45" t="str">
        <f t="shared" si="38"/>
        <v/>
      </c>
      <c r="N26" s="45" t="str">
        <f t="shared" si="38"/>
        <v/>
      </c>
      <c r="O26" s="45" t="str">
        <f t="shared" si="38"/>
        <v/>
      </c>
      <c r="P26" s="45" t="str">
        <f t="shared" si="38"/>
        <v/>
      </c>
      <c r="Q26" s="45" t="str">
        <f t="shared" si="38"/>
        <v/>
      </c>
      <c r="R26" s="45" t="str">
        <f t="shared" si="38"/>
        <v/>
      </c>
      <c r="S26" s="45" t="str">
        <f t="shared" si="38"/>
        <v/>
      </c>
      <c r="T26" s="45" t="str">
        <f t="shared" si="38"/>
        <v/>
      </c>
      <c r="U26" s="45" t="str">
        <f t="shared" si="38"/>
        <v/>
      </c>
      <c r="V26" s="45" t="str">
        <f t="shared" si="38"/>
        <v/>
      </c>
      <c r="W26" s="45" t="str">
        <f t="shared" si="38"/>
        <v/>
      </c>
      <c r="X26" s="45" t="str">
        <f t="shared" si="38"/>
        <v/>
      </c>
      <c r="Y26" s="45" t="str">
        <f t="shared" si="38"/>
        <v/>
      </c>
      <c r="Z26" s="45" t="str">
        <f t="shared" si="38"/>
        <v/>
      </c>
      <c r="AA26" s="45" t="str">
        <f t="shared" si="38"/>
        <v/>
      </c>
      <c r="AB26" s="45" t="str">
        <f t="shared" si="38"/>
        <v/>
      </c>
    </row>
    <row r="27" ht="15.75" customHeight="1">
      <c r="A27" s="21">
        <f>'Soul Energy Tiers'!J3</f>
        <v>20</v>
      </c>
      <c r="B27" s="5"/>
      <c r="C27" s="54" t="s">
        <v>13</v>
      </c>
      <c r="D27" s="23">
        <f t="shared" ref="D27:D43" si="40">$A27/D$5</f>
        <v>20</v>
      </c>
      <c r="E27" s="5"/>
      <c r="F27" s="54" t="s">
        <v>13</v>
      </c>
      <c r="G27" s="32">
        <f t="shared" ref="G27:AB27" si="39">$A27/G$5</f>
        <v>2</v>
      </c>
      <c r="H27" s="32">
        <f t="shared" si="39"/>
        <v>2</v>
      </c>
      <c r="I27" s="32">
        <f t="shared" si="39"/>
        <v>6.666666667</v>
      </c>
      <c r="J27" s="32">
        <f t="shared" si="39"/>
        <v>10</v>
      </c>
      <c r="K27" s="32">
        <f t="shared" si="39"/>
        <v>20</v>
      </c>
      <c r="L27" s="32">
        <f t="shared" si="39"/>
        <v>20</v>
      </c>
      <c r="M27" s="32">
        <f t="shared" si="39"/>
        <v>20</v>
      </c>
      <c r="N27" s="32">
        <f t="shared" si="39"/>
        <v>20</v>
      </c>
      <c r="O27" s="32">
        <f t="shared" si="39"/>
        <v>20</v>
      </c>
      <c r="P27" s="32">
        <f t="shared" si="39"/>
        <v>20</v>
      </c>
      <c r="Q27" s="32">
        <f t="shared" si="39"/>
        <v>20</v>
      </c>
      <c r="R27" s="32">
        <f t="shared" si="39"/>
        <v>20</v>
      </c>
      <c r="S27" s="32">
        <f t="shared" si="39"/>
        <v>20</v>
      </c>
      <c r="T27" s="32">
        <f t="shared" si="39"/>
        <v>20</v>
      </c>
      <c r="U27" s="32">
        <f t="shared" si="39"/>
        <v>20</v>
      </c>
      <c r="V27" s="32">
        <f t="shared" si="39"/>
        <v>20</v>
      </c>
      <c r="W27" s="32">
        <f t="shared" si="39"/>
        <v>20</v>
      </c>
      <c r="X27" s="32">
        <f t="shared" si="39"/>
        <v>20</v>
      </c>
      <c r="Y27" s="32">
        <f t="shared" si="39"/>
        <v>20</v>
      </c>
      <c r="Z27" s="32">
        <f t="shared" si="39"/>
        <v>20</v>
      </c>
      <c r="AA27" s="32">
        <f t="shared" si="39"/>
        <v>20</v>
      </c>
      <c r="AB27" s="32">
        <f t="shared" si="39"/>
        <v>20</v>
      </c>
    </row>
    <row r="28" ht="15.75" customHeight="1">
      <c r="A28" s="21">
        <f>'Soul Energy Tiers'!J4</f>
        <v>40</v>
      </c>
      <c r="B28" s="5"/>
      <c r="C28" s="55" t="s">
        <v>15</v>
      </c>
      <c r="D28" s="32">
        <f t="shared" si="40"/>
        <v>40</v>
      </c>
      <c r="E28" s="5"/>
      <c r="F28" s="55" t="s">
        <v>15</v>
      </c>
      <c r="G28" s="32">
        <f t="shared" ref="G28:AB28" si="41">$A28/G$5</f>
        <v>4</v>
      </c>
      <c r="H28" s="32">
        <f t="shared" si="41"/>
        <v>4</v>
      </c>
      <c r="I28" s="32">
        <f t="shared" si="41"/>
        <v>13.33333333</v>
      </c>
      <c r="J28" s="32">
        <f t="shared" si="41"/>
        <v>20</v>
      </c>
      <c r="K28" s="32">
        <f t="shared" si="41"/>
        <v>40</v>
      </c>
      <c r="L28" s="32">
        <f t="shared" si="41"/>
        <v>40</v>
      </c>
      <c r="M28" s="32">
        <f t="shared" si="41"/>
        <v>40</v>
      </c>
      <c r="N28" s="32">
        <f t="shared" si="41"/>
        <v>40</v>
      </c>
      <c r="O28" s="32">
        <f t="shared" si="41"/>
        <v>40</v>
      </c>
      <c r="P28" s="32">
        <f t="shared" si="41"/>
        <v>40</v>
      </c>
      <c r="Q28" s="32">
        <f t="shared" si="41"/>
        <v>40</v>
      </c>
      <c r="R28" s="32">
        <f t="shared" si="41"/>
        <v>40</v>
      </c>
      <c r="S28" s="32">
        <f t="shared" si="41"/>
        <v>40</v>
      </c>
      <c r="T28" s="32">
        <f t="shared" si="41"/>
        <v>40</v>
      </c>
      <c r="U28" s="32">
        <f t="shared" si="41"/>
        <v>40</v>
      </c>
      <c r="V28" s="32">
        <f t="shared" si="41"/>
        <v>40</v>
      </c>
      <c r="W28" s="32">
        <f t="shared" si="41"/>
        <v>40</v>
      </c>
      <c r="X28" s="32">
        <f t="shared" si="41"/>
        <v>40</v>
      </c>
      <c r="Y28" s="32">
        <f t="shared" si="41"/>
        <v>40</v>
      </c>
      <c r="Z28" s="32">
        <f t="shared" si="41"/>
        <v>40</v>
      </c>
      <c r="AA28" s="32">
        <f t="shared" si="41"/>
        <v>40</v>
      </c>
      <c r="AB28" s="32">
        <f t="shared" si="41"/>
        <v>40</v>
      </c>
    </row>
    <row r="29" ht="15.75" customHeight="1">
      <c r="A29" s="21">
        <f>'Soul Energy Tiers'!J5</f>
        <v>80</v>
      </c>
      <c r="B29" s="5"/>
      <c r="C29" s="55" t="s">
        <v>17</v>
      </c>
      <c r="D29" s="32">
        <f t="shared" si="40"/>
        <v>80</v>
      </c>
      <c r="E29" s="5"/>
      <c r="F29" s="55" t="s">
        <v>17</v>
      </c>
      <c r="G29" s="32">
        <f t="shared" ref="G29:AB29" si="42">$A29/G$5</f>
        <v>8</v>
      </c>
      <c r="H29" s="32">
        <f t="shared" si="42"/>
        <v>8</v>
      </c>
      <c r="I29" s="32">
        <f t="shared" si="42"/>
        <v>26.66666667</v>
      </c>
      <c r="J29" s="32">
        <f t="shared" si="42"/>
        <v>40</v>
      </c>
      <c r="K29" s="32">
        <f t="shared" si="42"/>
        <v>80</v>
      </c>
      <c r="L29" s="32">
        <f t="shared" si="42"/>
        <v>80</v>
      </c>
      <c r="M29" s="32">
        <f t="shared" si="42"/>
        <v>80</v>
      </c>
      <c r="N29" s="32">
        <f t="shared" si="42"/>
        <v>80</v>
      </c>
      <c r="O29" s="32">
        <f t="shared" si="42"/>
        <v>80</v>
      </c>
      <c r="P29" s="32">
        <f t="shared" si="42"/>
        <v>80</v>
      </c>
      <c r="Q29" s="32">
        <f t="shared" si="42"/>
        <v>80</v>
      </c>
      <c r="R29" s="32">
        <f t="shared" si="42"/>
        <v>80</v>
      </c>
      <c r="S29" s="32">
        <f t="shared" si="42"/>
        <v>80</v>
      </c>
      <c r="T29" s="32">
        <f t="shared" si="42"/>
        <v>80</v>
      </c>
      <c r="U29" s="32">
        <f t="shared" si="42"/>
        <v>80</v>
      </c>
      <c r="V29" s="32">
        <f t="shared" si="42"/>
        <v>80</v>
      </c>
      <c r="W29" s="32">
        <f t="shared" si="42"/>
        <v>80</v>
      </c>
      <c r="X29" s="32">
        <f t="shared" si="42"/>
        <v>80</v>
      </c>
      <c r="Y29" s="32">
        <f t="shared" si="42"/>
        <v>80</v>
      </c>
      <c r="Z29" s="32">
        <f t="shared" si="42"/>
        <v>80</v>
      </c>
      <c r="AA29" s="32">
        <f t="shared" si="42"/>
        <v>80</v>
      </c>
      <c r="AB29" s="32">
        <f t="shared" si="42"/>
        <v>80</v>
      </c>
    </row>
    <row r="30" ht="15.75" customHeight="1">
      <c r="A30" s="21">
        <f>'Soul Energy Tiers'!J6</f>
        <v>160</v>
      </c>
      <c r="B30" s="5"/>
      <c r="C30" s="55" t="s">
        <v>19</v>
      </c>
      <c r="D30" s="32">
        <f t="shared" si="40"/>
        <v>160</v>
      </c>
      <c r="E30" s="5"/>
      <c r="F30" s="55" t="s">
        <v>19</v>
      </c>
      <c r="G30" s="32">
        <f t="shared" ref="G30:AB30" si="43">$A30/G$5</f>
        <v>16</v>
      </c>
      <c r="H30" s="32">
        <f t="shared" si="43"/>
        <v>16</v>
      </c>
      <c r="I30" s="32">
        <f t="shared" si="43"/>
        <v>53.33333333</v>
      </c>
      <c r="J30" s="32">
        <f t="shared" si="43"/>
        <v>80</v>
      </c>
      <c r="K30" s="32">
        <f t="shared" si="43"/>
        <v>160</v>
      </c>
      <c r="L30" s="32">
        <f t="shared" si="43"/>
        <v>160</v>
      </c>
      <c r="M30" s="32">
        <f t="shared" si="43"/>
        <v>160</v>
      </c>
      <c r="N30" s="32">
        <f t="shared" si="43"/>
        <v>160</v>
      </c>
      <c r="O30" s="32">
        <f t="shared" si="43"/>
        <v>160</v>
      </c>
      <c r="P30" s="32">
        <f t="shared" si="43"/>
        <v>160</v>
      </c>
      <c r="Q30" s="32">
        <f t="shared" si="43"/>
        <v>160</v>
      </c>
      <c r="R30" s="32">
        <f t="shared" si="43"/>
        <v>160</v>
      </c>
      <c r="S30" s="32">
        <f t="shared" si="43"/>
        <v>160</v>
      </c>
      <c r="T30" s="32">
        <f t="shared" si="43"/>
        <v>160</v>
      </c>
      <c r="U30" s="32">
        <f t="shared" si="43"/>
        <v>160</v>
      </c>
      <c r="V30" s="32">
        <f t="shared" si="43"/>
        <v>160</v>
      </c>
      <c r="W30" s="32">
        <f t="shared" si="43"/>
        <v>160</v>
      </c>
      <c r="X30" s="32">
        <f t="shared" si="43"/>
        <v>160</v>
      </c>
      <c r="Y30" s="32">
        <f t="shared" si="43"/>
        <v>160</v>
      </c>
      <c r="Z30" s="32">
        <f t="shared" si="43"/>
        <v>160</v>
      </c>
      <c r="AA30" s="32">
        <f t="shared" si="43"/>
        <v>160</v>
      </c>
      <c r="AB30" s="32">
        <f t="shared" si="43"/>
        <v>160</v>
      </c>
    </row>
    <row r="31" ht="15.75" customHeight="1">
      <c r="A31" s="21">
        <f>'Soul Energy Tiers'!J7</f>
        <v>320</v>
      </c>
      <c r="B31" s="5"/>
      <c r="C31" s="55" t="s">
        <v>21</v>
      </c>
      <c r="D31" s="32">
        <f t="shared" si="40"/>
        <v>320</v>
      </c>
      <c r="E31" s="5"/>
      <c r="F31" s="55" t="s">
        <v>21</v>
      </c>
      <c r="G31" s="32">
        <f t="shared" ref="G31:AB31" si="44">$A31/G$5</f>
        <v>32</v>
      </c>
      <c r="H31" s="32">
        <f t="shared" si="44"/>
        <v>32</v>
      </c>
      <c r="I31" s="32">
        <f t="shared" si="44"/>
        <v>106.6666667</v>
      </c>
      <c r="J31" s="32">
        <f t="shared" si="44"/>
        <v>160</v>
      </c>
      <c r="K31" s="32">
        <f t="shared" si="44"/>
        <v>320</v>
      </c>
      <c r="L31" s="32">
        <f t="shared" si="44"/>
        <v>320</v>
      </c>
      <c r="M31" s="32">
        <f t="shared" si="44"/>
        <v>320</v>
      </c>
      <c r="N31" s="32">
        <f t="shared" si="44"/>
        <v>320</v>
      </c>
      <c r="O31" s="32">
        <f t="shared" si="44"/>
        <v>320</v>
      </c>
      <c r="P31" s="32">
        <f t="shared" si="44"/>
        <v>320</v>
      </c>
      <c r="Q31" s="32">
        <f t="shared" si="44"/>
        <v>320</v>
      </c>
      <c r="R31" s="32">
        <f t="shared" si="44"/>
        <v>320</v>
      </c>
      <c r="S31" s="32">
        <f t="shared" si="44"/>
        <v>320</v>
      </c>
      <c r="T31" s="32">
        <f t="shared" si="44"/>
        <v>320</v>
      </c>
      <c r="U31" s="32">
        <f t="shared" si="44"/>
        <v>320</v>
      </c>
      <c r="V31" s="32">
        <f t="shared" si="44"/>
        <v>320</v>
      </c>
      <c r="W31" s="32">
        <f t="shared" si="44"/>
        <v>320</v>
      </c>
      <c r="X31" s="32">
        <f t="shared" si="44"/>
        <v>320</v>
      </c>
      <c r="Y31" s="32">
        <f t="shared" si="44"/>
        <v>320</v>
      </c>
      <c r="Z31" s="32">
        <f t="shared" si="44"/>
        <v>320</v>
      </c>
      <c r="AA31" s="32">
        <f t="shared" si="44"/>
        <v>320</v>
      </c>
      <c r="AB31" s="32">
        <f t="shared" si="44"/>
        <v>320</v>
      </c>
    </row>
    <row r="32" ht="15.75" customHeight="1">
      <c r="A32" s="21">
        <f>'Soul Energy Tiers'!J8</f>
        <v>640</v>
      </c>
      <c r="B32" s="5"/>
      <c r="C32" s="55" t="s">
        <v>23</v>
      </c>
      <c r="D32" s="32">
        <f t="shared" si="40"/>
        <v>640</v>
      </c>
      <c r="E32" s="5"/>
      <c r="F32" s="55" t="s">
        <v>23</v>
      </c>
      <c r="G32" s="32">
        <f t="shared" ref="G32:AB32" si="45">$A32/G$5</f>
        <v>64</v>
      </c>
      <c r="H32" s="32">
        <f t="shared" si="45"/>
        <v>64</v>
      </c>
      <c r="I32" s="32">
        <f t="shared" si="45"/>
        <v>213.3333333</v>
      </c>
      <c r="J32" s="32">
        <f t="shared" si="45"/>
        <v>320</v>
      </c>
      <c r="K32" s="32">
        <f t="shared" si="45"/>
        <v>640</v>
      </c>
      <c r="L32" s="32">
        <f t="shared" si="45"/>
        <v>640</v>
      </c>
      <c r="M32" s="32">
        <f t="shared" si="45"/>
        <v>640</v>
      </c>
      <c r="N32" s="32">
        <f t="shared" si="45"/>
        <v>640</v>
      </c>
      <c r="O32" s="32">
        <f t="shared" si="45"/>
        <v>640</v>
      </c>
      <c r="P32" s="32">
        <f t="shared" si="45"/>
        <v>640</v>
      </c>
      <c r="Q32" s="32">
        <f t="shared" si="45"/>
        <v>640</v>
      </c>
      <c r="R32" s="32">
        <f t="shared" si="45"/>
        <v>640</v>
      </c>
      <c r="S32" s="32">
        <f t="shared" si="45"/>
        <v>640</v>
      </c>
      <c r="T32" s="32">
        <f t="shared" si="45"/>
        <v>640</v>
      </c>
      <c r="U32" s="32">
        <f t="shared" si="45"/>
        <v>640</v>
      </c>
      <c r="V32" s="32">
        <f t="shared" si="45"/>
        <v>640</v>
      </c>
      <c r="W32" s="32">
        <f t="shared" si="45"/>
        <v>640</v>
      </c>
      <c r="X32" s="32">
        <f t="shared" si="45"/>
        <v>640</v>
      </c>
      <c r="Y32" s="32">
        <f t="shared" si="45"/>
        <v>640</v>
      </c>
      <c r="Z32" s="32">
        <f t="shared" si="45"/>
        <v>640</v>
      </c>
      <c r="AA32" s="32">
        <f t="shared" si="45"/>
        <v>640</v>
      </c>
      <c r="AB32" s="32">
        <f t="shared" si="45"/>
        <v>640</v>
      </c>
    </row>
    <row r="33" ht="15.75" customHeight="1">
      <c r="A33" s="21">
        <f>'Soul Energy Tiers'!J9</f>
        <v>1280</v>
      </c>
      <c r="B33" s="5"/>
      <c r="C33" s="55" t="s">
        <v>25</v>
      </c>
      <c r="D33" s="32">
        <f t="shared" si="40"/>
        <v>1280</v>
      </c>
      <c r="E33" s="5"/>
      <c r="F33" s="55" t="s">
        <v>25</v>
      </c>
      <c r="G33" s="32">
        <f t="shared" ref="G33:AB33" si="46">$A33/G$5</f>
        <v>128</v>
      </c>
      <c r="H33" s="32">
        <f t="shared" si="46"/>
        <v>128</v>
      </c>
      <c r="I33" s="32">
        <f t="shared" si="46"/>
        <v>426.6666667</v>
      </c>
      <c r="J33" s="32">
        <f t="shared" si="46"/>
        <v>640</v>
      </c>
      <c r="K33" s="32">
        <f t="shared" si="46"/>
        <v>1280</v>
      </c>
      <c r="L33" s="32">
        <f t="shared" si="46"/>
        <v>1280</v>
      </c>
      <c r="M33" s="32">
        <f t="shared" si="46"/>
        <v>1280</v>
      </c>
      <c r="N33" s="32">
        <f t="shared" si="46"/>
        <v>1280</v>
      </c>
      <c r="O33" s="32">
        <f t="shared" si="46"/>
        <v>1280</v>
      </c>
      <c r="P33" s="32">
        <f t="shared" si="46"/>
        <v>1280</v>
      </c>
      <c r="Q33" s="32">
        <f t="shared" si="46"/>
        <v>1280</v>
      </c>
      <c r="R33" s="32">
        <f t="shared" si="46"/>
        <v>1280</v>
      </c>
      <c r="S33" s="32">
        <f t="shared" si="46"/>
        <v>1280</v>
      </c>
      <c r="T33" s="32">
        <f t="shared" si="46"/>
        <v>1280</v>
      </c>
      <c r="U33" s="32">
        <f t="shared" si="46"/>
        <v>1280</v>
      </c>
      <c r="V33" s="32">
        <f t="shared" si="46"/>
        <v>1280</v>
      </c>
      <c r="W33" s="32">
        <f t="shared" si="46"/>
        <v>1280</v>
      </c>
      <c r="X33" s="32">
        <f t="shared" si="46"/>
        <v>1280</v>
      </c>
      <c r="Y33" s="32">
        <f t="shared" si="46"/>
        <v>1280</v>
      </c>
      <c r="Z33" s="32">
        <f t="shared" si="46"/>
        <v>1280</v>
      </c>
      <c r="AA33" s="32">
        <f t="shared" si="46"/>
        <v>1280</v>
      </c>
      <c r="AB33" s="32">
        <f t="shared" si="46"/>
        <v>1280</v>
      </c>
    </row>
    <row r="34" ht="15.75" customHeight="1">
      <c r="A34" s="21">
        <f>'Soul Energy Tiers'!J10</f>
        <v>2560</v>
      </c>
      <c r="B34" s="5"/>
      <c r="C34" s="55" t="s">
        <v>27</v>
      </c>
      <c r="D34" s="32">
        <f t="shared" si="40"/>
        <v>2560</v>
      </c>
      <c r="E34" s="5"/>
      <c r="F34" s="55" t="s">
        <v>27</v>
      </c>
      <c r="G34" s="32">
        <f t="shared" ref="G34:AB34" si="47">$A34/G$5</f>
        <v>256</v>
      </c>
      <c r="H34" s="32">
        <f t="shared" si="47"/>
        <v>256</v>
      </c>
      <c r="I34" s="32">
        <f t="shared" si="47"/>
        <v>853.3333333</v>
      </c>
      <c r="J34" s="32">
        <f t="shared" si="47"/>
        <v>1280</v>
      </c>
      <c r="K34" s="32">
        <f t="shared" si="47"/>
        <v>2560</v>
      </c>
      <c r="L34" s="32">
        <f t="shared" si="47"/>
        <v>2560</v>
      </c>
      <c r="M34" s="32">
        <f t="shared" si="47"/>
        <v>2560</v>
      </c>
      <c r="N34" s="32">
        <f t="shared" si="47"/>
        <v>2560</v>
      </c>
      <c r="O34" s="32">
        <f t="shared" si="47"/>
        <v>2560</v>
      </c>
      <c r="P34" s="32">
        <f t="shared" si="47"/>
        <v>2560</v>
      </c>
      <c r="Q34" s="32">
        <f t="shared" si="47"/>
        <v>2560</v>
      </c>
      <c r="R34" s="32">
        <f t="shared" si="47"/>
        <v>2560</v>
      </c>
      <c r="S34" s="32">
        <f t="shared" si="47"/>
        <v>2560</v>
      </c>
      <c r="T34" s="32">
        <f t="shared" si="47"/>
        <v>2560</v>
      </c>
      <c r="U34" s="32">
        <f t="shared" si="47"/>
        <v>2560</v>
      </c>
      <c r="V34" s="32">
        <f t="shared" si="47"/>
        <v>2560</v>
      </c>
      <c r="W34" s="32">
        <f t="shared" si="47"/>
        <v>2560</v>
      </c>
      <c r="X34" s="32">
        <f t="shared" si="47"/>
        <v>2560</v>
      </c>
      <c r="Y34" s="32">
        <f t="shared" si="47"/>
        <v>2560</v>
      </c>
      <c r="Z34" s="32">
        <f t="shared" si="47"/>
        <v>2560</v>
      </c>
      <c r="AA34" s="32">
        <f t="shared" si="47"/>
        <v>2560</v>
      </c>
      <c r="AB34" s="32">
        <f t="shared" si="47"/>
        <v>2560</v>
      </c>
    </row>
    <row r="35" ht="15.75" customHeight="1">
      <c r="A35" s="21">
        <f>'Soul Energy Tiers'!J11</f>
        <v>5120</v>
      </c>
      <c r="B35" s="5"/>
      <c r="C35" s="55" t="s">
        <v>29</v>
      </c>
      <c r="D35" s="32">
        <f t="shared" si="40"/>
        <v>5120</v>
      </c>
      <c r="E35" s="5"/>
      <c r="F35" s="55" t="s">
        <v>29</v>
      </c>
      <c r="G35" s="32">
        <f t="shared" ref="G35:AB35" si="48">$A35/G$5</f>
        <v>512</v>
      </c>
      <c r="H35" s="32">
        <f t="shared" si="48"/>
        <v>512</v>
      </c>
      <c r="I35" s="32">
        <f t="shared" si="48"/>
        <v>1706.666667</v>
      </c>
      <c r="J35" s="32">
        <f t="shared" si="48"/>
        <v>2560</v>
      </c>
      <c r="K35" s="32">
        <f t="shared" si="48"/>
        <v>5120</v>
      </c>
      <c r="L35" s="32">
        <f t="shared" si="48"/>
        <v>5120</v>
      </c>
      <c r="M35" s="32">
        <f t="shared" si="48"/>
        <v>5120</v>
      </c>
      <c r="N35" s="32">
        <f t="shared" si="48"/>
        <v>5120</v>
      </c>
      <c r="O35" s="32">
        <f t="shared" si="48"/>
        <v>5120</v>
      </c>
      <c r="P35" s="32">
        <f t="shared" si="48"/>
        <v>5120</v>
      </c>
      <c r="Q35" s="32">
        <f t="shared" si="48"/>
        <v>5120</v>
      </c>
      <c r="R35" s="32">
        <f t="shared" si="48"/>
        <v>5120</v>
      </c>
      <c r="S35" s="32">
        <f t="shared" si="48"/>
        <v>5120</v>
      </c>
      <c r="T35" s="32">
        <f t="shared" si="48"/>
        <v>5120</v>
      </c>
      <c r="U35" s="32">
        <f t="shared" si="48"/>
        <v>5120</v>
      </c>
      <c r="V35" s="32">
        <f t="shared" si="48"/>
        <v>5120</v>
      </c>
      <c r="W35" s="32">
        <f t="shared" si="48"/>
        <v>5120</v>
      </c>
      <c r="X35" s="32">
        <f t="shared" si="48"/>
        <v>5120</v>
      </c>
      <c r="Y35" s="32">
        <f t="shared" si="48"/>
        <v>5120</v>
      </c>
      <c r="Z35" s="32">
        <f t="shared" si="48"/>
        <v>5120</v>
      </c>
      <c r="AA35" s="32">
        <f t="shared" si="48"/>
        <v>5120</v>
      </c>
      <c r="AB35" s="32">
        <f t="shared" si="48"/>
        <v>5120</v>
      </c>
    </row>
    <row r="36" ht="15.75" customHeight="1">
      <c r="A36" s="21">
        <f>'Soul Energy Tiers'!J12</f>
        <v>10240</v>
      </c>
      <c r="B36" s="5"/>
      <c r="C36" s="55" t="s">
        <v>31</v>
      </c>
      <c r="D36" s="32">
        <f t="shared" si="40"/>
        <v>10240</v>
      </c>
      <c r="E36" s="5"/>
      <c r="F36" s="55" t="s">
        <v>31</v>
      </c>
      <c r="G36" s="32">
        <f t="shared" ref="G36:AB36" si="49">$A36/G$5</f>
        <v>1024</v>
      </c>
      <c r="H36" s="32">
        <f t="shared" si="49"/>
        <v>1024</v>
      </c>
      <c r="I36" s="32">
        <f t="shared" si="49"/>
        <v>3413.333333</v>
      </c>
      <c r="J36" s="32">
        <f t="shared" si="49"/>
        <v>5120</v>
      </c>
      <c r="K36" s="32">
        <f t="shared" si="49"/>
        <v>10240</v>
      </c>
      <c r="L36" s="32">
        <f t="shared" si="49"/>
        <v>10240</v>
      </c>
      <c r="M36" s="32">
        <f t="shared" si="49"/>
        <v>10240</v>
      </c>
      <c r="N36" s="32">
        <f t="shared" si="49"/>
        <v>10240</v>
      </c>
      <c r="O36" s="32">
        <f t="shared" si="49"/>
        <v>10240</v>
      </c>
      <c r="P36" s="32">
        <f t="shared" si="49"/>
        <v>10240</v>
      </c>
      <c r="Q36" s="32">
        <f t="shared" si="49"/>
        <v>10240</v>
      </c>
      <c r="R36" s="32">
        <f t="shared" si="49"/>
        <v>10240</v>
      </c>
      <c r="S36" s="32">
        <f t="shared" si="49"/>
        <v>10240</v>
      </c>
      <c r="T36" s="32">
        <f t="shared" si="49"/>
        <v>10240</v>
      </c>
      <c r="U36" s="32">
        <f t="shared" si="49"/>
        <v>10240</v>
      </c>
      <c r="V36" s="32">
        <f t="shared" si="49"/>
        <v>10240</v>
      </c>
      <c r="W36" s="32">
        <f t="shared" si="49"/>
        <v>10240</v>
      </c>
      <c r="X36" s="32">
        <f t="shared" si="49"/>
        <v>10240</v>
      </c>
      <c r="Y36" s="32">
        <f t="shared" si="49"/>
        <v>10240</v>
      </c>
      <c r="Z36" s="32">
        <f t="shared" si="49"/>
        <v>10240</v>
      </c>
      <c r="AA36" s="32">
        <f t="shared" si="49"/>
        <v>10240</v>
      </c>
      <c r="AB36" s="32">
        <f t="shared" si="49"/>
        <v>10240</v>
      </c>
    </row>
    <row r="37" ht="15.75" customHeight="1">
      <c r="A37" s="21">
        <f>'Soul Energy Tiers'!J13</f>
        <v>20480</v>
      </c>
      <c r="B37" s="5"/>
      <c r="C37" s="55" t="s">
        <v>33</v>
      </c>
      <c r="D37" s="32">
        <f t="shared" si="40"/>
        <v>20480</v>
      </c>
      <c r="E37" s="5"/>
      <c r="F37" s="55" t="s">
        <v>33</v>
      </c>
      <c r="G37" s="32">
        <f t="shared" ref="G37:AB37" si="50">$A37/G$5</f>
        <v>2048</v>
      </c>
      <c r="H37" s="32">
        <f t="shared" si="50"/>
        <v>2048</v>
      </c>
      <c r="I37" s="32">
        <f t="shared" si="50"/>
        <v>6826.666667</v>
      </c>
      <c r="J37" s="32">
        <f t="shared" si="50"/>
        <v>10240</v>
      </c>
      <c r="K37" s="32">
        <f t="shared" si="50"/>
        <v>20480</v>
      </c>
      <c r="L37" s="32">
        <f t="shared" si="50"/>
        <v>20480</v>
      </c>
      <c r="M37" s="32">
        <f t="shared" si="50"/>
        <v>20480</v>
      </c>
      <c r="N37" s="32">
        <f t="shared" si="50"/>
        <v>20480</v>
      </c>
      <c r="O37" s="32">
        <f t="shared" si="50"/>
        <v>20480</v>
      </c>
      <c r="P37" s="32">
        <f t="shared" si="50"/>
        <v>20480</v>
      </c>
      <c r="Q37" s="32">
        <f t="shared" si="50"/>
        <v>20480</v>
      </c>
      <c r="R37" s="32">
        <f t="shared" si="50"/>
        <v>20480</v>
      </c>
      <c r="S37" s="32">
        <f t="shared" si="50"/>
        <v>20480</v>
      </c>
      <c r="T37" s="32">
        <f t="shared" si="50"/>
        <v>20480</v>
      </c>
      <c r="U37" s="32">
        <f t="shared" si="50"/>
        <v>20480</v>
      </c>
      <c r="V37" s="32">
        <f t="shared" si="50"/>
        <v>20480</v>
      </c>
      <c r="W37" s="32">
        <f t="shared" si="50"/>
        <v>20480</v>
      </c>
      <c r="X37" s="32">
        <f t="shared" si="50"/>
        <v>20480</v>
      </c>
      <c r="Y37" s="32">
        <f t="shared" si="50"/>
        <v>20480</v>
      </c>
      <c r="Z37" s="32">
        <f t="shared" si="50"/>
        <v>20480</v>
      </c>
      <c r="AA37" s="32">
        <f t="shared" si="50"/>
        <v>20480</v>
      </c>
      <c r="AB37" s="32">
        <f t="shared" si="50"/>
        <v>20480</v>
      </c>
    </row>
    <row r="38" ht="15.75" customHeight="1">
      <c r="A38" s="21">
        <f>'Soul Energy Tiers'!J14</f>
        <v>40960</v>
      </c>
      <c r="B38" s="5"/>
      <c r="C38" s="55" t="s">
        <v>35</v>
      </c>
      <c r="D38" s="32">
        <f t="shared" si="40"/>
        <v>40960</v>
      </c>
      <c r="E38" s="5"/>
      <c r="F38" s="55" t="s">
        <v>35</v>
      </c>
      <c r="G38" s="32">
        <f t="shared" ref="G38:AB38" si="51">$A38/G$5</f>
        <v>4096</v>
      </c>
      <c r="H38" s="32">
        <f t="shared" si="51"/>
        <v>4096</v>
      </c>
      <c r="I38" s="32">
        <f t="shared" si="51"/>
        <v>13653.33333</v>
      </c>
      <c r="J38" s="32">
        <f t="shared" si="51"/>
        <v>20480</v>
      </c>
      <c r="K38" s="32">
        <f t="shared" si="51"/>
        <v>40960</v>
      </c>
      <c r="L38" s="32">
        <f t="shared" si="51"/>
        <v>40960</v>
      </c>
      <c r="M38" s="32">
        <f t="shared" si="51"/>
        <v>40960</v>
      </c>
      <c r="N38" s="32">
        <f t="shared" si="51"/>
        <v>40960</v>
      </c>
      <c r="O38" s="32">
        <f t="shared" si="51"/>
        <v>40960</v>
      </c>
      <c r="P38" s="32">
        <f t="shared" si="51"/>
        <v>40960</v>
      </c>
      <c r="Q38" s="32">
        <f t="shared" si="51"/>
        <v>40960</v>
      </c>
      <c r="R38" s="32">
        <f t="shared" si="51"/>
        <v>40960</v>
      </c>
      <c r="S38" s="32">
        <f t="shared" si="51"/>
        <v>40960</v>
      </c>
      <c r="T38" s="32">
        <f t="shared" si="51"/>
        <v>40960</v>
      </c>
      <c r="U38" s="32">
        <f t="shared" si="51"/>
        <v>40960</v>
      </c>
      <c r="V38" s="32">
        <f t="shared" si="51"/>
        <v>40960</v>
      </c>
      <c r="W38" s="32">
        <f t="shared" si="51"/>
        <v>40960</v>
      </c>
      <c r="X38" s="32">
        <f t="shared" si="51"/>
        <v>40960</v>
      </c>
      <c r="Y38" s="32">
        <f t="shared" si="51"/>
        <v>40960</v>
      </c>
      <c r="Z38" s="32">
        <f t="shared" si="51"/>
        <v>40960</v>
      </c>
      <c r="AA38" s="32">
        <f t="shared" si="51"/>
        <v>40960</v>
      </c>
      <c r="AB38" s="32">
        <f t="shared" si="51"/>
        <v>40960</v>
      </c>
    </row>
    <row r="39" ht="15.75" customHeight="1">
      <c r="A39" s="21">
        <f>'Soul Energy Tiers'!J15</f>
        <v>81920</v>
      </c>
      <c r="B39" s="5"/>
      <c r="C39" s="55" t="s">
        <v>37</v>
      </c>
      <c r="D39" s="32">
        <f t="shared" si="40"/>
        <v>81920</v>
      </c>
      <c r="E39" s="5"/>
      <c r="F39" s="55" t="s">
        <v>37</v>
      </c>
      <c r="G39" s="32">
        <f t="shared" ref="G39:AB39" si="52">$A39/G$5</f>
        <v>8192</v>
      </c>
      <c r="H39" s="32">
        <f t="shared" si="52"/>
        <v>8192</v>
      </c>
      <c r="I39" s="32">
        <f t="shared" si="52"/>
        <v>27306.66667</v>
      </c>
      <c r="J39" s="32">
        <f t="shared" si="52"/>
        <v>40960</v>
      </c>
      <c r="K39" s="32">
        <f t="shared" si="52"/>
        <v>81920</v>
      </c>
      <c r="L39" s="32">
        <f t="shared" si="52"/>
        <v>81920</v>
      </c>
      <c r="M39" s="32">
        <f t="shared" si="52"/>
        <v>81920</v>
      </c>
      <c r="N39" s="32">
        <f t="shared" si="52"/>
        <v>81920</v>
      </c>
      <c r="O39" s="32">
        <f t="shared" si="52"/>
        <v>81920</v>
      </c>
      <c r="P39" s="32">
        <f t="shared" si="52"/>
        <v>81920</v>
      </c>
      <c r="Q39" s="32">
        <f t="shared" si="52"/>
        <v>81920</v>
      </c>
      <c r="R39" s="32">
        <f t="shared" si="52"/>
        <v>81920</v>
      </c>
      <c r="S39" s="32">
        <f t="shared" si="52"/>
        <v>81920</v>
      </c>
      <c r="T39" s="32">
        <f t="shared" si="52"/>
        <v>81920</v>
      </c>
      <c r="U39" s="32">
        <f t="shared" si="52"/>
        <v>81920</v>
      </c>
      <c r="V39" s="32">
        <f t="shared" si="52"/>
        <v>81920</v>
      </c>
      <c r="W39" s="32">
        <f t="shared" si="52"/>
        <v>81920</v>
      </c>
      <c r="X39" s="32">
        <f t="shared" si="52"/>
        <v>81920</v>
      </c>
      <c r="Y39" s="32">
        <f t="shared" si="52"/>
        <v>81920</v>
      </c>
      <c r="Z39" s="32">
        <f t="shared" si="52"/>
        <v>81920</v>
      </c>
      <c r="AA39" s="32">
        <f t="shared" si="52"/>
        <v>81920</v>
      </c>
      <c r="AB39" s="32">
        <f t="shared" si="52"/>
        <v>81920</v>
      </c>
    </row>
    <row r="40" ht="15.75" customHeight="1">
      <c r="A40" s="21">
        <f>'Soul Energy Tiers'!J16</f>
        <v>163840</v>
      </c>
      <c r="B40" s="5"/>
      <c r="C40" s="55" t="s">
        <v>39</v>
      </c>
      <c r="D40" s="32">
        <f t="shared" si="40"/>
        <v>163840</v>
      </c>
      <c r="E40" s="5"/>
      <c r="F40" s="55" t="s">
        <v>39</v>
      </c>
      <c r="G40" s="32">
        <f t="shared" ref="G40:AB40" si="53">$A40/G$5</f>
        <v>16384</v>
      </c>
      <c r="H40" s="32">
        <f t="shared" si="53"/>
        <v>16384</v>
      </c>
      <c r="I40" s="32">
        <f t="shared" si="53"/>
        <v>54613.33333</v>
      </c>
      <c r="J40" s="32">
        <f t="shared" si="53"/>
        <v>81920</v>
      </c>
      <c r="K40" s="32">
        <f t="shared" si="53"/>
        <v>163840</v>
      </c>
      <c r="L40" s="32">
        <f t="shared" si="53"/>
        <v>163840</v>
      </c>
      <c r="M40" s="32">
        <f t="shared" si="53"/>
        <v>163840</v>
      </c>
      <c r="N40" s="32">
        <f t="shared" si="53"/>
        <v>163840</v>
      </c>
      <c r="O40" s="32">
        <f t="shared" si="53"/>
        <v>163840</v>
      </c>
      <c r="P40" s="32">
        <f t="shared" si="53"/>
        <v>163840</v>
      </c>
      <c r="Q40" s="32">
        <f t="shared" si="53"/>
        <v>163840</v>
      </c>
      <c r="R40" s="32">
        <f t="shared" si="53"/>
        <v>163840</v>
      </c>
      <c r="S40" s="32">
        <f t="shared" si="53"/>
        <v>163840</v>
      </c>
      <c r="T40" s="32">
        <f t="shared" si="53"/>
        <v>163840</v>
      </c>
      <c r="U40" s="32">
        <f t="shared" si="53"/>
        <v>163840</v>
      </c>
      <c r="V40" s="32">
        <f t="shared" si="53"/>
        <v>163840</v>
      </c>
      <c r="W40" s="32">
        <f t="shared" si="53"/>
        <v>163840</v>
      </c>
      <c r="X40" s="32">
        <f t="shared" si="53"/>
        <v>163840</v>
      </c>
      <c r="Y40" s="32">
        <f t="shared" si="53"/>
        <v>163840</v>
      </c>
      <c r="Z40" s="32">
        <f t="shared" si="53"/>
        <v>163840</v>
      </c>
      <c r="AA40" s="32">
        <f t="shared" si="53"/>
        <v>163840</v>
      </c>
      <c r="AB40" s="32">
        <f t="shared" si="53"/>
        <v>163840</v>
      </c>
    </row>
    <row r="41" ht="15.75" customHeight="1">
      <c r="A41" s="21">
        <f>'Soul Energy Tiers'!J17</f>
        <v>327680</v>
      </c>
      <c r="B41" s="5"/>
      <c r="C41" s="55" t="s">
        <v>41</v>
      </c>
      <c r="D41" s="32">
        <f t="shared" si="40"/>
        <v>327680</v>
      </c>
      <c r="E41" s="5"/>
      <c r="F41" s="55" t="s">
        <v>41</v>
      </c>
      <c r="G41" s="32">
        <f t="shared" ref="G41:AB41" si="54">$A41/G$5</f>
        <v>32768</v>
      </c>
      <c r="H41" s="32">
        <f t="shared" si="54"/>
        <v>32768</v>
      </c>
      <c r="I41" s="32">
        <f t="shared" si="54"/>
        <v>109226.6667</v>
      </c>
      <c r="J41" s="32">
        <f t="shared" si="54"/>
        <v>163840</v>
      </c>
      <c r="K41" s="32">
        <f t="shared" si="54"/>
        <v>327680</v>
      </c>
      <c r="L41" s="32">
        <f t="shared" si="54"/>
        <v>327680</v>
      </c>
      <c r="M41" s="32">
        <f t="shared" si="54"/>
        <v>327680</v>
      </c>
      <c r="N41" s="32">
        <f t="shared" si="54"/>
        <v>327680</v>
      </c>
      <c r="O41" s="32">
        <f t="shared" si="54"/>
        <v>327680</v>
      </c>
      <c r="P41" s="32">
        <f t="shared" si="54"/>
        <v>327680</v>
      </c>
      <c r="Q41" s="32">
        <f t="shared" si="54"/>
        <v>327680</v>
      </c>
      <c r="R41" s="32">
        <f t="shared" si="54"/>
        <v>327680</v>
      </c>
      <c r="S41" s="32">
        <f t="shared" si="54"/>
        <v>327680</v>
      </c>
      <c r="T41" s="32">
        <f t="shared" si="54"/>
        <v>327680</v>
      </c>
      <c r="U41" s="32">
        <f t="shared" si="54"/>
        <v>327680</v>
      </c>
      <c r="V41" s="32">
        <f t="shared" si="54"/>
        <v>327680</v>
      </c>
      <c r="W41" s="32">
        <f t="shared" si="54"/>
        <v>327680</v>
      </c>
      <c r="X41" s="32">
        <f t="shared" si="54"/>
        <v>327680</v>
      </c>
      <c r="Y41" s="32">
        <f t="shared" si="54"/>
        <v>327680</v>
      </c>
      <c r="Z41" s="32">
        <f t="shared" si="54"/>
        <v>327680</v>
      </c>
      <c r="AA41" s="32">
        <f t="shared" si="54"/>
        <v>327680</v>
      </c>
      <c r="AB41" s="32">
        <f t="shared" si="54"/>
        <v>327680</v>
      </c>
    </row>
    <row r="42" ht="15.75" customHeight="1">
      <c r="A42" s="21">
        <f>'Soul Energy Tiers'!J18</f>
        <v>655360</v>
      </c>
      <c r="B42" s="5"/>
      <c r="C42" s="55" t="s">
        <v>43</v>
      </c>
      <c r="D42" s="32">
        <f t="shared" si="40"/>
        <v>655360</v>
      </c>
      <c r="E42" s="5"/>
      <c r="F42" s="55" t="s">
        <v>43</v>
      </c>
      <c r="G42" s="32">
        <f t="shared" ref="G42:AB42" si="55">$A42/G$5</f>
        <v>65536</v>
      </c>
      <c r="H42" s="32">
        <f t="shared" si="55"/>
        <v>65536</v>
      </c>
      <c r="I42" s="32">
        <f t="shared" si="55"/>
        <v>218453.3333</v>
      </c>
      <c r="J42" s="32">
        <f t="shared" si="55"/>
        <v>327680</v>
      </c>
      <c r="K42" s="32">
        <f t="shared" si="55"/>
        <v>655360</v>
      </c>
      <c r="L42" s="32">
        <f t="shared" si="55"/>
        <v>655360</v>
      </c>
      <c r="M42" s="32">
        <f t="shared" si="55"/>
        <v>655360</v>
      </c>
      <c r="N42" s="32">
        <f t="shared" si="55"/>
        <v>655360</v>
      </c>
      <c r="O42" s="32">
        <f t="shared" si="55"/>
        <v>655360</v>
      </c>
      <c r="P42" s="32">
        <f t="shared" si="55"/>
        <v>655360</v>
      </c>
      <c r="Q42" s="32">
        <f t="shared" si="55"/>
        <v>655360</v>
      </c>
      <c r="R42" s="32">
        <f t="shared" si="55"/>
        <v>655360</v>
      </c>
      <c r="S42" s="32">
        <f t="shared" si="55"/>
        <v>655360</v>
      </c>
      <c r="T42" s="32">
        <f t="shared" si="55"/>
        <v>655360</v>
      </c>
      <c r="U42" s="32">
        <f t="shared" si="55"/>
        <v>655360</v>
      </c>
      <c r="V42" s="32">
        <f t="shared" si="55"/>
        <v>655360</v>
      </c>
      <c r="W42" s="32">
        <f t="shared" si="55"/>
        <v>655360</v>
      </c>
      <c r="X42" s="32">
        <f t="shared" si="55"/>
        <v>655360</v>
      </c>
      <c r="Y42" s="32">
        <f t="shared" si="55"/>
        <v>655360</v>
      </c>
      <c r="Z42" s="32">
        <f t="shared" si="55"/>
        <v>655360</v>
      </c>
      <c r="AA42" s="32">
        <f t="shared" si="55"/>
        <v>655360</v>
      </c>
      <c r="AB42" s="32">
        <f t="shared" si="55"/>
        <v>655360</v>
      </c>
    </row>
    <row r="43" ht="15.75" customHeight="1">
      <c r="A43" s="21">
        <f>'Soul Energy Tiers'!J19</f>
        <v>1310720</v>
      </c>
      <c r="B43" s="5"/>
      <c r="C43" s="55" t="s">
        <v>45</v>
      </c>
      <c r="D43" s="32">
        <f t="shared" si="40"/>
        <v>1310720</v>
      </c>
      <c r="E43" s="5"/>
      <c r="F43" s="55" t="s">
        <v>45</v>
      </c>
      <c r="G43" s="32">
        <f t="shared" ref="G43:AB43" si="56">$A43/G$5</f>
        <v>131072</v>
      </c>
      <c r="H43" s="32">
        <f t="shared" si="56"/>
        <v>131072</v>
      </c>
      <c r="I43" s="32">
        <f t="shared" si="56"/>
        <v>436906.6667</v>
      </c>
      <c r="J43" s="32">
        <f t="shared" si="56"/>
        <v>655360</v>
      </c>
      <c r="K43" s="32">
        <f t="shared" si="56"/>
        <v>1310720</v>
      </c>
      <c r="L43" s="32">
        <f t="shared" si="56"/>
        <v>1310720</v>
      </c>
      <c r="M43" s="32">
        <f t="shared" si="56"/>
        <v>1310720</v>
      </c>
      <c r="N43" s="32">
        <f t="shared" si="56"/>
        <v>1310720</v>
      </c>
      <c r="O43" s="32">
        <f t="shared" si="56"/>
        <v>1310720</v>
      </c>
      <c r="P43" s="32">
        <f t="shared" si="56"/>
        <v>1310720</v>
      </c>
      <c r="Q43" s="32">
        <f t="shared" si="56"/>
        <v>1310720</v>
      </c>
      <c r="R43" s="32">
        <f t="shared" si="56"/>
        <v>1310720</v>
      </c>
      <c r="S43" s="32">
        <f t="shared" si="56"/>
        <v>1310720</v>
      </c>
      <c r="T43" s="32">
        <f t="shared" si="56"/>
        <v>1310720</v>
      </c>
      <c r="U43" s="32">
        <f t="shared" si="56"/>
        <v>1310720</v>
      </c>
      <c r="V43" s="32">
        <f t="shared" si="56"/>
        <v>1310720</v>
      </c>
      <c r="W43" s="32">
        <f t="shared" si="56"/>
        <v>1310720</v>
      </c>
      <c r="X43" s="32">
        <f t="shared" si="56"/>
        <v>1310720</v>
      </c>
      <c r="Y43" s="32">
        <f t="shared" si="56"/>
        <v>1310720</v>
      </c>
      <c r="Z43" s="32">
        <f t="shared" si="56"/>
        <v>1310720</v>
      </c>
      <c r="AA43" s="32">
        <f t="shared" si="56"/>
        <v>1310720</v>
      </c>
      <c r="AB43" s="32">
        <f t="shared" si="56"/>
        <v>1310720</v>
      </c>
    </row>
    <row r="44" ht="15.75" customHeight="1">
      <c r="A44" s="35"/>
      <c r="B44" s="5"/>
      <c r="C44" s="5"/>
      <c r="E44" s="5"/>
      <c r="F44" s="35"/>
      <c r="G44" s="35" t="s">
        <v>76</v>
      </c>
    </row>
    <row r="45" ht="15.75" customHeight="1">
      <c r="A45" s="52" t="s">
        <v>75</v>
      </c>
      <c r="B45" s="5"/>
      <c r="C45" s="10" t="s">
        <v>3</v>
      </c>
      <c r="D45" s="10" t="s">
        <v>55</v>
      </c>
      <c r="E45" s="5"/>
      <c r="F45" s="53" t="s">
        <v>3</v>
      </c>
      <c r="G45" s="45" t="str">
        <f t="shared" ref="G45:AB45" si="57">G26</f>
        <v>Sweet Sting</v>
      </c>
      <c r="H45" s="45" t="str">
        <f t="shared" si="57"/>
        <v>Big Wingas</v>
      </c>
      <c r="I45" s="45" t="str">
        <f t="shared" si="57"/>
        <v>Trunk People</v>
      </c>
      <c r="J45" s="45" t="str">
        <f t="shared" si="57"/>
        <v>Shapeshifter</v>
      </c>
      <c r="K45" s="45" t="str">
        <f t="shared" si="57"/>
        <v/>
      </c>
      <c r="L45" s="45" t="str">
        <f t="shared" si="57"/>
        <v/>
      </c>
      <c r="M45" s="45" t="str">
        <f t="shared" si="57"/>
        <v/>
      </c>
      <c r="N45" s="45" t="str">
        <f t="shared" si="57"/>
        <v/>
      </c>
      <c r="O45" s="45" t="str">
        <f t="shared" si="57"/>
        <v/>
      </c>
      <c r="P45" s="45" t="str">
        <f t="shared" si="57"/>
        <v/>
      </c>
      <c r="Q45" s="45" t="str">
        <f t="shared" si="57"/>
        <v/>
      </c>
      <c r="R45" s="45" t="str">
        <f t="shared" si="57"/>
        <v/>
      </c>
      <c r="S45" s="45" t="str">
        <f t="shared" si="57"/>
        <v/>
      </c>
      <c r="T45" s="45" t="str">
        <f t="shared" si="57"/>
        <v/>
      </c>
      <c r="U45" s="45" t="str">
        <f t="shared" si="57"/>
        <v/>
      </c>
      <c r="V45" s="45" t="str">
        <f t="shared" si="57"/>
        <v/>
      </c>
      <c r="W45" s="45" t="str">
        <f t="shared" si="57"/>
        <v/>
      </c>
      <c r="X45" s="45" t="str">
        <f t="shared" si="57"/>
        <v/>
      </c>
      <c r="Y45" s="45" t="str">
        <f t="shared" si="57"/>
        <v/>
      </c>
      <c r="Z45" s="45" t="str">
        <f t="shared" si="57"/>
        <v/>
      </c>
      <c r="AA45" s="45" t="str">
        <f t="shared" si="57"/>
        <v/>
      </c>
      <c r="AB45" s="45" t="str">
        <f t="shared" si="57"/>
        <v/>
      </c>
    </row>
    <row r="46" ht="15.75" customHeight="1">
      <c r="A46" s="21">
        <f>'Soul Energy Tiers'!J3</f>
        <v>20</v>
      </c>
      <c r="B46" s="5"/>
      <c r="C46" s="54" t="s">
        <v>13</v>
      </c>
      <c r="D46" s="23">
        <f t="shared" ref="D46:D62" si="59">($A46/D$5)/365</f>
        <v>0.05479452055</v>
      </c>
      <c r="E46" s="5"/>
      <c r="F46" s="54" t="s">
        <v>13</v>
      </c>
      <c r="G46" s="32">
        <f t="shared" ref="G46:AB46" si="58">($A46/G$5)/365</f>
        <v>0.005479452055</v>
      </c>
      <c r="H46" s="32">
        <f t="shared" si="58"/>
        <v>0.005479452055</v>
      </c>
      <c r="I46" s="32">
        <f t="shared" si="58"/>
        <v>0.01826484018</v>
      </c>
      <c r="J46" s="32">
        <f t="shared" si="58"/>
        <v>0.02739726027</v>
      </c>
      <c r="K46" s="32">
        <f t="shared" si="58"/>
        <v>0.05479452055</v>
      </c>
      <c r="L46" s="32">
        <f t="shared" si="58"/>
        <v>0.05479452055</v>
      </c>
      <c r="M46" s="32">
        <f t="shared" si="58"/>
        <v>0.05479452055</v>
      </c>
      <c r="N46" s="32">
        <f t="shared" si="58"/>
        <v>0.05479452055</v>
      </c>
      <c r="O46" s="32">
        <f t="shared" si="58"/>
        <v>0.05479452055</v>
      </c>
      <c r="P46" s="32">
        <f t="shared" si="58"/>
        <v>0.05479452055</v>
      </c>
      <c r="Q46" s="32">
        <f t="shared" si="58"/>
        <v>0.05479452055</v>
      </c>
      <c r="R46" s="32">
        <f t="shared" si="58"/>
        <v>0.05479452055</v>
      </c>
      <c r="S46" s="32">
        <f t="shared" si="58"/>
        <v>0.05479452055</v>
      </c>
      <c r="T46" s="32">
        <f t="shared" si="58"/>
        <v>0.05479452055</v>
      </c>
      <c r="U46" s="32">
        <f t="shared" si="58"/>
        <v>0.05479452055</v>
      </c>
      <c r="V46" s="32">
        <f t="shared" si="58"/>
        <v>0.05479452055</v>
      </c>
      <c r="W46" s="32">
        <f t="shared" si="58"/>
        <v>0.05479452055</v>
      </c>
      <c r="X46" s="32">
        <f t="shared" si="58"/>
        <v>0.05479452055</v>
      </c>
      <c r="Y46" s="32">
        <f t="shared" si="58"/>
        <v>0.05479452055</v>
      </c>
      <c r="Z46" s="32">
        <f t="shared" si="58"/>
        <v>0.05479452055</v>
      </c>
      <c r="AA46" s="32">
        <f t="shared" si="58"/>
        <v>0.05479452055</v>
      </c>
      <c r="AB46" s="32">
        <f t="shared" si="58"/>
        <v>0.05479452055</v>
      </c>
    </row>
    <row r="47" ht="15.75" customHeight="1">
      <c r="A47" s="21">
        <f>'Soul Energy Tiers'!J4</f>
        <v>40</v>
      </c>
      <c r="B47" s="5"/>
      <c r="C47" s="55" t="s">
        <v>15</v>
      </c>
      <c r="D47" s="32">
        <f t="shared" si="59"/>
        <v>0.1095890411</v>
      </c>
      <c r="E47" s="5"/>
      <c r="F47" s="55" t="s">
        <v>15</v>
      </c>
      <c r="G47" s="32">
        <f t="shared" ref="G47:AB47" si="60">($A47/G$5)/365</f>
        <v>0.01095890411</v>
      </c>
      <c r="H47" s="32">
        <f t="shared" si="60"/>
        <v>0.01095890411</v>
      </c>
      <c r="I47" s="32">
        <f t="shared" si="60"/>
        <v>0.03652968037</v>
      </c>
      <c r="J47" s="32">
        <f t="shared" si="60"/>
        <v>0.05479452055</v>
      </c>
      <c r="K47" s="32">
        <f t="shared" si="60"/>
        <v>0.1095890411</v>
      </c>
      <c r="L47" s="32">
        <f t="shared" si="60"/>
        <v>0.1095890411</v>
      </c>
      <c r="M47" s="32">
        <f t="shared" si="60"/>
        <v>0.1095890411</v>
      </c>
      <c r="N47" s="32">
        <f t="shared" si="60"/>
        <v>0.1095890411</v>
      </c>
      <c r="O47" s="32">
        <f t="shared" si="60"/>
        <v>0.1095890411</v>
      </c>
      <c r="P47" s="32">
        <f t="shared" si="60"/>
        <v>0.1095890411</v>
      </c>
      <c r="Q47" s="32">
        <f t="shared" si="60"/>
        <v>0.1095890411</v>
      </c>
      <c r="R47" s="32">
        <f t="shared" si="60"/>
        <v>0.1095890411</v>
      </c>
      <c r="S47" s="32">
        <f t="shared" si="60"/>
        <v>0.1095890411</v>
      </c>
      <c r="T47" s="32">
        <f t="shared" si="60"/>
        <v>0.1095890411</v>
      </c>
      <c r="U47" s="32">
        <f t="shared" si="60"/>
        <v>0.1095890411</v>
      </c>
      <c r="V47" s="32">
        <f t="shared" si="60"/>
        <v>0.1095890411</v>
      </c>
      <c r="W47" s="32">
        <f t="shared" si="60"/>
        <v>0.1095890411</v>
      </c>
      <c r="X47" s="32">
        <f t="shared" si="60"/>
        <v>0.1095890411</v>
      </c>
      <c r="Y47" s="32">
        <f t="shared" si="60"/>
        <v>0.1095890411</v>
      </c>
      <c r="Z47" s="32">
        <f t="shared" si="60"/>
        <v>0.1095890411</v>
      </c>
      <c r="AA47" s="32">
        <f t="shared" si="60"/>
        <v>0.1095890411</v>
      </c>
      <c r="AB47" s="32">
        <f t="shared" si="60"/>
        <v>0.1095890411</v>
      </c>
    </row>
    <row r="48" ht="15.75" customHeight="1">
      <c r="A48" s="21">
        <f>'Soul Energy Tiers'!J5</f>
        <v>80</v>
      </c>
      <c r="B48" s="5"/>
      <c r="C48" s="55" t="s">
        <v>17</v>
      </c>
      <c r="D48" s="32">
        <f t="shared" si="59"/>
        <v>0.2191780822</v>
      </c>
      <c r="E48" s="5"/>
      <c r="F48" s="55" t="s">
        <v>17</v>
      </c>
      <c r="G48" s="32">
        <f t="shared" ref="G48:AB48" si="61">($A48/G$5)/365</f>
        <v>0.02191780822</v>
      </c>
      <c r="H48" s="32">
        <f t="shared" si="61"/>
        <v>0.02191780822</v>
      </c>
      <c r="I48" s="32">
        <f t="shared" si="61"/>
        <v>0.07305936073</v>
      </c>
      <c r="J48" s="32">
        <f t="shared" si="61"/>
        <v>0.1095890411</v>
      </c>
      <c r="K48" s="32">
        <f t="shared" si="61"/>
        <v>0.2191780822</v>
      </c>
      <c r="L48" s="32">
        <f t="shared" si="61"/>
        <v>0.2191780822</v>
      </c>
      <c r="M48" s="32">
        <f t="shared" si="61"/>
        <v>0.2191780822</v>
      </c>
      <c r="N48" s="32">
        <f t="shared" si="61"/>
        <v>0.2191780822</v>
      </c>
      <c r="O48" s="32">
        <f t="shared" si="61"/>
        <v>0.2191780822</v>
      </c>
      <c r="P48" s="32">
        <f t="shared" si="61"/>
        <v>0.2191780822</v>
      </c>
      <c r="Q48" s="32">
        <f t="shared" si="61"/>
        <v>0.2191780822</v>
      </c>
      <c r="R48" s="32">
        <f t="shared" si="61"/>
        <v>0.2191780822</v>
      </c>
      <c r="S48" s="32">
        <f t="shared" si="61"/>
        <v>0.2191780822</v>
      </c>
      <c r="T48" s="32">
        <f t="shared" si="61"/>
        <v>0.2191780822</v>
      </c>
      <c r="U48" s="32">
        <f t="shared" si="61"/>
        <v>0.2191780822</v>
      </c>
      <c r="V48" s="32">
        <f t="shared" si="61"/>
        <v>0.2191780822</v>
      </c>
      <c r="W48" s="32">
        <f t="shared" si="61"/>
        <v>0.2191780822</v>
      </c>
      <c r="X48" s="32">
        <f t="shared" si="61"/>
        <v>0.2191780822</v>
      </c>
      <c r="Y48" s="32">
        <f t="shared" si="61"/>
        <v>0.2191780822</v>
      </c>
      <c r="Z48" s="32">
        <f t="shared" si="61"/>
        <v>0.2191780822</v>
      </c>
      <c r="AA48" s="32">
        <f t="shared" si="61"/>
        <v>0.2191780822</v>
      </c>
      <c r="AB48" s="32">
        <f t="shared" si="61"/>
        <v>0.2191780822</v>
      </c>
    </row>
    <row r="49" ht="15.75" customHeight="1">
      <c r="A49" s="21">
        <f>'Soul Energy Tiers'!J6</f>
        <v>160</v>
      </c>
      <c r="B49" s="5"/>
      <c r="C49" s="55" t="s">
        <v>19</v>
      </c>
      <c r="D49" s="32">
        <f t="shared" si="59"/>
        <v>0.4383561644</v>
      </c>
      <c r="E49" s="5"/>
      <c r="F49" s="55" t="s">
        <v>19</v>
      </c>
      <c r="G49" s="32">
        <f t="shared" ref="G49:AB49" si="62">($A49/G$5)/365</f>
        <v>0.04383561644</v>
      </c>
      <c r="H49" s="32">
        <f t="shared" si="62"/>
        <v>0.04383561644</v>
      </c>
      <c r="I49" s="32">
        <f t="shared" si="62"/>
        <v>0.1461187215</v>
      </c>
      <c r="J49" s="32">
        <f t="shared" si="62"/>
        <v>0.2191780822</v>
      </c>
      <c r="K49" s="32">
        <f t="shared" si="62"/>
        <v>0.4383561644</v>
      </c>
      <c r="L49" s="32">
        <f t="shared" si="62"/>
        <v>0.4383561644</v>
      </c>
      <c r="M49" s="32">
        <f t="shared" si="62"/>
        <v>0.4383561644</v>
      </c>
      <c r="N49" s="32">
        <f t="shared" si="62"/>
        <v>0.4383561644</v>
      </c>
      <c r="O49" s="32">
        <f t="shared" si="62"/>
        <v>0.4383561644</v>
      </c>
      <c r="P49" s="32">
        <f t="shared" si="62"/>
        <v>0.4383561644</v>
      </c>
      <c r="Q49" s="32">
        <f t="shared" si="62"/>
        <v>0.4383561644</v>
      </c>
      <c r="R49" s="32">
        <f t="shared" si="62"/>
        <v>0.4383561644</v>
      </c>
      <c r="S49" s="32">
        <f t="shared" si="62"/>
        <v>0.4383561644</v>
      </c>
      <c r="T49" s="32">
        <f t="shared" si="62"/>
        <v>0.4383561644</v>
      </c>
      <c r="U49" s="32">
        <f t="shared" si="62"/>
        <v>0.4383561644</v>
      </c>
      <c r="V49" s="32">
        <f t="shared" si="62"/>
        <v>0.4383561644</v>
      </c>
      <c r="W49" s="32">
        <f t="shared" si="62"/>
        <v>0.4383561644</v>
      </c>
      <c r="X49" s="32">
        <f t="shared" si="62"/>
        <v>0.4383561644</v>
      </c>
      <c r="Y49" s="32">
        <f t="shared" si="62"/>
        <v>0.4383561644</v>
      </c>
      <c r="Z49" s="32">
        <f t="shared" si="62"/>
        <v>0.4383561644</v>
      </c>
      <c r="AA49" s="32">
        <f t="shared" si="62"/>
        <v>0.4383561644</v>
      </c>
      <c r="AB49" s="32">
        <f t="shared" si="62"/>
        <v>0.4383561644</v>
      </c>
    </row>
    <row r="50" ht="15.75" customHeight="1">
      <c r="A50" s="21">
        <f>'Soul Energy Tiers'!J7</f>
        <v>320</v>
      </c>
      <c r="B50" s="5"/>
      <c r="C50" s="55" t="s">
        <v>21</v>
      </c>
      <c r="D50" s="32">
        <f t="shared" si="59"/>
        <v>0.8767123288</v>
      </c>
      <c r="E50" s="5"/>
      <c r="F50" s="55" t="s">
        <v>21</v>
      </c>
      <c r="G50" s="32">
        <f t="shared" ref="G50:AB50" si="63">($A50/G$5)/365</f>
        <v>0.08767123288</v>
      </c>
      <c r="H50" s="32">
        <f t="shared" si="63"/>
        <v>0.08767123288</v>
      </c>
      <c r="I50" s="32">
        <f t="shared" si="63"/>
        <v>0.2922374429</v>
      </c>
      <c r="J50" s="32">
        <f t="shared" si="63"/>
        <v>0.4383561644</v>
      </c>
      <c r="K50" s="32">
        <f t="shared" si="63"/>
        <v>0.8767123288</v>
      </c>
      <c r="L50" s="32">
        <f t="shared" si="63"/>
        <v>0.8767123288</v>
      </c>
      <c r="M50" s="32">
        <f t="shared" si="63"/>
        <v>0.8767123288</v>
      </c>
      <c r="N50" s="32">
        <f t="shared" si="63"/>
        <v>0.8767123288</v>
      </c>
      <c r="O50" s="32">
        <f t="shared" si="63"/>
        <v>0.8767123288</v>
      </c>
      <c r="P50" s="32">
        <f t="shared" si="63"/>
        <v>0.8767123288</v>
      </c>
      <c r="Q50" s="32">
        <f t="shared" si="63"/>
        <v>0.8767123288</v>
      </c>
      <c r="R50" s="32">
        <f t="shared" si="63"/>
        <v>0.8767123288</v>
      </c>
      <c r="S50" s="32">
        <f t="shared" si="63"/>
        <v>0.8767123288</v>
      </c>
      <c r="T50" s="32">
        <f t="shared" si="63"/>
        <v>0.8767123288</v>
      </c>
      <c r="U50" s="32">
        <f t="shared" si="63"/>
        <v>0.8767123288</v>
      </c>
      <c r="V50" s="32">
        <f t="shared" si="63"/>
        <v>0.8767123288</v>
      </c>
      <c r="W50" s="32">
        <f t="shared" si="63"/>
        <v>0.8767123288</v>
      </c>
      <c r="X50" s="32">
        <f t="shared" si="63"/>
        <v>0.8767123288</v>
      </c>
      <c r="Y50" s="32">
        <f t="shared" si="63"/>
        <v>0.8767123288</v>
      </c>
      <c r="Z50" s="32">
        <f t="shared" si="63"/>
        <v>0.8767123288</v>
      </c>
      <c r="AA50" s="32">
        <f t="shared" si="63"/>
        <v>0.8767123288</v>
      </c>
      <c r="AB50" s="32">
        <f t="shared" si="63"/>
        <v>0.8767123288</v>
      </c>
    </row>
    <row r="51" ht="15.75" customHeight="1">
      <c r="A51" s="21">
        <f>'Soul Energy Tiers'!J8</f>
        <v>640</v>
      </c>
      <c r="B51" s="5"/>
      <c r="C51" s="55" t="s">
        <v>23</v>
      </c>
      <c r="D51" s="32">
        <f t="shared" si="59"/>
        <v>1.753424658</v>
      </c>
      <c r="E51" s="5"/>
      <c r="F51" s="55" t="s">
        <v>23</v>
      </c>
      <c r="G51" s="32">
        <f t="shared" ref="G51:AB51" si="64">($A51/G$5)/365</f>
        <v>0.1753424658</v>
      </c>
      <c r="H51" s="32">
        <f t="shared" si="64"/>
        <v>0.1753424658</v>
      </c>
      <c r="I51" s="32">
        <f t="shared" si="64"/>
        <v>0.5844748858</v>
      </c>
      <c r="J51" s="32">
        <f t="shared" si="64"/>
        <v>0.8767123288</v>
      </c>
      <c r="K51" s="32">
        <f t="shared" si="64"/>
        <v>1.753424658</v>
      </c>
      <c r="L51" s="32">
        <f t="shared" si="64"/>
        <v>1.753424658</v>
      </c>
      <c r="M51" s="32">
        <f t="shared" si="64"/>
        <v>1.753424658</v>
      </c>
      <c r="N51" s="32">
        <f t="shared" si="64"/>
        <v>1.753424658</v>
      </c>
      <c r="O51" s="32">
        <f t="shared" si="64"/>
        <v>1.753424658</v>
      </c>
      <c r="P51" s="32">
        <f t="shared" si="64"/>
        <v>1.753424658</v>
      </c>
      <c r="Q51" s="32">
        <f t="shared" si="64"/>
        <v>1.753424658</v>
      </c>
      <c r="R51" s="32">
        <f t="shared" si="64"/>
        <v>1.753424658</v>
      </c>
      <c r="S51" s="32">
        <f t="shared" si="64"/>
        <v>1.753424658</v>
      </c>
      <c r="T51" s="32">
        <f t="shared" si="64"/>
        <v>1.753424658</v>
      </c>
      <c r="U51" s="32">
        <f t="shared" si="64"/>
        <v>1.753424658</v>
      </c>
      <c r="V51" s="32">
        <f t="shared" si="64"/>
        <v>1.753424658</v>
      </c>
      <c r="W51" s="32">
        <f t="shared" si="64"/>
        <v>1.753424658</v>
      </c>
      <c r="X51" s="32">
        <f t="shared" si="64"/>
        <v>1.753424658</v>
      </c>
      <c r="Y51" s="32">
        <f t="shared" si="64"/>
        <v>1.753424658</v>
      </c>
      <c r="Z51" s="32">
        <f t="shared" si="64"/>
        <v>1.753424658</v>
      </c>
      <c r="AA51" s="32">
        <f t="shared" si="64"/>
        <v>1.753424658</v>
      </c>
      <c r="AB51" s="32">
        <f t="shared" si="64"/>
        <v>1.753424658</v>
      </c>
    </row>
    <row r="52" ht="15.75" customHeight="1">
      <c r="A52" s="21">
        <f>'Soul Energy Tiers'!J9</f>
        <v>1280</v>
      </c>
      <c r="B52" s="5"/>
      <c r="C52" s="55" t="s">
        <v>25</v>
      </c>
      <c r="D52" s="32">
        <f t="shared" si="59"/>
        <v>3.506849315</v>
      </c>
      <c r="E52" s="5"/>
      <c r="F52" s="55" t="s">
        <v>25</v>
      </c>
      <c r="G52" s="32">
        <f t="shared" ref="G52:AB52" si="65">($A52/G$5)/365</f>
        <v>0.3506849315</v>
      </c>
      <c r="H52" s="32">
        <f t="shared" si="65"/>
        <v>0.3506849315</v>
      </c>
      <c r="I52" s="32">
        <f t="shared" si="65"/>
        <v>1.168949772</v>
      </c>
      <c r="J52" s="32">
        <f t="shared" si="65"/>
        <v>1.753424658</v>
      </c>
      <c r="K52" s="32">
        <f t="shared" si="65"/>
        <v>3.506849315</v>
      </c>
      <c r="L52" s="32">
        <f t="shared" si="65"/>
        <v>3.506849315</v>
      </c>
      <c r="M52" s="32">
        <f t="shared" si="65"/>
        <v>3.506849315</v>
      </c>
      <c r="N52" s="32">
        <f t="shared" si="65"/>
        <v>3.506849315</v>
      </c>
      <c r="O52" s="32">
        <f t="shared" si="65"/>
        <v>3.506849315</v>
      </c>
      <c r="P52" s="32">
        <f t="shared" si="65"/>
        <v>3.506849315</v>
      </c>
      <c r="Q52" s="32">
        <f t="shared" si="65"/>
        <v>3.506849315</v>
      </c>
      <c r="R52" s="32">
        <f t="shared" si="65"/>
        <v>3.506849315</v>
      </c>
      <c r="S52" s="32">
        <f t="shared" si="65"/>
        <v>3.506849315</v>
      </c>
      <c r="T52" s="32">
        <f t="shared" si="65"/>
        <v>3.506849315</v>
      </c>
      <c r="U52" s="32">
        <f t="shared" si="65"/>
        <v>3.506849315</v>
      </c>
      <c r="V52" s="32">
        <f t="shared" si="65"/>
        <v>3.506849315</v>
      </c>
      <c r="W52" s="32">
        <f t="shared" si="65"/>
        <v>3.506849315</v>
      </c>
      <c r="X52" s="32">
        <f t="shared" si="65"/>
        <v>3.506849315</v>
      </c>
      <c r="Y52" s="32">
        <f t="shared" si="65"/>
        <v>3.506849315</v>
      </c>
      <c r="Z52" s="32">
        <f t="shared" si="65"/>
        <v>3.506849315</v>
      </c>
      <c r="AA52" s="32">
        <f t="shared" si="65"/>
        <v>3.506849315</v>
      </c>
      <c r="AB52" s="32">
        <f t="shared" si="65"/>
        <v>3.506849315</v>
      </c>
    </row>
    <row r="53" ht="15.75" customHeight="1">
      <c r="A53" s="21">
        <f>'Soul Energy Tiers'!J10</f>
        <v>2560</v>
      </c>
      <c r="B53" s="5"/>
      <c r="C53" s="55" t="s">
        <v>27</v>
      </c>
      <c r="D53" s="32">
        <f t="shared" si="59"/>
        <v>7.01369863</v>
      </c>
      <c r="E53" s="5"/>
      <c r="F53" s="55" t="s">
        <v>27</v>
      </c>
      <c r="G53" s="32">
        <f t="shared" ref="G53:AB53" si="66">($A53/G$5)/365</f>
        <v>0.701369863</v>
      </c>
      <c r="H53" s="32">
        <f t="shared" si="66"/>
        <v>0.701369863</v>
      </c>
      <c r="I53" s="32">
        <f t="shared" si="66"/>
        <v>2.337899543</v>
      </c>
      <c r="J53" s="32">
        <f t="shared" si="66"/>
        <v>3.506849315</v>
      </c>
      <c r="K53" s="32">
        <f t="shared" si="66"/>
        <v>7.01369863</v>
      </c>
      <c r="L53" s="32">
        <f t="shared" si="66"/>
        <v>7.01369863</v>
      </c>
      <c r="M53" s="32">
        <f t="shared" si="66"/>
        <v>7.01369863</v>
      </c>
      <c r="N53" s="32">
        <f t="shared" si="66"/>
        <v>7.01369863</v>
      </c>
      <c r="O53" s="32">
        <f t="shared" si="66"/>
        <v>7.01369863</v>
      </c>
      <c r="P53" s="32">
        <f t="shared" si="66"/>
        <v>7.01369863</v>
      </c>
      <c r="Q53" s="32">
        <f t="shared" si="66"/>
        <v>7.01369863</v>
      </c>
      <c r="R53" s="32">
        <f t="shared" si="66"/>
        <v>7.01369863</v>
      </c>
      <c r="S53" s="32">
        <f t="shared" si="66"/>
        <v>7.01369863</v>
      </c>
      <c r="T53" s="32">
        <f t="shared" si="66"/>
        <v>7.01369863</v>
      </c>
      <c r="U53" s="32">
        <f t="shared" si="66"/>
        <v>7.01369863</v>
      </c>
      <c r="V53" s="32">
        <f t="shared" si="66"/>
        <v>7.01369863</v>
      </c>
      <c r="W53" s="32">
        <f t="shared" si="66"/>
        <v>7.01369863</v>
      </c>
      <c r="X53" s="32">
        <f t="shared" si="66"/>
        <v>7.01369863</v>
      </c>
      <c r="Y53" s="32">
        <f t="shared" si="66"/>
        <v>7.01369863</v>
      </c>
      <c r="Z53" s="32">
        <f t="shared" si="66"/>
        <v>7.01369863</v>
      </c>
      <c r="AA53" s="32">
        <f t="shared" si="66"/>
        <v>7.01369863</v>
      </c>
      <c r="AB53" s="32">
        <f t="shared" si="66"/>
        <v>7.01369863</v>
      </c>
    </row>
    <row r="54" ht="15.75" customHeight="1">
      <c r="A54" s="21">
        <f>'Soul Energy Tiers'!J11</f>
        <v>5120</v>
      </c>
      <c r="B54" s="5"/>
      <c r="C54" s="55" t="s">
        <v>29</v>
      </c>
      <c r="D54" s="32">
        <f t="shared" si="59"/>
        <v>14.02739726</v>
      </c>
      <c r="E54" s="5"/>
      <c r="F54" s="55" t="s">
        <v>29</v>
      </c>
      <c r="G54" s="32">
        <f t="shared" ref="G54:AB54" si="67">($A54/G$5)/365</f>
        <v>1.402739726</v>
      </c>
      <c r="H54" s="32">
        <f t="shared" si="67"/>
        <v>1.402739726</v>
      </c>
      <c r="I54" s="32">
        <f t="shared" si="67"/>
        <v>4.675799087</v>
      </c>
      <c r="J54" s="32">
        <f t="shared" si="67"/>
        <v>7.01369863</v>
      </c>
      <c r="K54" s="32">
        <f t="shared" si="67"/>
        <v>14.02739726</v>
      </c>
      <c r="L54" s="32">
        <f t="shared" si="67"/>
        <v>14.02739726</v>
      </c>
      <c r="M54" s="32">
        <f t="shared" si="67"/>
        <v>14.02739726</v>
      </c>
      <c r="N54" s="32">
        <f t="shared" si="67"/>
        <v>14.02739726</v>
      </c>
      <c r="O54" s="32">
        <f t="shared" si="67"/>
        <v>14.02739726</v>
      </c>
      <c r="P54" s="32">
        <f t="shared" si="67"/>
        <v>14.02739726</v>
      </c>
      <c r="Q54" s="32">
        <f t="shared" si="67"/>
        <v>14.02739726</v>
      </c>
      <c r="R54" s="32">
        <f t="shared" si="67"/>
        <v>14.02739726</v>
      </c>
      <c r="S54" s="32">
        <f t="shared" si="67"/>
        <v>14.02739726</v>
      </c>
      <c r="T54" s="32">
        <f t="shared" si="67"/>
        <v>14.02739726</v>
      </c>
      <c r="U54" s="32">
        <f t="shared" si="67"/>
        <v>14.02739726</v>
      </c>
      <c r="V54" s="32">
        <f t="shared" si="67"/>
        <v>14.02739726</v>
      </c>
      <c r="W54" s="32">
        <f t="shared" si="67"/>
        <v>14.02739726</v>
      </c>
      <c r="X54" s="32">
        <f t="shared" si="67"/>
        <v>14.02739726</v>
      </c>
      <c r="Y54" s="32">
        <f t="shared" si="67"/>
        <v>14.02739726</v>
      </c>
      <c r="Z54" s="32">
        <f t="shared" si="67"/>
        <v>14.02739726</v>
      </c>
      <c r="AA54" s="32">
        <f t="shared" si="67"/>
        <v>14.02739726</v>
      </c>
      <c r="AB54" s="32">
        <f t="shared" si="67"/>
        <v>14.02739726</v>
      </c>
    </row>
    <row r="55" ht="15.75" customHeight="1">
      <c r="A55" s="21">
        <f>'Soul Energy Tiers'!J12</f>
        <v>10240</v>
      </c>
      <c r="B55" s="5"/>
      <c r="C55" s="55" t="s">
        <v>31</v>
      </c>
      <c r="D55" s="32">
        <f t="shared" si="59"/>
        <v>28.05479452</v>
      </c>
      <c r="E55" s="5"/>
      <c r="F55" s="55" t="s">
        <v>31</v>
      </c>
      <c r="G55" s="32">
        <f t="shared" ref="G55:AB55" si="68">($A55/G$5)/365</f>
        <v>2.805479452</v>
      </c>
      <c r="H55" s="32">
        <f t="shared" si="68"/>
        <v>2.805479452</v>
      </c>
      <c r="I55" s="32">
        <f t="shared" si="68"/>
        <v>9.351598174</v>
      </c>
      <c r="J55" s="32">
        <f t="shared" si="68"/>
        <v>14.02739726</v>
      </c>
      <c r="K55" s="32">
        <f t="shared" si="68"/>
        <v>28.05479452</v>
      </c>
      <c r="L55" s="32">
        <f t="shared" si="68"/>
        <v>28.05479452</v>
      </c>
      <c r="M55" s="32">
        <f t="shared" si="68"/>
        <v>28.05479452</v>
      </c>
      <c r="N55" s="32">
        <f t="shared" si="68"/>
        <v>28.05479452</v>
      </c>
      <c r="O55" s="32">
        <f t="shared" si="68"/>
        <v>28.05479452</v>
      </c>
      <c r="P55" s="32">
        <f t="shared" si="68"/>
        <v>28.05479452</v>
      </c>
      <c r="Q55" s="32">
        <f t="shared" si="68"/>
        <v>28.05479452</v>
      </c>
      <c r="R55" s="32">
        <f t="shared" si="68"/>
        <v>28.05479452</v>
      </c>
      <c r="S55" s="32">
        <f t="shared" si="68"/>
        <v>28.05479452</v>
      </c>
      <c r="T55" s="32">
        <f t="shared" si="68"/>
        <v>28.05479452</v>
      </c>
      <c r="U55" s="32">
        <f t="shared" si="68"/>
        <v>28.05479452</v>
      </c>
      <c r="V55" s="32">
        <f t="shared" si="68"/>
        <v>28.05479452</v>
      </c>
      <c r="W55" s="32">
        <f t="shared" si="68"/>
        <v>28.05479452</v>
      </c>
      <c r="X55" s="32">
        <f t="shared" si="68"/>
        <v>28.05479452</v>
      </c>
      <c r="Y55" s="32">
        <f t="shared" si="68"/>
        <v>28.05479452</v>
      </c>
      <c r="Z55" s="32">
        <f t="shared" si="68"/>
        <v>28.05479452</v>
      </c>
      <c r="AA55" s="32">
        <f t="shared" si="68"/>
        <v>28.05479452</v>
      </c>
      <c r="AB55" s="32">
        <f t="shared" si="68"/>
        <v>28.05479452</v>
      </c>
    </row>
    <row r="56" ht="15.75" customHeight="1">
      <c r="A56" s="21">
        <f>'Soul Energy Tiers'!J13</f>
        <v>20480</v>
      </c>
      <c r="B56" s="5"/>
      <c r="C56" s="55" t="s">
        <v>33</v>
      </c>
      <c r="D56" s="32">
        <f t="shared" si="59"/>
        <v>56.10958904</v>
      </c>
      <c r="E56" s="5"/>
      <c r="F56" s="55" t="s">
        <v>33</v>
      </c>
      <c r="G56" s="32">
        <f t="shared" ref="G56:AB56" si="69">($A56/G$5)/365</f>
        <v>5.610958904</v>
      </c>
      <c r="H56" s="32">
        <f t="shared" si="69"/>
        <v>5.610958904</v>
      </c>
      <c r="I56" s="32">
        <f t="shared" si="69"/>
        <v>18.70319635</v>
      </c>
      <c r="J56" s="32">
        <f t="shared" si="69"/>
        <v>28.05479452</v>
      </c>
      <c r="K56" s="32">
        <f t="shared" si="69"/>
        <v>56.10958904</v>
      </c>
      <c r="L56" s="32">
        <f t="shared" si="69"/>
        <v>56.10958904</v>
      </c>
      <c r="M56" s="32">
        <f t="shared" si="69"/>
        <v>56.10958904</v>
      </c>
      <c r="N56" s="32">
        <f t="shared" si="69"/>
        <v>56.10958904</v>
      </c>
      <c r="O56" s="32">
        <f t="shared" si="69"/>
        <v>56.10958904</v>
      </c>
      <c r="P56" s="32">
        <f t="shared" si="69"/>
        <v>56.10958904</v>
      </c>
      <c r="Q56" s="32">
        <f t="shared" si="69"/>
        <v>56.10958904</v>
      </c>
      <c r="R56" s="32">
        <f t="shared" si="69"/>
        <v>56.10958904</v>
      </c>
      <c r="S56" s="32">
        <f t="shared" si="69"/>
        <v>56.10958904</v>
      </c>
      <c r="T56" s="32">
        <f t="shared" si="69"/>
        <v>56.10958904</v>
      </c>
      <c r="U56" s="32">
        <f t="shared" si="69"/>
        <v>56.10958904</v>
      </c>
      <c r="V56" s="32">
        <f t="shared" si="69"/>
        <v>56.10958904</v>
      </c>
      <c r="W56" s="32">
        <f t="shared" si="69"/>
        <v>56.10958904</v>
      </c>
      <c r="X56" s="32">
        <f t="shared" si="69"/>
        <v>56.10958904</v>
      </c>
      <c r="Y56" s="32">
        <f t="shared" si="69"/>
        <v>56.10958904</v>
      </c>
      <c r="Z56" s="32">
        <f t="shared" si="69"/>
        <v>56.10958904</v>
      </c>
      <c r="AA56" s="32">
        <f t="shared" si="69"/>
        <v>56.10958904</v>
      </c>
      <c r="AB56" s="32">
        <f t="shared" si="69"/>
        <v>56.10958904</v>
      </c>
    </row>
    <row r="57" ht="15.75" customHeight="1">
      <c r="A57" s="21">
        <f>'Soul Energy Tiers'!J14</f>
        <v>40960</v>
      </c>
      <c r="B57" s="5"/>
      <c r="C57" s="55" t="s">
        <v>35</v>
      </c>
      <c r="D57" s="32">
        <f t="shared" si="59"/>
        <v>112.2191781</v>
      </c>
      <c r="E57" s="5"/>
      <c r="F57" s="55" t="s">
        <v>35</v>
      </c>
      <c r="G57" s="32">
        <f t="shared" ref="G57:AB57" si="70">($A57/G$5)/365</f>
        <v>11.22191781</v>
      </c>
      <c r="H57" s="32">
        <f t="shared" si="70"/>
        <v>11.22191781</v>
      </c>
      <c r="I57" s="32">
        <f t="shared" si="70"/>
        <v>37.40639269</v>
      </c>
      <c r="J57" s="32">
        <f t="shared" si="70"/>
        <v>56.10958904</v>
      </c>
      <c r="K57" s="32">
        <f t="shared" si="70"/>
        <v>112.2191781</v>
      </c>
      <c r="L57" s="32">
        <f t="shared" si="70"/>
        <v>112.2191781</v>
      </c>
      <c r="M57" s="32">
        <f t="shared" si="70"/>
        <v>112.2191781</v>
      </c>
      <c r="N57" s="32">
        <f t="shared" si="70"/>
        <v>112.2191781</v>
      </c>
      <c r="O57" s="32">
        <f t="shared" si="70"/>
        <v>112.2191781</v>
      </c>
      <c r="P57" s="32">
        <f t="shared" si="70"/>
        <v>112.2191781</v>
      </c>
      <c r="Q57" s="32">
        <f t="shared" si="70"/>
        <v>112.2191781</v>
      </c>
      <c r="R57" s="32">
        <f t="shared" si="70"/>
        <v>112.2191781</v>
      </c>
      <c r="S57" s="32">
        <f t="shared" si="70"/>
        <v>112.2191781</v>
      </c>
      <c r="T57" s="32">
        <f t="shared" si="70"/>
        <v>112.2191781</v>
      </c>
      <c r="U57" s="32">
        <f t="shared" si="70"/>
        <v>112.2191781</v>
      </c>
      <c r="V57" s="32">
        <f t="shared" si="70"/>
        <v>112.2191781</v>
      </c>
      <c r="W57" s="32">
        <f t="shared" si="70"/>
        <v>112.2191781</v>
      </c>
      <c r="X57" s="32">
        <f t="shared" si="70"/>
        <v>112.2191781</v>
      </c>
      <c r="Y57" s="32">
        <f t="shared" si="70"/>
        <v>112.2191781</v>
      </c>
      <c r="Z57" s="32">
        <f t="shared" si="70"/>
        <v>112.2191781</v>
      </c>
      <c r="AA57" s="32">
        <f t="shared" si="70"/>
        <v>112.2191781</v>
      </c>
      <c r="AB57" s="32">
        <f t="shared" si="70"/>
        <v>112.2191781</v>
      </c>
    </row>
    <row r="58" ht="15.75" customHeight="1">
      <c r="A58" s="21">
        <f>'Soul Energy Tiers'!J15</f>
        <v>81920</v>
      </c>
      <c r="B58" s="5"/>
      <c r="C58" s="55" t="s">
        <v>37</v>
      </c>
      <c r="D58" s="32">
        <f t="shared" si="59"/>
        <v>224.4383562</v>
      </c>
      <c r="E58" s="5"/>
      <c r="F58" s="55" t="s">
        <v>37</v>
      </c>
      <c r="G58" s="32">
        <f t="shared" ref="G58:AB58" si="71">($A58/G$5)/365</f>
        <v>22.44383562</v>
      </c>
      <c r="H58" s="32">
        <f t="shared" si="71"/>
        <v>22.44383562</v>
      </c>
      <c r="I58" s="32">
        <f t="shared" si="71"/>
        <v>74.81278539</v>
      </c>
      <c r="J58" s="32">
        <f t="shared" si="71"/>
        <v>112.2191781</v>
      </c>
      <c r="K58" s="32">
        <f t="shared" si="71"/>
        <v>224.4383562</v>
      </c>
      <c r="L58" s="32">
        <f t="shared" si="71"/>
        <v>224.4383562</v>
      </c>
      <c r="M58" s="32">
        <f t="shared" si="71"/>
        <v>224.4383562</v>
      </c>
      <c r="N58" s="32">
        <f t="shared" si="71"/>
        <v>224.4383562</v>
      </c>
      <c r="O58" s="32">
        <f t="shared" si="71"/>
        <v>224.4383562</v>
      </c>
      <c r="P58" s="32">
        <f t="shared" si="71"/>
        <v>224.4383562</v>
      </c>
      <c r="Q58" s="32">
        <f t="shared" si="71"/>
        <v>224.4383562</v>
      </c>
      <c r="R58" s="32">
        <f t="shared" si="71"/>
        <v>224.4383562</v>
      </c>
      <c r="S58" s="32">
        <f t="shared" si="71"/>
        <v>224.4383562</v>
      </c>
      <c r="T58" s="32">
        <f t="shared" si="71"/>
        <v>224.4383562</v>
      </c>
      <c r="U58" s="32">
        <f t="shared" si="71"/>
        <v>224.4383562</v>
      </c>
      <c r="V58" s="32">
        <f t="shared" si="71"/>
        <v>224.4383562</v>
      </c>
      <c r="W58" s="32">
        <f t="shared" si="71"/>
        <v>224.4383562</v>
      </c>
      <c r="X58" s="32">
        <f t="shared" si="71"/>
        <v>224.4383562</v>
      </c>
      <c r="Y58" s="32">
        <f t="shared" si="71"/>
        <v>224.4383562</v>
      </c>
      <c r="Z58" s="32">
        <f t="shared" si="71"/>
        <v>224.4383562</v>
      </c>
      <c r="AA58" s="32">
        <f t="shared" si="71"/>
        <v>224.4383562</v>
      </c>
      <c r="AB58" s="32">
        <f t="shared" si="71"/>
        <v>224.4383562</v>
      </c>
    </row>
    <row r="59" ht="15.75" customHeight="1">
      <c r="A59" s="21">
        <f>'Soul Energy Tiers'!J16</f>
        <v>163840</v>
      </c>
      <c r="B59" s="5"/>
      <c r="C59" s="55" t="s">
        <v>39</v>
      </c>
      <c r="D59" s="32">
        <f t="shared" si="59"/>
        <v>448.8767123</v>
      </c>
      <c r="E59" s="5"/>
      <c r="F59" s="55" t="s">
        <v>39</v>
      </c>
      <c r="G59" s="32">
        <f t="shared" ref="G59:AB59" si="72">($A59/G$5)/365</f>
        <v>44.88767123</v>
      </c>
      <c r="H59" s="32">
        <f t="shared" si="72"/>
        <v>44.88767123</v>
      </c>
      <c r="I59" s="32">
        <f t="shared" si="72"/>
        <v>149.6255708</v>
      </c>
      <c r="J59" s="32">
        <f t="shared" si="72"/>
        <v>224.4383562</v>
      </c>
      <c r="K59" s="32">
        <f t="shared" si="72"/>
        <v>448.8767123</v>
      </c>
      <c r="L59" s="32">
        <f t="shared" si="72"/>
        <v>448.8767123</v>
      </c>
      <c r="M59" s="32">
        <f t="shared" si="72"/>
        <v>448.8767123</v>
      </c>
      <c r="N59" s="32">
        <f t="shared" si="72"/>
        <v>448.8767123</v>
      </c>
      <c r="O59" s="32">
        <f t="shared" si="72"/>
        <v>448.8767123</v>
      </c>
      <c r="P59" s="32">
        <f t="shared" si="72"/>
        <v>448.8767123</v>
      </c>
      <c r="Q59" s="32">
        <f t="shared" si="72"/>
        <v>448.8767123</v>
      </c>
      <c r="R59" s="32">
        <f t="shared" si="72"/>
        <v>448.8767123</v>
      </c>
      <c r="S59" s="32">
        <f t="shared" si="72"/>
        <v>448.8767123</v>
      </c>
      <c r="T59" s="32">
        <f t="shared" si="72"/>
        <v>448.8767123</v>
      </c>
      <c r="U59" s="32">
        <f t="shared" si="72"/>
        <v>448.8767123</v>
      </c>
      <c r="V59" s="32">
        <f t="shared" si="72"/>
        <v>448.8767123</v>
      </c>
      <c r="W59" s="32">
        <f t="shared" si="72"/>
        <v>448.8767123</v>
      </c>
      <c r="X59" s="32">
        <f t="shared" si="72"/>
        <v>448.8767123</v>
      </c>
      <c r="Y59" s="32">
        <f t="shared" si="72"/>
        <v>448.8767123</v>
      </c>
      <c r="Z59" s="32">
        <f t="shared" si="72"/>
        <v>448.8767123</v>
      </c>
      <c r="AA59" s="32">
        <f t="shared" si="72"/>
        <v>448.8767123</v>
      </c>
      <c r="AB59" s="32">
        <f t="shared" si="72"/>
        <v>448.8767123</v>
      </c>
    </row>
    <row r="60" ht="15.75" customHeight="1">
      <c r="A60" s="21">
        <f>'Soul Energy Tiers'!J17</f>
        <v>327680</v>
      </c>
      <c r="B60" s="5"/>
      <c r="C60" s="55" t="s">
        <v>41</v>
      </c>
      <c r="D60" s="32">
        <f t="shared" si="59"/>
        <v>897.7534247</v>
      </c>
      <c r="E60" s="5"/>
      <c r="F60" s="55" t="s">
        <v>41</v>
      </c>
      <c r="G60" s="32">
        <f t="shared" ref="G60:AB60" si="73">($A60/G$5)/365</f>
        <v>89.77534247</v>
      </c>
      <c r="H60" s="32">
        <f t="shared" si="73"/>
        <v>89.77534247</v>
      </c>
      <c r="I60" s="32">
        <f t="shared" si="73"/>
        <v>299.2511416</v>
      </c>
      <c r="J60" s="32">
        <f t="shared" si="73"/>
        <v>448.8767123</v>
      </c>
      <c r="K60" s="32">
        <f t="shared" si="73"/>
        <v>897.7534247</v>
      </c>
      <c r="L60" s="32">
        <f t="shared" si="73"/>
        <v>897.7534247</v>
      </c>
      <c r="M60" s="32">
        <f t="shared" si="73"/>
        <v>897.7534247</v>
      </c>
      <c r="N60" s="32">
        <f t="shared" si="73"/>
        <v>897.7534247</v>
      </c>
      <c r="O60" s="32">
        <f t="shared" si="73"/>
        <v>897.7534247</v>
      </c>
      <c r="P60" s="32">
        <f t="shared" si="73"/>
        <v>897.7534247</v>
      </c>
      <c r="Q60" s="32">
        <f t="shared" si="73"/>
        <v>897.7534247</v>
      </c>
      <c r="R60" s="32">
        <f t="shared" si="73"/>
        <v>897.7534247</v>
      </c>
      <c r="S60" s="32">
        <f t="shared" si="73"/>
        <v>897.7534247</v>
      </c>
      <c r="T60" s="32">
        <f t="shared" si="73"/>
        <v>897.7534247</v>
      </c>
      <c r="U60" s="32">
        <f t="shared" si="73"/>
        <v>897.7534247</v>
      </c>
      <c r="V60" s="32">
        <f t="shared" si="73"/>
        <v>897.7534247</v>
      </c>
      <c r="W60" s="32">
        <f t="shared" si="73"/>
        <v>897.7534247</v>
      </c>
      <c r="X60" s="32">
        <f t="shared" si="73"/>
        <v>897.7534247</v>
      </c>
      <c r="Y60" s="32">
        <f t="shared" si="73"/>
        <v>897.7534247</v>
      </c>
      <c r="Z60" s="32">
        <f t="shared" si="73"/>
        <v>897.7534247</v>
      </c>
      <c r="AA60" s="32">
        <f t="shared" si="73"/>
        <v>897.7534247</v>
      </c>
      <c r="AB60" s="32">
        <f t="shared" si="73"/>
        <v>897.7534247</v>
      </c>
    </row>
    <row r="61" ht="15.75" customHeight="1">
      <c r="A61" s="21">
        <f>'Soul Energy Tiers'!J18</f>
        <v>655360</v>
      </c>
      <c r="B61" s="5"/>
      <c r="C61" s="55" t="s">
        <v>43</v>
      </c>
      <c r="D61" s="32">
        <f t="shared" si="59"/>
        <v>1795.506849</v>
      </c>
      <c r="E61" s="5"/>
      <c r="F61" s="55" t="s">
        <v>43</v>
      </c>
      <c r="G61" s="32">
        <f t="shared" ref="G61:AB61" si="74">($A61/G$5)/365</f>
        <v>179.5506849</v>
      </c>
      <c r="H61" s="32">
        <f t="shared" si="74"/>
        <v>179.5506849</v>
      </c>
      <c r="I61" s="32">
        <f t="shared" si="74"/>
        <v>598.5022831</v>
      </c>
      <c r="J61" s="32">
        <f t="shared" si="74"/>
        <v>897.7534247</v>
      </c>
      <c r="K61" s="32">
        <f t="shared" si="74"/>
        <v>1795.506849</v>
      </c>
      <c r="L61" s="32">
        <f t="shared" si="74"/>
        <v>1795.506849</v>
      </c>
      <c r="M61" s="32">
        <f t="shared" si="74"/>
        <v>1795.506849</v>
      </c>
      <c r="N61" s="32">
        <f t="shared" si="74"/>
        <v>1795.506849</v>
      </c>
      <c r="O61" s="32">
        <f t="shared" si="74"/>
        <v>1795.506849</v>
      </c>
      <c r="P61" s="32">
        <f t="shared" si="74"/>
        <v>1795.506849</v>
      </c>
      <c r="Q61" s="32">
        <f t="shared" si="74"/>
        <v>1795.506849</v>
      </c>
      <c r="R61" s="32">
        <f t="shared" si="74"/>
        <v>1795.506849</v>
      </c>
      <c r="S61" s="32">
        <f t="shared" si="74"/>
        <v>1795.506849</v>
      </c>
      <c r="T61" s="32">
        <f t="shared" si="74"/>
        <v>1795.506849</v>
      </c>
      <c r="U61" s="32">
        <f t="shared" si="74"/>
        <v>1795.506849</v>
      </c>
      <c r="V61" s="32">
        <f t="shared" si="74"/>
        <v>1795.506849</v>
      </c>
      <c r="W61" s="32">
        <f t="shared" si="74"/>
        <v>1795.506849</v>
      </c>
      <c r="X61" s="32">
        <f t="shared" si="74"/>
        <v>1795.506849</v>
      </c>
      <c r="Y61" s="32">
        <f t="shared" si="74"/>
        <v>1795.506849</v>
      </c>
      <c r="Z61" s="32">
        <f t="shared" si="74"/>
        <v>1795.506849</v>
      </c>
      <c r="AA61" s="32">
        <f t="shared" si="74"/>
        <v>1795.506849</v>
      </c>
      <c r="AB61" s="32">
        <f t="shared" si="74"/>
        <v>1795.506849</v>
      </c>
    </row>
    <row r="62" ht="15.75" customHeight="1">
      <c r="A62" s="21">
        <f>'Soul Energy Tiers'!J19</f>
        <v>1310720</v>
      </c>
      <c r="B62" s="5"/>
      <c r="C62" s="55" t="s">
        <v>45</v>
      </c>
      <c r="D62" s="32">
        <f t="shared" si="59"/>
        <v>3591.013699</v>
      </c>
      <c r="E62" s="5"/>
      <c r="F62" s="55" t="s">
        <v>45</v>
      </c>
      <c r="G62" s="32">
        <f t="shared" ref="G62:AB62" si="75">($A62/G$5)/365</f>
        <v>359.1013699</v>
      </c>
      <c r="H62" s="32">
        <f t="shared" si="75"/>
        <v>359.1013699</v>
      </c>
      <c r="I62" s="32">
        <f t="shared" si="75"/>
        <v>1197.004566</v>
      </c>
      <c r="J62" s="32">
        <f t="shared" si="75"/>
        <v>1795.506849</v>
      </c>
      <c r="K62" s="32">
        <f t="shared" si="75"/>
        <v>3591.013699</v>
      </c>
      <c r="L62" s="32">
        <f t="shared" si="75"/>
        <v>3591.013699</v>
      </c>
      <c r="M62" s="32">
        <f t="shared" si="75"/>
        <v>3591.013699</v>
      </c>
      <c r="N62" s="32">
        <f t="shared" si="75"/>
        <v>3591.013699</v>
      </c>
      <c r="O62" s="32">
        <f t="shared" si="75"/>
        <v>3591.013699</v>
      </c>
      <c r="P62" s="32">
        <f t="shared" si="75"/>
        <v>3591.013699</v>
      </c>
      <c r="Q62" s="32">
        <f t="shared" si="75"/>
        <v>3591.013699</v>
      </c>
      <c r="R62" s="32">
        <f t="shared" si="75"/>
        <v>3591.013699</v>
      </c>
      <c r="S62" s="32">
        <f t="shared" si="75"/>
        <v>3591.013699</v>
      </c>
      <c r="T62" s="32">
        <f t="shared" si="75"/>
        <v>3591.013699</v>
      </c>
      <c r="U62" s="32">
        <f t="shared" si="75"/>
        <v>3591.013699</v>
      </c>
      <c r="V62" s="32">
        <f t="shared" si="75"/>
        <v>3591.013699</v>
      </c>
      <c r="W62" s="32">
        <f t="shared" si="75"/>
        <v>3591.013699</v>
      </c>
      <c r="X62" s="32">
        <f t="shared" si="75"/>
        <v>3591.013699</v>
      </c>
      <c r="Y62" s="32">
        <f t="shared" si="75"/>
        <v>3591.013699</v>
      </c>
      <c r="Z62" s="32">
        <f t="shared" si="75"/>
        <v>3591.013699</v>
      </c>
      <c r="AA62" s="32">
        <f t="shared" si="75"/>
        <v>3591.013699</v>
      </c>
      <c r="AB62" s="32">
        <f t="shared" si="75"/>
        <v>3591.013699</v>
      </c>
    </row>
    <row r="63" ht="15.75" customHeight="1">
      <c r="B63" s="5"/>
      <c r="E63" s="5"/>
    </row>
    <row r="64" ht="15.75" customHeight="1">
      <c r="B64" s="5"/>
      <c r="E64" s="5"/>
    </row>
    <row r="65" ht="15.75" customHeight="1">
      <c r="B65" s="5"/>
      <c r="E65" s="5"/>
    </row>
    <row r="66" ht="15.75" customHeight="1">
      <c r="B66" s="5"/>
      <c r="E66" s="5"/>
    </row>
    <row r="67" ht="15.75" customHeight="1">
      <c r="B67" s="5"/>
      <c r="E67" s="5"/>
    </row>
    <row r="68" ht="15.75" customHeight="1">
      <c r="B68" s="5"/>
      <c r="E68" s="5"/>
    </row>
    <row r="69" ht="15.75" customHeight="1">
      <c r="B69" s="5"/>
      <c r="E69" s="5"/>
    </row>
    <row r="70" ht="15.75" customHeight="1">
      <c r="B70" s="5"/>
      <c r="E70" s="5"/>
    </row>
    <row r="71" ht="15.75" customHeight="1">
      <c r="B71" s="5"/>
      <c r="E71" s="5"/>
    </row>
    <row r="72" ht="15.75" customHeight="1">
      <c r="B72" s="5"/>
      <c r="E72" s="5"/>
    </row>
    <row r="73" ht="15.75" customHeight="1">
      <c r="B73" s="5"/>
      <c r="E73" s="5"/>
    </row>
    <row r="74" ht="15.75" customHeight="1">
      <c r="B74" s="5"/>
      <c r="E74" s="5"/>
    </row>
    <row r="75" ht="15.75" customHeight="1">
      <c r="B75" s="5"/>
      <c r="E75" s="5"/>
    </row>
    <row r="76" ht="15.75" customHeight="1">
      <c r="B76" s="5"/>
      <c r="E76" s="5"/>
    </row>
    <row r="77" ht="15.75" customHeight="1">
      <c r="B77" s="5"/>
      <c r="E77" s="5"/>
    </row>
    <row r="78" ht="15.75" customHeight="1">
      <c r="B78" s="5"/>
      <c r="E78" s="5"/>
    </row>
    <row r="79" ht="15.75" customHeight="1">
      <c r="B79" s="5"/>
      <c r="E79" s="5"/>
    </row>
    <row r="80" ht="15.75" customHeight="1">
      <c r="B80" s="5"/>
      <c r="E80" s="5"/>
    </row>
    <row r="81" ht="15.75" customHeight="1">
      <c r="B81" s="5"/>
      <c r="E81" s="5"/>
    </row>
    <row r="82" ht="15.75" customHeight="1">
      <c r="B82" s="5"/>
      <c r="E82" s="5"/>
    </row>
    <row r="83" ht="15.75" customHeight="1">
      <c r="B83" s="5"/>
      <c r="E83" s="5"/>
    </row>
    <row r="84" ht="15.75" customHeight="1">
      <c r="B84" s="5"/>
      <c r="E84" s="5"/>
    </row>
    <row r="85" ht="15.75" customHeight="1">
      <c r="B85" s="5"/>
      <c r="E85" s="5"/>
    </row>
    <row r="86" ht="15.75" customHeight="1">
      <c r="B86" s="5"/>
      <c r="E86" s="5"/>
    </row>
    <row r="87" ht="15.75" customHeight="1">
      <c r="B87" s="5"/>
      <c r="E87" s="5"/>
    </row>
    <row r="88" ht="15.75" customHeight="1">
      <c r="B88" s="5"/>
      <c r="E88" s="5"/>
    </row>
    <row r="89" ht="15.75" customHeight="1">
      <c r="B89" s="5"/>
      <c r="E89" s="5"/>
    </row>
    <row r="90" ht="15.75" customHeight="1">
      <c r="B90" s="5"/>
      <c r="E90" s="5"/>
    </row>
    <row r="91" ht="15.75" customHeight="1">
      <c r="B91" s="5"/>
      <c r="E91" s="5"/>
    </row>
    <row r="92" ht="15.75" customHeight="1">
      <c r="B92" s="5"/>
      <c r="E92" s="5"/>
    </row>
    <row r="93" ht="15.75" customHeight="1">
      <c r="B93" s="5"/>
      <c r="E93" s="5"/>
    </row>
    <row r="94" ht="15.75" customHeight="1">
      <c r="B94" s="5"/>
      <c r="E94" s="5"/>
    </row>
    <row r="95" ht="15.75" customHeight="1">
      <c r="B95" s="5"/>
      <c r="E95" s="5"/>
    </row>
    <row r="96" ht="15.75" customHeight="1">
      <c r="B96" s="5"/>
      <c r="E96" s="5"/>
    </row>
    <row r="97" ht="15.75" customHeight="1">
      <c r="B97" s="5"/>
      <c r="E97" s="5"/>
    </row>
    <row r="98" ht="15.75" customHeight="1">
      <c r="B98" s="5"/>
      <c r="E98" s="5"/>
    </row>
    <row r="99" ht="15.75" customHeight="1">
      <c r="B99" s="5"/>
      <c r="E99" s="5"/>
    </row>
    <row r="100" ht="15.75" customHeight="1">
      <c r="B100" s="5"/>
      <c r="E100" s="5"/>
    </row>
    <row r="101" ht="15.75" customHeight="1">
      <c r="B101" s="5"/>
      <c r="E101" s="5"/>
    </row>
    <row r="102" ht="15.75" customHeight="1">
      <c r="B102" s="5"/>
      <c r="E102" s="5"/>
    </row>
    <row r="103" ht="15.75" customHeight="1">
      <c r="B103" s="5"/>
      <c r="E103" s="5"/>
    </row>
    <row r="104" ht="15.75" customHeight="1">
      <c r="B104" s="5"/>
      <c r="E104" s="5"/>
    </row>
    <row r="105" ht="15.75" customHeight="1">
      <c r="B105" s="5"/>
      <c r="E105" s="5"/>
    </row>
    <row r="106" ht="15.75" customHeight="1">
      <c r="B106" s="5"/>
      <c r="E106" s="5"/>
    </row>
    <row r="107" ht="15.75" customHeight="1">
      <c r="B107" s="5"/>
      <c r="E107" s="5"/>
    </row>
    <row r="108" ht="15.75" customHeight="1">
      <c r="B108" s="5"/>
      <c r="E108" s="5"/>
    </row>
    <row r="109" ht="15.75" customHeight="1">
      <c r="B109" s="5"/>
      <c r="E109" s="5"/>
    </row>
    <row r="110" ht="15.75" customHeight="1">
      <c r="B110" s="5"/>
      <c r="E110" s="5"/>
    </row>
    <row r="111" ht="15.75" customHeight="1">
      <c r="B111" s="5"/>
      <c r="E111" s="5"/>
    </row>
    <row r="112" ht="15.75" customHeight="1">
      <c r="B112" s="5"/>
      <c r="E112" s="5"/>
    </row>
    <row r="113" ht="15.75" customHeight="1">
      <c r="B113" s="5"/>
      <c r="E113" s="5"/>
    </row>
    <row r="114" ht="15.75" customHeight="1">
      <c r="B114" s="5"/>
      <c r="E114" s="5"/>
    </row>
    <row r="115" ht="15.75" customHeight="1">
      <c r="B115" s="5"/>
      <c r="E115" s="5"/>
    </row>
    <row r="116" ht="15.75" customHeight="1">
      <c r="B116" s="5"/>
      <c r="E116" s="5"/>
    </row>
    <row r="117" ht="15.75" customHeight="1">
      <c r="B117" s="5"/>
      <c r="E117" s="5"/>
    </row>
    <row r="118" ht="15.75" customHeight="1">
      <c r="B118" s="5"/>
      <c r="E118" s="5"/>
    </row>
    <row r="119" ht="15.75" customHeight="1">
      <c r="B119" s="5"/>
      <c r="E119" s="5"/>
    </row>
    <row r="120" ht="15.75" customHeight="1">
      <c r="B120" s="5"/>
      <c r="E120" s="5"/>
    </row>
    <row r="121" ht="15.75" customHeight="1">
      <c r="B121" s="5"/>
      <c r="E121" s="5"/>
    </row>
    <row r="122" ht="15.75" customHeight="1">
      <c r="B122" s="5"/>
      <c r="E122" s="5"/>
    </row>
    <row r="123" ht="15.75" customHeight="1">
      <c r="B123" s="5"/>
      <c r="E123" s="5"/>
    </row>
    <row r="124" ht="15.75" customHeight="1">
      <c r="B124" s="5"/>
      <c r="E124" s="5"/>
    </row>
    <row r="125" ht="15.75" customHeight="1">
      <c r="B125" s="5"/>
      <c r="E125" s="5"/>
    </row>
    <row r="126" ht="15.75" customHeight="1">
      <c r="B126" s="5"/>
      <c r="E126" s="5"/>
    </row>
    <row r="127" ht="15.75" customHeight="1">
      <c r="B127" s="5"/>
      <c r="E127" s="5"/>
    </row>
    <row r="128" ht="15.75" customHeight="1">
      <c r="B128" s="5"/>
      <c r="E128" s="5"/>
    </row>
    <row r="129" ht="15.75" customHeight="1">
      <c r="B129" s="5"/>
      <c r="E129" s="5"/>
    </row>
    <row r="130" ht="15.75" customHeight="1">
      <c r="B130" s="5"/>
      <c r="E130" s="5"/>
    </row>
    <row r="131" ht="15.75" customHeight="1">
      <c r="B131" s="5"/>
      <c r="E131" s="5"/>
    </row>
    <row r="132" ht="15.75" customHeight="1">
      <c r="B132" s="5"/>
      <c r="E132" s="5"/>
    </row>
    <row r="133" ht="15.75" customHeight="1">
      <c r="B133" s="5"/>
      <c r="E133" s="5"/>
    </row>
    <row r="134" ht="15.75" customHeight="1">
      <c r="B134" s="5"/>
      <c r="E134" s="5"/>
    </row>
    <row r="135" ht="15.75" customHeight="1">
      <c r="B135" s="5"/>
      <c r="E135" s="5"/>
    </row>
    <row r="136" ht="15.75" customHeight="1">
      <c r="B136" s="5"/>
      <c r="E136" s="5"/>
    </row>
    <row r="137" ht="15.75" customHeight="1">
      <c r="B137" s="5"/>
      <c r="E137" s="5"/>
    </row>
    <row r="138" ht="15.75" customHeight="1">
      <c r="B138" s="5"/>
      <c r="E138" s="5"/>
    </row>
    <row r="139" ht="15.75" customHeight="1">
      <c r="B139" s="5"/>
      <c r="E139" s="5"/>
    </row>
    <row r="140" ht="15.75" customHeight="1">
      <c r="B140" s="5"/>
      <c r="E140" s="5"/>
    </row>
    <row r="141" ht="15.75" customHeight="1">
      <c r="B141" s="5"/>
      <c r="E141" s="5"/>
    </row>
    <row r="142" ht="15.75" customHeight="1">
      <c r="B142" s="5"/>
      <c r="E142" s="5"/>
    </row>
    <row r="143" ht="15.75" customHeight="1">
      <c r="B143" s="5"/>
      <c r="E143" s="5"/>
    </row>
    <row r="144" ht="15.75" customHeight="1">
      <c r="B144" s="5"/>
      <c r="E144" s="5"/>
    </row>
    <row r="145" ht="15.75" customHeight="1">
      <c r="B145" s="5"/>
      <c r="E145" s="5"/>
    </row>
    <row r="146" ht="15.75" customHeight="1">
      <c r="B146" s="5"/>
      <c r="E146" s="5"/>
    </row>
    <row r="147" ht="15.75" customHeight="1">
      <c r="B147" s="5"/>
      <c r="E147" s="5"/>
    </row>
    <row r="148" ht="15.75" customHeight="1">
      <c r="B148" s="5"/>
      <c r="E148" s="5"/>
    </row>
    <row r="149" ht="15.75" customHeight="1">
      <c r="B149" s="5"/>
      <c r="E149" s="5"/>
    </row>
    <row r="150" ht="15.75" customHeight="1">
      <c r="B150" s="5"/>
      <c r="E150" s="5"/>
    </row>
    <row r="151" ht="15.75" customHeight="1">
      <c r="B151" s="5"/>
      <c r="E151" s="5"/>
    </row>
    <row r="152" ht="15.75" customHeight="1">
      <c r="B152" s="5"/>
      <c r="E152" s="5"/>
    </row>
    <row r="153" ht="15.75" customHeight="1">
      <c r="B153" s="5"/>
      <c r="E153" s="5"/>
    </row>
    <row r="154" ht="15.75" customHeight="1">
      <c r="B154" s="5"/>
      <c r="E154" s="5"/>
    </row>
    <row r="155" ht="15.75" customHeight="1">
      <c r="B155" s="5"/>
      <c r="E155" s="5"/>
    </row>
    <row r="156" ht="15.75" customHeight="1">
      <c r="B156" s="5"/>
      <c r="E156" s="5"/>
    </row>
    <row r="157" ht="15.75" customHeight="1">
      <c r="B157" s="5"/>
      <c r="E157" s="5"/>
    </row>
    <row r="158" ht="15.75" customHeight="1">
      <c r="B158" s="5"/>
      <c r="E158" s="5"/>
    </row>
    <row r="159" ht="15.75" customHeight="1">
      <c r="B159" s="5"/>
      <c r="E159" s="5"/>
    </row>
    <row r="160" ht="15.75" customHeight="1">
      <c r="B160" s="5"/>
      <c r="E160" s="5"/>
    </row>
    <row r="161" ht="15.75" customHeight="1">
      <c r="B161" s="5"/>
      <c r="E161" s="5"/>
    </row>
    <row r="162" ht="15.75" customHeight="1">
      <c r="B162" s="5"/>
      <c r="E162" s="5"/>
    </row>
    <row r="163" ht="15.75" customHeight="1">
      <c r="B163" s="5"/>
      <c r="E163" s="5"/>
    </row>
    <row r="164" ht="15.75" customHeight="1">
      <c r="B164" s="5"/>
      <c r="E164" s="5"/>
    </row>
    <row r="165" ht="15.75" customHeight="1">
      <c r="B165" s="5"/>
      <c r="E165" s="5"/>
    </row>
    <row r="166" ht="15.75" customHeight="1">
      <c r="B166" s="5"/>
      <c r="E166" s="5"/>
    </row>
    <row r="167" ht="15.75" customHeight="1">
      <c r="B167" s="5"/>
      <c r="E167" s="5"/>
    </row>
    <row r="168" ht="15.75" customHeight="1">
      <c r="B168" s="5"/>
      <c r="E168" s="5"/>
    </row>
    <row r="169" ht="15.75" customHeight="1">
      <c r="B169" s="5"/>
      <c r="E169" s="5"/>
    </row>
    <row r="170" ht="15.75" customHeight="1">
      <c r="B170" s="5"/>
      <c r="E170" s="5"/>
    </row>
    <row r="171" ht="15.75" customHeight="1">
      <c r="B171" s="5"/>
      <c r="E171" s="5"/>
    </row>
    <row r="172" ht="15.75" customHeight="1">
      <c r="B172" s="5"/>
      <c r="E172" s="5"/>
    </row>
    <row r="173" ht="15.75" customHeight="1">
      <c r="B173" s="5"/>
      <c r="E173" s="5"/>
    </row>
    <row r="174" ht="15.75" customHeight="1">
      <c r="B174" s="5"/>
      <c r="E174" s="5"/>
    </row>
    <row r="175" ht="15.75" customHeight="1">
      <c r="B175" s="5"/>
      <c r="E175" s="5"/>
    </row>
    <row r="176" ht="15.75" customHeight="1">
      <c r="B176" s="5"/>
      <c r="E176" s="5"/>
    </row>
    <row r="177" ht="15.75" customHeight="1">
      <c r="B177" s="5"/>
      <c r="E177" s="5"/>
    </row>
    <row r="178" ht="15.75" customHeight="1">
      <c r="B178" s="5"/>
      <c r="E178" s="5"/>
    </row>
    <row r="179" ht="15.75" customHeight="1">
      <c r="B179" s="5"/>
      <c r="E179" s="5"/>
    </row>
    <row r="180" ht="15.75" customHeight="1">
      <c r="B180" s="5"/>
      <c r="E180" s="5"/>
    </row>
    <row r="181" ht="15.75" customHeight="1">
      <c r="B181" s="5"/>
      <c r="E181" s="5"/>
    </row>
    <row r="182" ht="15.75" customHeight="1">
      <c r="B182" s="5"/>
      <c r="E182" s="5"/>
    </row>
    <row r="183" ht="15.75" customHeight="1">
      <c r="B183" s="5"/>
      <c r="E183" s="5"/>
    </row>
    <row r="184" ht="15.75" customHeight="1">
      <c r="B184" s="5"/>
      <c r="E184" s="5"/>
    </row>
    <row r="185" ht="15.75" customHeight="1">
      <c r="B185" s="5"/>
      <c r="E185" s="5"/>
    </row>
    <row r="186" ht="15.75" customHeight="1">
      <c r="B186" s="5"/>
      <c r="E186" s="5"/>
    </row>
    <row r="187" ht="15.75" customHeight="1">
      <c r="B187" s="5"/>
      <c r="E187" s="5"/>
    </row>
    <row r="188" ht="15.75" customHeight="1">
      <c r="B188" s="5"/>
      <c r="E188" s="5"/>
    </row>
    <row r="189" ht="15.75" customHeight="1">
      <c r="B189" s="5"/>
      <c r="E189" s="5"/>
    </row>
    <row r="190" ht="15.75" customHeight="1">
      <c r="B190" s="5"/>
      <c r="E190" s="5"/>
    </row>
    <row r="191" ht="15.75" customHeight="1">
      <c r="B191" s="5"/>
      <c r="E191" s="5"/>
    </row>
    <row r="192" ht="15.75" customHeight="1">
      <c r="B192" s="5"/>
      <c r="E192" s="5"/>
    </row>
    <row r="193" ht="15.75" customHeight="1">
      <c r="B193" s="5"/>
      <c r="E193" s="5"/>
    </row>
    <row r="194" ht="15.75" customHeight="1">
      <c r="B194" s="5"/>
      <c r="E194" s="5"/>
    </row>
    <row r="195" ht="15.75" customHeight="1">
      <c r="B195" s="5"/>
      <c r="E195" s="5"/>
    </row>
    <row r="196" ht="15.75" customHeight="1">
      <c r="B196" s="5"/>
      <c r="E196" s="5"/>
    </row>
    <row r="197" ht="15.75" customHeight="1">
      <c r="B197" s="5"/>
      <c r="E197" s="5"/>
    </row>
    <row r="198" ht="15.75" customHeight="1">
      <c r="B198" s="5"/>
      <c r="E198" s="5"/>
    </row>
    <row r="199" ht="15.75" customHeight="1">
      <c r="B199" s="5"/>
      <c r="E199" s="5"/>
    </row>
    <row r="200" ht="15.75" customHeight="1">
      <c r="B200" s="5"/>
      <c r="E200" s="5"/>
    </row>
    <row r="201" ht="15.75" customHeight="1">
      <c r="B201" s="5"/>
      <c r="E201" s="5"/>
    </row>
    <row r="202" ht="15.75" customHeight="1">
      <c r="B202" s="5"/>
      <c r="E202" s="5"/>
    </row>
    <row r="203" ht="15.75" customHeight="1">
      <c r="B203" s="5"/>
      <c r="E203" s="5"/>
    </row>
    <row r="204" ht="15.75" customHeight="1">
      <c r="B204" s="5"/>
      <c r="E204" s="5"/>
    </row>
    <row r="205" ht="15.75" customHeight="1">
      <c r="B205" s="5"/>
      <c r="E205" s="5"/>
    </row>
    <row r="206" ht="15.75" customHeight="1">
      <c r="B206" s="5"/>
      <c r="E206" s="5"/>
    </row>
    <row r="207" ht="15.75" customHeight="1">
      <c r="B207" s="5"/>
      <c r="E207" s="5"/>
    </row>
    <row r="208" ht="15.75" customHeight="1">
      <c r="B208" s="5"/>
      <c r="E208" s="5"/>
    </row>
    <row r="209" ht="15.75" customHeight="1">
      <c r="B209" s="5"/>
      <c r="E209" s="5"/>
    </row>
    <row r="210" ht="15.75" customHeight="1">
      <c r="B210" s="5"/>
      <c r="E210" s="5"/>
    </row>
    <row r="211" ht="15.75" customHeight="1">
      <c r="B211" s="5"/>
      <c r="E211" s="5"/>
    </row>
    <row r="212" ht="15.75" customHeight="1">
      <c r="B212" s="5"/>
      <c r="E212" s="5"/>
    </row>
    <row r="213" ht="15.75" customHeight="1">
      <c r="B213" s="5"/>
      <c r="E213" s="5"/>
    </row>
    <row r="214" ht="15.75" customHeight="1">
      <c r="B214" s="5"/>
      <c r="E214" s="5"/>
    </row>
    <row r="215" ht="15.75" customHeight="1">
      <c r="B215" s="5"/>
      <c r="E215" s="5"/>
    </row>
    <row r="216" ht="15.75" customHeight="1">
      <c r="B216" s="5"/>
      <c r="E216" s="5"/>
    </row>
    <row r="217" ht="15.75" customHeight="1">
      <c r="B217" s="5"/>
      <c r="E217" s="5"/>
    </row>
    <row r="218" ht="15.75" customHeight="1">
      <c r="B218" s="5"/>
      <c r="E218" s="5"/>
    </row>
    <row r="219" ht="15.75" customHeight="1">
      <c r="B219" s="5"/>
      <c r="E219" s="5"/>
    </row>
    <row r="220" ht="15.75" customHeight="1">
      <c r="B220" s="5"/>
      <c r="E220" s="5"/>
    </row>
    <row r="221" ht="15.75" customHeight="1">
      <c r="B221" s="5"/>
      <c r="E221" s="5"/>
    </row>
    <row r="222" ht="15.75" customHeight="1">
      <c r="B222" s="5"/>
      <c r="E222" s="5"/>
    </row>
    <row r="223" ht="15.75" customHeight="1">
      <c r="B223" s="5"/>
      <c r="E223" s="5"/>
    </row>
    <row r="224" ht="15.75" customHeight="1">
      <c r="B224" s="5"/>
      <c r="E224" s="5"/>
    </row>
    <row r="225" ht="15.75" customHeight="1">
      <c r="B225" s="5"/>
      <c r="E225" s="5"/>
    </row>
    <row r="226" ht="15.75" customHeight="1">
      <c r="B226" s="5"/>
      <c r="E226" s="5"/>
    </row>
    <row r="227" ht="15.75" customHeight="1">
      <c r="B227" s="5"/>
      <c r="E227" s="5"/>
    </row>
    <row r="228" ht="15.75" customHeight="1">
      <c r="B228" s="5"/>
      <c r="E228" s="5"/>
    </row>
    <row r="229" ht="15.75" customHeight="1">
      <c r="B229" s="5"/>
      <c r="E229" s="5"/>
    </row>
    <row r="230" ht="15.75" customHeight="1">
      <c r="B230" s="5"/>
      <c r="E230" s="5"/>
    </row>
    <row r="231" ht="15.75" customHeight="1">
      <c r="B231" s="5"/>
      <c r="E231" s="5"/>
    </row>
    <row r="232" ht="15.75" customHeight="1">
      <c r="B232" s="5"/>
      <c r="E232" s="5"/>
    </row>
    <row r="233" ht="15.75" customHeight="1">
      <c r="B233" s="5"/>
      <c r="E233" s="5"/>
    </row>
    <row r="234" ht="15.75" customHeight="1">
      <c r="B234" s="5"/>
      <c r="E234" s="5"/>
    </row>
    <row r="235" ht="15.75" customHeight="1">
      <c r="B235" s="5"/>
      <c r="E235" s="5"/>
    </row>
    <row r="236" ht="15.75" customHeight="1">
      <c r="B236" s="5"/>
      <c r="E236" s="5"/>
    </row>
    <row r="237" ht="15.75" customHeight="1">
      <c r="B237" s="5"/>
      <c r="E237" s="5"/>
    </row>
    <row r="238" ht="15.75" customHeight="1">
      <c r="B238" s="5"/>
      <c r="E238" s="5"/>
    </row>
    <row r="239" ht="15.75" customHeight="1">
      <c r="B239" s="5"/>
      <c r="E239" s="5"/>
    </row>
    <row r="240" ht="15.75" customHeight="1">
      <c r="B240" s="5"/>
      <c r="E240" s="5"/>
    </row>
    <row r="241" ht="15.75" customHeight="1">
      <c r="B241" s="5"/>
      <c r="E241" s="5"/>
    </row>
    <row r="242" ht="15.75" customHeight="1">
      <c r="B242" s="5"/>
      <c r="E242" s="5"/>
    </row>
    <row r="243" ht="15.75" customHeight="1">
      <c r="B243" s="5"/>
      <c r="E243" s="5"/>
    </row>
    <row r="244" ht="15.75" customHeight="1">
      <c r="B244" s="5"/>
      <c r="E244" s="5"/>
    </row>
    <row r="245" ht="15.75" customHeight="1">
      <c r="B245" s="5"/>
      <c r="E245" s="5"/>
    </row>
    <row r="246" ht="15.75" customHeight="1">
      <c r="B246" s="5"/>
      <c r="E246" s="5"/>
    </row>
    <row r="247" ht="15.75" customHeight="1">
      <c r="B247" s="5"/>
      <c r="E247" s="5"/>
    </row>
    <row r="248" ht="15.75" customHeight="1">
      <c r="B248" s="5"/>
      <c r="E248" s="5"/>
    </row>
    <row r="249" ht="15.75" customHeight="1">
      <c r="B249" s="5"/>
      <c r="E249" s="5"/>
    </row>
    <row r="250" ht="15.75" customHeight="1">
      <c r="B250" s="5"/>
      <c r="E250" s="5"/>
    </row>
    <row r="251" ht="15.75" customHeight="1">
      <c r="B251" s="5"/>
      <c r="E251" s="5"/>
    </row>
    <row r="252" ht="15.75" customHeight="1">
      <c r="B252" s="5"/>
      <c r="E252" s="5"/>
    </row>
    <row r="253" ht="15.75" customHeight="1">
      <c r="B253" s="5"/>
      <c r="E253" s="5"/>
    </row>
    <row r="254" ht="15.75" customHeight="1">
      <c r="B254" s="5"/>
      <c r="E254" s="5"/>
    </row>
    <row r="255" ht="15.75" customHeight="1">
      <c r="B255" s="5"/>
      <c r="E255" s="5"/>
    </row>
    <row r="256" ht="15.75" customHeight="1">
      <c r="B256" s="5"/>
      <c r="E256" s="5"/>
    </row>
    <row r="257" ht="15.75" customHeight="1">
      <c r="B257" s="5"/>
      <c r="E257" s="5"/>
    </row>
    <row r="258" ht="15.75" customHeight="1">
      <c r="B258" s="5"/>
      <c r="E258" s="5"/>
    </row>
    <row r="259" ht="15.75" customHeight="1">
      <c r="B259" s="5"/>
      <c r="E259" s="5"/>
    </row>
    <row r="260" ht="15.75" customHeight="1">
      <c r="B260" s="5"/>
      <c r="E260" s="5"/>
    </row>
    <row r="261" ht="15.75" customHeight="1">
      <c r="B261" s="5"/>
      <c r="E261" s="5"/>
    </row>
    <row r="262" ht="15.75" customHeight="1">
      <c r="B262" s="5"/>
      <c r="E262" s="5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G8:G24">
    <cfRule type="cellIs" dxfId="0" priority="1" operator="greaterThanOrEqual">
      <formula>$G$4</formula>
    </cfRule>
  </conditionalFormatting>
  <conditionalFormatting sqref="H8:H24">
    <cfRule type="cellIs" dxfId="0" priority="2" operator="greaterThanOrEqual">
      <formula>$H$4</formula>
    </cfRule>
  </conditionalFormatting>
  <conditionalFormatting sqref="I8:I24">
    <cfRule type="cellIs" dxfId="0" priority="3" operator="greaterThanOrEqual">
      <formula>$I$4</formula>
    </cfRule>
  </conditionalFormatting>
  <conditionalFormatting sqref="J8:J24">
    <cfRule type="cellIs" dxfId="0" priority="4" operator="greaterThanOrEqual">
      <formula>$J$4</formula>
    </cfRule>
  </conditionalFormatting>
  <conditionalFormatting sqref="K8:K24">
    <cfRule type="cellIs" dxfId="0" priority="5" operator="greaterThanOrEqual">
      <formula>$K$4</formula>
    </cfRule>
  </conditionalFormatting>
  <conditionalFormatting sqref="L8:L24">
    <cfRule type="cellIs" dxfId="0" priority="6" operator="greaterThanOrEqual">
      <formula>$L$4</formula>
    </cfRule>
  </conditionalFormatting>
  <conditionalFormatting sqref="M8:M24">
    <cfRule type="cellIs" dxfId="0" priority="7" operator="greaterThanOrEqual">
      <formula>$M$4</formula>
    </cfRule>
  </conditionalFormatting>
  <conditionalFormatting sqref="N8:N24">
    <cfRule type="cellIs" dxfId="0" priority="8" operator="greaterThanOrEqual">
      <formula>$N$4</formula>
    </cfRule>
  </conditionalFormatting>
  <conditionalFormatting sqref="O8:O24">
    <cfRule type="cellIs" dxfId="0" priority="9" operator="greaterThanOrEqual">
      <formula>$O$4</formula>
    </cfRule>
  </conditionalFormatting>
  <conditionalFormatting sqref="G8:G24">
    <cfRule type="cellIs" dxfId="1" priority="10" operator="between">
      <formula>$G$3</formula>
      <formula>$G$4</formula>
    </cfRule>
  </conditionalFormatting>
  <conditionalFormatting sqref="H8:H24">
    <cfRule type="cellIs" dxfId="1" priority="11" operator="between">
      <formula>$H$3</formula>
      <formula>$H$4</formula>
    </cfRule>
  </conditionalFormatting>
  <conditionalFormatting sqref="I8:I24">
    <cfRule type="cellIs" dxfId="1" priority="12" operator="between">
      <formula>I$3</formula>
      <formula>I$4</formula>
    </cfRule>
  </conditionalFormatting>
  <conditionalFormatting sqref="J8:J24">
    <cfRule type="cellIs" dxfId="1" priority="13" operator="between">
      <formula>$J$3</formula>
      <formula>$J$4</formula>
    </cfRule>
  </conditionalFormatting>
  <conditionalFormatting sqref="K8:K24">
    <cfRule type="cellIs" dxfId="1" priority="14" operator="between">
      <formula>$K$3</formula>
      <formula>$K$4</formula>
    </cfRule>
  </conditionalFormatting>
  <conditionalFormatting sqref="L8:L24">
    <cfRule type="cellIs" dxfId="1" priority="15" operator="between">
      <formula>$L$3</formula>
      <formula>$L$4</formula>
    </cfRule>
  </conditionalFormatting>
  <conditionalFormatting sqref="M8:M24">
    <cfRule type="cellIs" dxfId="1" priority="16" operator="between">
      <formula>$M$3</formula>
      <formula>$M$4</formula>
    </cfRule>
  </conditionalFormatting>
  <conditionalFormatting sqref="N8:N24">
    <cfRule type="cellIs" dxfId="1" priority="17" operator="between">
      <formula>$N$3</formula>
      <formula>$N$4</formula>
    </cfRule>
  </conditionalFormatting>
  <conditionalFormatting sqref="O8:O24">
    <cfRule type="cellIs" dxfId="1" priority="18" operator="between">
      <formula>$O$3</formula>
      <formula>$O$4</formula>
    </cfRule>
  </conditionalFormatting>
  <conditionalFormatting sqref="G8:G24">
    <cfRule type="cellIs" dxfId="2" priority="19" operator="lessThanOrEqual">
      <formula>$G$2</formula>
    </cfRule>
  </conditionalFormatting>
  <conditionalFormatting sqref="D46:D62 G46:AB62">
    <cfRule type="cellIs" dxfId="3" priority="20" operator="lessThanOrEqual">
      <formula>1</formula>
    </cfRule>
  </conditionalFormatting>
  <conditionalFormatting sqref="D27:D43 G27:AB43">
    <cfRule type="cellIs" dxfId="3" priority="21" operator="greaterThanOrEqual">
      <formula>365</formula>
    </cfRule>
  </conditionalFormatting>
  <conditionalFormatting sqref="D8:D24">
    <cfRule type="cellIs" dxfId="4" priority="22" operator="greaterThanOrEqual">
      <formula>$D$4</formula>
    </cfRule>
  </conditionalFormatting>
  <conditionalFormatting sqref="D8:D24">
    <cfRule type="cellIs" dxfId="2" priority="23" operator="lessThanOrEqual">
      <formula>$D$2</formula>
    </cfRule>
  </conditionalFormatting>
  <conditionalFormatting sqref="D8:D24">
    <cfRule type="cellIs" dxfId="1" priority="24" operator="between">
      <formula>$D$3</formula>
      <formula>$D$4</formula>
    </cfRule>
  </conditionalFormatting>
  <conditionalFormatting sqref="P8:P24">
    <cfRule type="cellIs" dxfId="2" priority="25" operator="lessThanOrEqual">
      <formula>$P$2</formula>
    </cfRule>
  </conditionalFormatting>
  <conditionalFormatting sqref="H8:H24">
    <cfRule type="cellIs" dxfId="2" priority="26" operator="lessThanOrEqual">
      <formula>$H$2</formula>
    </cfRule>
  </conditionalFormatting>
  <conditionalFormatting sqref="I8:I24">
    <cfRule type="cellIs" dxfId="2" priority="27" operator="lessThanOrEqual">
      <formula>$I$2</formula>
    </cfRule>
  </conditionalFormatting>
  <conditionalFormatting sqref="J8:J24">
    <cfRule type="cellIs" dxfId="2" priority="28" operator="lessThanOrEqual">
      <formula>$J$2</formula>
    </cfRule>
  </conditionalFormatting>
  <conditionalFormatting sqref="K8:K24">
    <cfRule type="cellIs" dxfId="2" priority="29" operator="lessThanOrEqual">
      <formula>$K$2</formula>
    </cfRule>
  </conditionalFormatting>
  <conditionalFormatting sqref="L8:L24">
    <cfRule type="cellIs" dxfId="2" priority="30" operator="lessThanOrEqual">
      <formula>$L$2</formula>
    </cfRule>
  </conditionalFormatting>
  <conditionalFormatting sqref="M8:M24">
    <cfRule type="cellIs" dxfId="2" priority="31" operator="lessThanOrEqual">
      <formula>$M$2</formula>
    </cfRule>
  </conditionalFormatting>
  <conditionalFormatting sqref="N8:N24">
    <cfRule type="cellIs" dxfId="2" priority="32" operator="lessThanOrEqual">
      <formula>$N$2</formula>
    </cfRule>
  </conditionalFormatting>
  <conditionalFormatting sqref="O8:O24">
    <cfRule type="cellIs" dxfId="2" priority="33" operator="lessThanOrEqual">
      <formula>$O$2</formula>
    </cfRule>
  </conditionalFormatting>
  <conditionalFormatting sqref="Q8:Q24">
    <cfRule type="cellIs" dxfId="2" priority="34" operator="lessThanOrEqual">
      <formula>$Q$2</formula>
    </cfRule>
  </conditionalFormatting>
  <conditionalFormatting sqref="R8:R24">
    <cfRule type="cellIs" dxfId="2" priority="35" operator="lessThanOrEqual">
      <formula>$R$2</formula>
    </cfRule>
  </conditionalFormatting>
  <conditionalFormatting sqref="S8:S24">
    <cfRule type="cellIs" dxfId="2" priority="36" operator="lessThanOrEqual">
      <formula>$S$2</formula>
    </cfRule>
  </conditionalFormatting>
  <conditionalFormatting sqref="T8:T24">
    <cfRule type="cellIs" dxfId="2" priority="37" operator="lessThanOrEqual">
      <formula>$T$2</formula>
    </cfRule>
  </conditionalFormatting>
  <conditionalFormatting sqref="U8:U24">
    <cfRule type="cellIs" dxfId="2" priority="38" operator="lessThanOrEqual">
      <formula>$U$2</formula>
    </cfRule>
  </conditionalFormatting>
  <conditionalFormatting sqref="V8:V24">
    <cfRule type="cellIs" dxfId="2" priority="39" operator="lessThanOrEqual">
      <formula>$V$2</formula>
    </cfRule>
  </conditionalFormatting>
  <conditionalFormatting sqref="W8:W24">
    <cfRule type="cellIs" dxfId="2" priority="40" operator="lessThanOrEqual">
      <formula>$W$2</formula>
    </cfRule>
  </conditionalFormatting>
  <conditionalFormatting sqref="X8:X24">
    <cfRule type="cellIs" dxfId="2" priority="41" operator="lessThanOrEqual">
      <formula>$X$2</formula>
    </cfRule>
  </conditionalFormatting>
  <conditionalFormatting sqref="Y8:Y24">
    <cfRule type="cellIs" dxfId="2" priority="42" operator="lessThanOrEqual">
      <formula>$Y$2</formula>
    </cfRule>
  </conditionalFormatting>
  <conditionalFormatting sqref="Z8:Z24">
    <cfRule type="cellIs" dxfId="2" priority="43" operator="lessThanOrEqual">
      <formula>$Z$2</formula>
    </cfRule>
  </conditionalFormatting>
  <conditionalFormatting sqref="AA8:AA24">
    <cfRule type="cellIs" dxfId="2" priority="44" operator="lessThanOrEqual">
      <formula>$AA$2</formula>
    </cfRule>
  </conditionalFormatting>
  <conditionalFormatting sqref="AB8:AB24">
    <cfRule type="cellIs" dxfId="2" priority="45" operator="lessThanOrEqual">
      <formula>$AB$2</formula>
    </cfRule>
  </conditionalFormatting>
  <conditionalFormatting sqref="P7:P24">
    <cfRule type="cellIs" dxfId="1" priority="46" operator="between">
      <formula>$P$3</formula>
      <formula>$P$4</formula>
    </cfRule>
  </conditionalFormatting>
  <conditionalFormatting sqref="Q8:Q24">
    <cfRule type="cellIs" dxfId="1" priority="47" operator="between">
      <formula>$Q$3</formula>
      <formula>$Q$4</formula>
    </cfRule>
  </conditionalFormatting>
  <conditionalFormatting sqref="R8:R24">
    <cfRule type="cellIs" dxfId="1" priority="48" operator="between">
      <formula>$R$3</formula>
      <formula>$R$4</formula>
    </cfRule>
  </conditionalFormatting>
  <conditionalFormatting sqref="S8:S24">
    <cfRule type="cellIs" dxfId="1" priority="49" operator="between">
      <formula>$S$3</formula>
      <formula>$S$4</formula>
    </cfRule>
  </conditionalFormatting>
  <conditionalFormatting sqref="T8:T24">
    <cfRule type="cellIs" dxfId="1" priority="50" operator="between">
      <formula>$T$3</formula>
      <formula>$T$4</formula>
    </cfRule>
  </conditionalFormatting>
  <conditionalFormatting sqref="U8:U24">
    <cfRule type="cellIs" dxfId="1" priority="51" operator="between">
      <formula>$U$3</formula>
      <formula>$U$4</formula>
    </cfRule>
  </conditionalFormatting>
  <conditionalFormatting sqref="V8:V24">
    <cfRule type="cellIs" dxfId="1" priority="52" operator="between">
      <formula>$V$3</formula>
      <formula>$V$4</formula>
    </cfRule>
  </conditionalFormatting>
  <conditionalFormatting sqref="W8:W24">
    <cfRule type="cellIs" dxfId="1" priority="53" operator="between">
      <formula>$W$3</formula>
      <formula>$W$4</formula>
    </cfRule>
  </conditionalFormatting>
  <conditionalFormatting sqref="X8:X24">
    <cfRule type="cellIs" dxfId="1" priority="54" operator="between">
      <formula>$X$3</formula>
      <formula>$X$4</formula>
    </cfRule>
  </conditionalFormatting>
  <conditionalFormatting sqref="Y8:Y24">
    <cfRule type="cellIs" dxfId="1" priority="55" operator="between">
      <formula>$Y$3</formula>
      <formula>$Y$4</formula>
    </cfRule>
  </conditionalFormatting>
  <conditionalFormatting sqref="Z8:Z24">
    <cfRule type="cellIs" dxfId="1" priority="56" operator="between">
      <formula>$Z$3</formula>
      <formula>$Z$4</formula>
    </cfRule>
  </conditionalFormatting>
  <conditionalFormatting sqref="AA8:AA24">
    <cfRule type="cellIs" dxfId="1" priority="57" operator="between">
      <formula>$AA$3</formula>
      <formula>$AA$4</formula>
    </cfRule>
  </conditionalFormatting>
  <conditionalFormatting sqref="AB8:AB24">
    <cfRule type="cellIs" dxfId="1" priority="58" operator="between">
      <formula>$AB$3</formula>
      <formula>$AB$4</formula>
    </cfRule>
  </conditionalFormatting>
  <conditionalFormatting sqref="P8:P24">
    <cfRule type="cellIs" dxfId="0" priority="59" operator="greaterThanOrEqual">
      <formula>$P$4</formula>
    </cfRule>
  </conditionalFormatting>
  <conditionalFormatting sqref="Q8:Q24">
    <cfRule type="cellIs" dxfId="0" priority="60" operator="greaterThanOrEqual">
      <formula>$O$4</formula>
    </cfRule>
  </conditionalFormatting>
  <conditionalFormatting sqref="R8:R24">
    <cfRule type="cellIs" dxfId="0" priority="61" operator="greaterThanOrEqual">
      <formula>$R$4</formula>
    </cfRule>
  </conditionalFormatting>
  <conditionalFormatting sqref="S8:S24">
    <cfRule type="cellIs" dxfId="0" priority="62" operator="greaterThanOrEqual">
      <formula>$S$4</formula>
    </cfRule>
  </conditionalFormatting>
  <conditionalFormatting sqref="T8:T24">
    <cfRule type="cellIs" dxfId="0" priority="63" operator="greaterThanOrEqual">
      <formula>$T$4</formula>
    </cfRule>
  </conditionalFormatting>
  <conditionalFormatting sqref="U8:U24">
    <cfRule type="cellIs" dxfId="0" priority="64" operator="greaterThanOrEqual">
      <formula>$U$4</formula>
    </cfRule>
  </conditionalFormatting>
  <conditionalFormatting sqref="V8:V24">
    <cfRule type="cellIs" dxfId="0" priority="65" operator="greaterThanOrEqual">
      <formula>$V$4</formula>
    </cfRule>
  </conditionalFormatting>
  <conditionalFormatting sqref="W8:W24">
    <cfRule type="cellIs" dxfId="0" priority="66" operator="greaterThanOrEqual">
      <formula>$W$4</formula>
    </cfRule>
  </conditionalFormatting>
  <conditionalFormatting sqref="X8:X24">
    <cfRule type="cellIs" dxfId="0" priority="67" operator="greaterThanOrEqual">
      <formula>$X$4</formula>
    </cfRule>
  </conditionalFormatting>
  <conditionalFormatting sqref="Y8:Y24">
    <cfRule type="cellIs" dxfId="0" priority="68" operator="greaterThanOrEqual">
      <formula>$Y$4</formula>
    </cfRule>
  </conditionalFormatting>
  <conditionalFormatting sqref="Z8:Z24">
    <cfRule type="cellIs" dxfId="0" priority="69" operator="greaterThanOrEqual">
      <formula>$Z$4</formula>
    </cfRule>
  </conditionalFormatting>
  <conditionalFormatting sqref="AA8:AA24">
    <cfRule type="cellIs" dxfId="0" priority="70" operator="greaterThanOrEqual">
      <formula>$AA$4</formula>
    </cfRule>
  </conditionalFormatting>
  <conditionalFormatting sqref="AB8:AB24">
    <cfRule type="cellIs" dxfId="0" priority="71" operator="greaterThanOrEqual">
      <formula>$AB$4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.38"/>
    <col customWidth="1" min="3" max="3" width="10.5"/>
    <col customWidth="1" min="4" max="4" width="12.63"/>
    <col customWidth="1" min="5" max="5" width="2.38"/>
    <col customWidth="1" min="6" max="6" width="10.5"/>
    <col customWidth="1" min="9" max="10" width="14.63"/>
  </cols>
  <sheetData>
    <row r="1" ht="15.75" customHeight="1">
      <c r="A1" s="34"/>
      <c r="B1" s="5"/>
      <c r="C1" s="34" t="s">
        <v>47</v>
      </c>
      <c r="E1" s="5"/>
      <c r="F1" s="35"/>
      <c r="G1" s="34" t="s">
        <v>48</v>
      </c>
    </row>
    <row r="2" ht="15.75" customHeight="1">
      <c r="A2" s="36" t="s">
        <v>49</v>
      </c>
      <c r="B2" s="5"/>
      <c r="C2" s="37" t="s">
        <v>50</v>
      </c>
      <c r="D2" s="38">
        <f>D3/12</f>
        <v>0.01893939394</v>
      </c>
      <c r="E2" s="5"/>
      <c r="F2" s="37" t="s">
        <v>50</v>
      </c>
      <c r="G2" s="38">
        <f t="shared" ref="G2:AB2" si="1">G3/12</f>
        <v>6.628787879</v>
      </c>
      <c r="H2" s="38">
        <f t="shared" si="1"/>
        <v>8.522727273</v>
      </c>
      <c r="I2" s="38">
        <f t="shared" si="1"/>
        <v>0.8522727273</v>
      </c>
      <c r="J2" s="38">
        <f t="shared" si="1"/>
        <v>0.5681818182</v>
      </c>
      <c r="K2" s="38">
        <f t="shared" si="1"/>
        <v>0.01893939394</v>
      </c>
      <c r="L2" s="38">
        <f t="shared" si="1"/>
        <v>0.01893939394</v>
      </c>
      <c r="M2" s="38">
        <f t="shared" si="1"/>
        <v>0.01893939394</v>
      </c>
      <c r="N2" s="38">
        <f t="shared" si="1"/>
        <v>0.01893939394</v>
      </c>
      <c r="O2" s="38">
        <f t="shared" si="1"/>
        <v>0.01893939394</v>
      </c>
      <c r="P2" s="38">
        <f t="shared" si="1"/>
        <v>0.01893939394</v>
      </c>
      <c r="Q2" s="38">
        <f t="shared" si="1"/>
        <v>0.01893939394</v>
      </c>
      <c r="R2" s="38">
        <f t="shared" si="1"/>
        <v>0.01893939394</v>
      </c>
      <c r="S2" s="38">
        <f t="shared" si="1"/>
        <v>0.01893939394</v>
      </c>
      <c r="T2" s="38">
        <f t="shared" si="1"/>
        <v>0.01893939394</v>
      </c>
      <c r="U2" s="38">
        <f t="shared" si="1"/>
        <v>0.01893939394</v>
      </c>
      <c r="V2" s="38">
        <f t="shared" si="1"/>
        <v>0.01893939394</v>
      </c>
      <c r="W2" s="38">
        <f t="shared" si="1"/>
        <v>0.01893939394</v>
      </c>
      <c r="X2" s="38">
        <f t="shared" si="1"/>
        <v>0.01893939394</v>
      </c>
      <c r="Y2" s="38">
        <f t="shared" si="1"/>
        <v>0.01893939394</v>
      </c>
      <c r="Z2" s="38">
        <f t="shared" si="1"/>
        <v>0.01893939394</v>
      </c>
      <c r="AA2" s="38">
        <f t="shared" si="1"/>
        <v>0.01893939394</v>
      </c>
      <c r="AB2" s="38">
        <f t="shared" si="1"/>
        <v>0.01893939394</v>
      </c>
    </row>
    <row r="3" ht="15.75" customHeight="1">
      <c r="B3" s="5"/>
      <c r="C3" s="37" t="s">
        <v>51</v>
      </c>
      <c r="D3" s="38">
        <f>D4/4.4</f>
        <v>0.2272727273</v>
      </c>
      <c r="E3" s="5"/>
      <c r="F3" s="37" t="s">
        <v>51</v>
      </c>
      <c r="G3" s="38">
        <f t="shared" ref="G3:AB3" si="2">G4/4.4</f>
        <v>79.54545455</v>
      </c>
      <c r="H3" s="38">
        <f t="shared" si="2"/>
        <v>102.2727273</v>
      </c>
      <c r="I3" s="38">
        <f t="shared" si="2"/>
        <v>10.22727273</v>
      </c>
      <c r="J3" s="38">
        <f t="shared" si="2"/>
        <v>6.818181818</v>
      </c>
      <c r="K3" s="38">
        <f t="shared" si="2"/>
        <v>0.2272727273</v>
      </c>
      <c r="L3" s="38">
        <f t="shared" si="2"/>
        <v>0.2272727273</v>
      </c>
      <c r="M3" s="38">
        <f t="shared" si="2"/>
        <v>0.2272727273</v>
      </c>
      <c r="N3" s="38">
        <f t="shared" si="2"/>
        <v>0.2272727273</v>
      </c>
      <c r="O3" s="38">
        <f t="shared" si="2"/>
        <v>0.2272727273</v>
      </c>
      <c r="P3" s="38">
        <f t="shared" si="2"/>
        <v>0.2272727273</v>
      </c>
      <c r="Q3" s="38">
        <f t="shared" si="2"/>
        <v>0.2272727273</v>
      </c>
      <c r="R3" s="38">
        <f t="shared" si="2"/>
        <v>0.2272727273</v>
      </c>
      <c r="S3" s="38">
        <f t="shared" si="2"/>
        <v>0.2272727273</v>
      </c>
      <c r="T3" s="38">
        <f t="shared" si="2"/>
        <v>0.2272727273</v>
      </c>
      <c r="U3" s="38">
        <f t="shared" si="2"/>
        <v>0.2272727273</v>
      </c>
      <c r="V3" s="38">
        <f t="shared" si="2"/>
        <v>0.2272727273</v>
      </c>
      <c r="W3" s="38">
        <f t="shared" si="2"/>
        <v>0.2272727273</v>
      </c>
      <c r="X3" s="38">
        <f t="shared" si="2"/>
        <v>0.2272727273</v>
      </c>
      <c r="Y3" s="38">
        <f t="shared" si="2"/>
        <v>0.2272727273</v>
      </c>
      <c r="Z3" s="38">
        <f t="shared" si="2"/>
        <v>0.2272727273</v>
      </c>
      <c r="AA3" s="38">
        <f t="shared" si="2"/>
        <v>0.2272727273</v>
      </c>
      <c r="AB3" s="38">
        <f t="shared" si="2"/>
        <v>0.2272727273</v>
      </c>
    </row>
    <row r="4" ht="15.75" customHeight="1">
      <c r="B4" s="5"/>
      <c r="C4" s="37" t="s">
        <v>52</v>
      </c>
      <c r="D4" s="39">
        <v>1.0</v>
      </c>
      <c r="E4" s="5"/>
      <c r="F4" s="37" t="s">
        <v>52</v>
      </c>
      <c r="G4" s="39">
        <v>350.0</v>
      </c>
      <c r="H4" s="39">
        <v>450.0</v>
      </c>
      <c r="I4" s="39">
        <v>45.0</v>
      </c>
      <c r="J4" s="39">
        <v>30.0</v>
      </c>
      <c r="K4" s="39">
        <v>1.0</v>
      </c>
      <c r="L4" s="39">
        <v>1.0</v>
      </c>
      <c r="M4" s="39">
        <v>1.0</v>
      </c>
      <c r="N4" s="39">
        <v>1.0</v>
      </c>
      <c r="O4" s="39">
        <v>1.0</v>
      </c>
      <c r="P4" s="39">
        <v>1.0</v>
      </c>
      <c r="Q4" s="39">
        <v>1.0</v>
      </c>
      <c r="R4" s="39">
        <v>1.0</v>
      </c>
      <c r="S4" s="39">
        <v>1.0</v>
      </c>
      <c r="T4" s="39">
        <v>1.0</v>
      </c>
      <c r="U4" s="39">
        <v>1.0</v>
      </c>
      <c r="V4" s="39">
        <v>1.0</v>
      </c>
      <c r="W4" s="39">
        <v>1.0</v>
      </c>
      <c r="X4" s="39">
        <v>1.0</v>
      </c>
      <c r="Y4" s="39">
        <v>1.0</v>
      </c>
      <c r="Z4" s="39">
        <v>1.0</v>
      </c>
      <c r="AA4" s="39">
        <v>1.0</v>
      </c>
      <c r="AB4" s="39">
        <v>1.0</v>
      </c>
    </row>
    <row r="5" ht="25.5" customHeight="1">
      <c r="B5" s="56"/>
      <c r="C5" s="57" t="s">
        <v>53</v>
      </c>
      <c r="D5" s="58">
        <v>1.0</v>
      </c>
      <c r="E5" s="56"/>
      <c r="F5" s="57" t="s">
        <v>53</v>
      </c>
      <c r="G5" s="39">
        <v>45.0</v>
      </c>
      <c r="H5" s="39">
        <v>25.0</v>
      </c>
      <c r="I5" s="39">
        <v>1.0</v>
      </c>
      <c r="J5" s="39">
        <v>2.0</v>
      </c>
      <c r="K5" s="39">
        <v>1.0</v>
      </c>
      <c r="L5" s="39">
        <v>1.0</v>
      </c>
      <c r="M5" s="39">
        <v>1.0</v>
      </c>
      <c r="N5" s="39">
        <v>1.0</v>
      </c>
      <c r="O5" s="39">
        <v>1.0</v>
      </c>
      <c r="P5" s="39">
        <v>1.0</v>
      </c>
      <c r="Q5" s="39">
        <v>1.0</v>
      </c>
      <c r="R5" s="39">
        <v>1.0</v>
      </c>
      <c r="S5" s="39">
        <v>1.0</v>
      </c>
      <c r="T5" s="39">
        <v>1.0</v>
      </c>
      <c r="U5" s="39">
        <v>1.0</v>
      </c>
      <c r="V5" s="39">
        <v>1.0</v>
      </c>
      <c r="W5" s="39">
        <v>1.0</v>
      </c>
      <c r="X5" s="39">
        <v>1.0</v>
      </c>
      <c r="Y5" s="39">
        <v>1.0</v>
      </c>
      <c r="Z5" s="39">
        <v>1.0</v>
      </c>
      <c r="AA5" s="39">
        <v>1.0</v>
      </c>
      <c r="AB5" s="39">
        <v>1.0</v>
      </c>
    </row>
    <row r="6" ht="15.75" customHeight="1">
      <c r="A6" s="35"/>
      <c r="B6" s="5"/>
      <c r="C6" s="5"/>
      <c r="E6" s="5"/>
      <c r="F6" s="35"/>
      <c r="G6" s="35" t="s">
        <v>54</v>
      </c>
    </row>
    <row r="7" ht="15.75" customHeight="1">
      <c r="A7" s="42" t="s">
        <v>12</v>
      </c>
      <c r="B7" s="5"/>
      <c r="C7" s="10" t="s">
        <v>3</v>
      </c>
      <c r="D7" s="10" t="s">
        <v>55</v>
      </c>
      <c r="E7" s="5"/>
      <c r="F7" s="10" t="s">
        <v>3</v>
      </c>
      <c r="G7" s="10" t="s">
        <v>101</v>
      </c>
      <c r="H7" s="10" t="s">
        <v>102</v>
      </c>
      <c r="I7" s="10" t="s">
        <v>103</v>
      </c>
      <c r="J7" s="10" t="s">
        <v>104</v>
      </c>
      <c r="K7" s="10"/>
      <c r="L7" s="10"/>
      <c r="M7" s="10"/>
      <c r="N7" s="10"/>
      <c r="O7" s="10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ht="15.75" customHeight="1">
      <c r="A8" s="21">
        <f>'Soul Energy Tiers'!K3</f>
        <v>400</v>
      </c>
      <c r="B8" s="5"/>
      <c r="C8" s="15" t="s">
        <v>13</v>
      </c>
      <c r="D8" s="46">
        <f t="shared" ref="D8:D24" si="5">($A8/D$5)/365</f>
        <v>1.095890411</v>
      </c>
      <c r="E8" s="5"/>
      <c r="F8" s="15" t="s">
        <v>13</v>
      </c>
      <c r="G8" s="46">
        <f t="shared" ref="G8:O8" si="3">($A8/G$5)/365</f>
        <v>0.02435312024</v>
      </c>
      <c r="H8" s="46">
        <f t="shared" si="3"/>
        <v>0.04383561644</v>
      </c>
      <c r="I8" s="46">
        <f t="shared" si="3"/>
        <v>1.095890411</v>
      </c>
      <c r="J8" s="46">
        <f t="shared" si="3"/>
        <v>0.5479452055</v>
      </c>
      <c r="K8" s="46">
        <f t="shared" si="3"/>
        <v>1.095890411</v>
      </c>
      <c r="L8" s="46">
        <f t="shared" si="3"/>
        <v>1.095890411</v>
      </c>
      <c r="M8" s="46">
        <f t="shared" si="3"/>
        <v>1.095890411</v>
      </c>
      <c r="N8" s="46">
        <f t="shared" si="3"/>
        <v>1.095890411</v>
      </c>
      <c r="O8" s="49">
        <f t="shared" si="3"/>
        <v>1.095890411</v>
      </c>
      <c r="P8" s="50">
        <f t="shared" ref="P8:AB8" si="4">($A8/N$5)/365</f>
        <v>1.095890411</v>
      </c>
      <c r="Q8" s="50">
        <f t="shared" si="4"/>
        <v>1.095890411</v>
      </c>
      <c r="R8" s="50">
        <f t="shared" si="4"/>
        <v>1.095890411</v>
      </c>
      <c r="S8" s="50">
        <f t="shared" si="4"/>
        <v>1.095890411</v>
      </c>
      <c r="T8" s="50">
        <f t="shared" si="4"/>
        <v>1.095890411</v>
      </c>
      <c r="U8" s="50">
        <f t="shared" si="4"/>
        <v>1.095890411</v>
      </c>
      <c r="V8" s="50">
        <f t="shared" si="4"/>
        <v>1.095890411</v>
      </c>
      <c r="W8" s="50">
        <f t="shared" si="4"/>
        <v>1.095890411</v>
      </c>
      <c r="X8" s="50">
        <f t="shared" si="4"/>
        <v>1.095890411</v>
      </c>
      <c r="Y8" s="50">
        <f t="shared" si="4"/>
        <v>1.095890411</v>
      </c>
      <c r="Z8" s="50">
        <f t="shared" si="4"/>
        <v>1.095890411</v>
      </c>
      <c r="AA8" s="50">
        <f t="shared" si="4"/>
        <v>1.095890411</v>
      </c>
      <c r="AB8" s="50">
        <f t="shared" si="4"/>
        <v>1.095890411</v>
      </c>
    </row>
    <row r="9" ht="15.75" customHeight="1">
      <c r="A9" s="21">
        <f>'Soul Energy Tiers'!K4</f>
        <v>1200</v>
      </c>
      <c r="B9" s="5"/>
      <c r="C9" s="24" t="s">
        <v>15</v>
      </c>
      <c r="D9" s="46">
        <f t="shared" si="5"/>
        <v>3.287671233</v>
      </c>
      <c r="E9" s="5"/>
      <c r="F9" s="24" t="s">
        <v>15</v>
      </c>
      <c r="G9" s="46">
        <f t="shared" ref="G9:O9" si="6">($A9/G$5)/365</f>
        <v>0.07305936073</v>
      </c>
      <c r="H9" s="46">
        <f t="shared" si="6"/>
        <v>0.1315068493</v>
      </c>
      <c r="I9" s="46">
        <f t="shared" si="6"/>
        <v>3.287671233</v>
      </c>
      <c r="J9" s="46">
        <f t="shared" si="6"/>
        <v>1.643835616</v>
      </c>
      <c r="K9" s="46">
        <f t="shared" si="6"/>
        <v>3.287671233</v>
      </c>
      <c r="L9" s="46">
        <f t="shared" si="6"/>
        <v>3.287671233</v>
      </c>
      <c r="M9" s="46">
        <f t="shared" si="6"/>
        <v>3.287671233</v>
      </c>
      <c r="N9" s="46">
        <f t="shared" si="6"/>
        <v>3.287671233</v>
      </c>
      <c r="O9" s="49">
        <f t="shared" si="6"/>
        <v>3.287671233</v>
      </c>
      <c r="P9" s="50">
        <f t="shared" ref="P9:AB9" si="7">($A9/N$5)/365</f>
        <v>3.287671233</v>
      </c>
      <c r="Q9" s="50">
        <f t="shared" si="7"/>
        <v>3.287671233</v>
      </c>
      <c r="R9" s="50">
        <f t="shared" si="7"/>
        <v>3.287671233</v>
      </c>
      <c r="S9" s="50">
        <f t="shared" si="7"/>
        <v>3.287671233</v>
      </c>
      <c r="T9" s="50">
        <f t="shared" si="7"/>
        <v>3.287671233</v>
      </c>
      <c r="U9" s="50">
        <f t="shared" si="7"/>
        <v>3.287671233</v>
      </c>
      <c r="V9" s="50">
        <f t="shared" si="7"/>
        <v>3.287671233</v>
      </c>
      <c r="W9" s="50">
        <f t="shared" si="7"/>
        <v>3.287671233</v>
      </c>
      <c r="X9" s="50">
        <f t="shared" si="7"/>
        <v>3.287671233</v>
      </c>
      <c r="Y9" s="50">
        <f t="shared" si="7"/>
        <v>3.287671233</v>
      </c>
      <c r="Z9" s="50">
        <f t="shared" si="7"/>
        <v>3.287671233</v>
      </c>
      <c r="AA9" s="50">
        <f t="shared" si="7"/>
        <v>3.287671233</v>
      </c>
      <c r="AB9" s="50">
        <f t="shared" si="7"/>
        <v>3.287671233</v>
      </c>
    </row>
    <row r="10" ht="15.75" customHeight="1">
      <c r="A10" s="21">
        <f>'Soul Energy Tiers'!K5</f>
        <v>2800</v>
      </c>
      <c r="B10" s="5"/>
      <c r="C10" s="24" t="s">
        <v>17</v>
      </c>
      <c r="D10" s="46">
        <f t="shared" si="5"/>
        <v>7.671232877</v>
      </c>
      <c r="E10" s="5"/>
      <c r="F10" s="24" t="s">
        <v>17</v>
      </c>
      <c r="G10" s="46">
        <f t="shared" ref="G10:O10" si="8">($A10/G$5)/365</f>
        <v>0.1704718417</v>
      </c>
      <c r="H10" s="46">
        <f t="shared" si="8"/>
        <v>0.3068493151</v>
      </c>
      <c r="I10" s="46">
        <f t="shared" si="8"/>
        <v>7.671232877</v>
      </c>
      <c r="J10" s="46">
        <f t="shared" si="8"/>
        <v>3.835616438</v>
      </c>
      <c r="K10" s="46">
        <f t="shared" si="8"/>
        <v>7.671232877</v>
      </c>
      <c r="L10" s="46">
        <f t="shared" si="8"/>
        <v>7.671232877</v>
      </c>
      <c r="M10" s="46">
        <f t="shared" si="8"/>
        <v>7.671232877</v>
      </c>
      <c r="N10" s="46">
        <f t="shared" si="8"/>
        <v>7.671232877</v>
      </c>
      <c r="O10" s="49">
        <f t="shared" si="8"/>
        <v>7.671232877</v>
      </c>
      <c r="P10" s="50">
        <f t="shared" ref="P10:AB10" si="9">($A10/N$5)/365</f>
        <v>7.671232877</v>
      </c>
      <c r="Q10" s="50">
        <f t="shared" si="9"/>
        <v>7.671232877</v>
      </c>
      <c r="R10" s="50">
        <f t="shared" si="9"/>
        <v>7.671232877</v>
      </c>
      <c r="S10" s="50">
        <f t="shared" si="9"/>
        <v>7.671232877</v>
      </c>
      <c r="T10" s="50">
        <f t="shared" si="9"/>
        <v>7.671232877</v>
      </c>
      <c r="U10" s="50">
        <f t="shared" si="9"/>
        <v>7.671232877</v>
      </c>
      <c r="V10" s="50">
        <f t="shared" si="9"/>
        <v>7.671232877</v>
      </c>
      <c r="W10" s="50">
        <f t="shared" si="9"/>
        <v>7.671232877</v>
      </c>
      <c r="X10" s="50">
        <f t="shared" si="9"/>
        <v>7.671232877</v>
      </c>
      <c r="Y10" s="50">
        <f t="shared" si="9"/>
        <v>7.671232877</v>
      </c>
      <c r="Z10" s="50">
        <f t="shared" si="9"/>
        <v>7.671232877</v>
      </c>
      <c r="AA10" s="50">
        <f t="shared" si="9"/>
        <v>7.671232877</v>
      </c>
      <c r="AB10" s="50">
        <f t="shared" si="9"/>
        <v>7.671232877</v>
      </c>
    </row>
    <row r="11" ht="15.75" customHeight="1">
      <c r="A11" s="21">
        <f>'Soul Energy Tiers'!K6</f>
        <v>6000</v>
      </c>
      <c r="B11" s="5"/>
      <c r="C11" s="24" t="s">
        <v>19</v>
      </c>
      <c r="D11" s="46">
        <f t="shared" si="5"/>
        <v>16.43835616</v>
      </c>
      <c r="E11" s="5"/>
      <c r="F11" s="24" t="s">
        <v>19</v>
      </c>
      <c r="G11" s="46">
        <f t="shared" ref="G11:O11" si="10">($A11/G$5)/365</f>
        <v>0.3652968037</v>
      </c>
      <c r="H11" s="46">
        <f t="shared" si="10"/>
        <v>0.6575342466</v>
      </c>
      <c r="I11" s="46">
        <f t="shared" si="10"/>
        <v>16.43835616</v>
      </c>
      <c r="J11" s="46">
        <f t="shared" si="10"/>
        <v>8.219178082</v>
      </c>
      <c r="K11" s="46">
        <f t="shared" si="10"/>
        <v>16.43835616</v>
      </c>
      <c r="L11" s="46">
        <f t="shared" si="10"/>
        <v>16.43835616</v>
      </c>
      <c r="M11" s="46">
        <f t="shared" si="10"/>
        <v>16.43835616</v>
      </c>
      <c r="N11" s="46">
        <f t="shared" si="10"/>
        <v>16.43835616</v>
      </c>
      <c r="O11" s="49">
        <f t="shared" si="10"/>
        <v>16.43835616</v>
      </c>
      <c r="P11" s="50">
        <f t="shared" ref="P11:AB11" si="11">($A11/N$5)/365</f>
        <v>16.43835616</v>
      </c>
      <c r="Q11" s="50">
        <f t="shared" si="11"/>
        <v>16.43835616</v>
      </c>
      <c r="R11" s="50">
        <f t="shared" si="11"/>
        <v>16.43835616</v>
      </c>
      <c r="S11" s="50">
        <f t="shared" si="11"/>
        <v>16.43835616</v>
      </c>
      <c r="T11" s="50">
        <f t="shared" si="11"/>
        <v>16.43835616</v>
      </c>
      <c r="U11" s="50">
        <f t="shared" si="11"/>
        <v>16.43835616</v>
      </c>
      <c r="V11" s="50">
        <f t="shared" si="11"/>
        <v>16.43835616</v>
      </c>
      <c r="W11" s="50">
        <f t="shared" si="11"/>
        <v>16.43835616</v>
      </c>
      <c r="X11" s="50">
        <f t="shared" si="11"/>
        <v>16.43835616</v>
      </c>
      <c r="Y11" s="50">
        <f t="shared" si="11"/>
        <v>16.43835616</v>
      </c>
      <c r="Z11" s="50">
        <f t="shared" si="11"/>
        <v>16.43835616</v>
      </c>
      <c r="AA11" s="50">
        <f t="shared" si="11"/>
        <v>16.43835616</v>
      </c>
      <c r="AB11" s="50">
        <f t="shared" si="11"/>
        <v>16.43835616</v>
      </c>
    </row>
    <row r="12" ht="15.75" customHeight="1">
      <c r="A12" s="21">
        <f>'Soul Energy Tiers'!K7</f>
        <v>12400</v>
      </c>
      <c r="B12" s="5"/>
      <c r="C12" s="24" t="s">
        <v>21</v>
      </c>
      <c r="D12" s="46">
        <f t="shared" si="5"/>
        <v>33.97260274</v>
      </c>
      <c r="E12" s="5"/>
      <c r="F12" s="24" t="s">
        <v>21</v>
      </c>
      <c r="G12" s="46">
        <f t="shared" ref="G12:O12" si="12">($A12/G$5)/365</f>
        <v>0.7549467275</v>
      </c>
      <c r="H12" s="46">
        <f t="shared" si="12"/>
        <v>1.35890411</v>
      </c>
      <c r="I12" s="46">
        <f t="shared" si="12"/>
        <v>33.97260274</v>
      </c>
      <c r="J12" s="46">
        <f t="shared" si="12"/>
        <v>16.98630137</v>
      </c>
      <c r="K12" s="46">
        <f t="shared" si="12"/>
        <v>33.97260274</v>
      </c>
      <c r="L12" s="46">
        <f t="shared" si="12"/>
        <v>33.97260274</v>
      </c>
      <c r="M12" s="46">
        <f t="shared" si="12"/>
        <v>33.97260274</v>
      </c>
      <c r="N12" s="46">
        <f t="shared" si="12"/>
        <v>33.97260274</v>
      </c>
      <c r="O12" s="49">
        <f t="shared" si="12"/>
        <v>33.97260274</v>
      </c>
      <c r="P12" s="50">
        <f t="shared" ref="P12:AB12" si="13">($A12/N$5)/365</f>
        <v>33.97260274</v>
      </c>
      <c r="Q12" s="50">
        <f t="shared" si="13"/>
        <v>33.97260274</v>
      </c>
      <c r="R12" s="50">
        <f t="shared" si="13"/>
        <v>33.97260274</v>
      </c>
      <c r="S12" s="50">
        <f t="shared" si="13"/>
        <v>33.97260274</v>
      </c>
      <c r="T12" s="50">
        <f t="shared" si="13"/>
        <v>33.97260274</v>
      </c>
      <c r="U12" s="50">
        <f t="shared" si="13"/>
        <v>33.97260274</v>
      </c>
      <c r="V12" s="50">
        <f t="shared" si="13"/>
        <v>33.97260274</v>
      </c>
      <c r="W12" s="50">
        <f t="shared" si="13"/>
        <v>33.97260274</v>
      </c>
      <c r="X12" s="50">
        <f t="shared" si="13"/>
        <v>33.97260274</v>
      </c>
      <c r="Y12" s="50">
        <f t="shared" si="13"/>
        <v>33.97260274</v>
      </c>
      <c r="Z12" s="50">
        <f t="shared" si="13"/>
        <v>33.97260274</v>
      </c>
      <c r="AA12" s="50">
        <f t="shared" si="13"/>
        <v>33.97260274</v>
      </c>
      <c r="AB12" s="50">
        <f t="shared" si="13"/>
        <v>33.97260274</v>
      </c>
    </row>
    <row r="13" ht="15.75" customHeight="1">
      <c r="A13" s="21">
        <f>'Soul Energy Tiers'!K8</f>
        <v>25200</v>
      </c>
      <c r="B13" s="5"/>
      <c r="C13" s="24" t="s">
        <v>23</v>
      </c>
      <c r="D13" s="46">
        <f t="shared" si="5"/>
        <v>69.04109589</v>
      </c>
      <c r="E13" s="5"/>
      <c r="F13" s="24" t="s">
        <v>23</v>
      </c>
      <c r="G13" s="46">
        <f t="shared" ref="G13:O13" si="14">($A13/G$5)/365</f>
        <v>1.534246575</v>
      </c>
      <c r="H13" s="46">
        <f t="shared" si="14"/>
        <v>2.761643836</v>
      </c>
      <c r="I13" s="46">
        <f t="shared" si="14"/>
        <v>69.04109589</v>
      </c>
      <c r="J13" s="46">
        <f t="shared" si="14"/>
        <v>34.52054795</v>
      </c>
      <c r="K13" s="46">
        <f t="shared" si="14"/>
        <v>69.04109589</v>
      </c>
      <c r="L13" s="46">
        <f t="shared" si="14"/>
        <v>69.04109589</v>
      </c>
      <c r="M13" s="46">
        <f t="shared" si="14"/>
        <v>69.04109589</v>
      </c>
      <c r="N13" s="46">
        <f t="shared" si="14"/>
        <v>69.04109589</v>
      </c>
      <c r="O13" s="49">
        <f t="shared" si="14"/>
        <v>69.04109589</v>
      </c>
      <c r="P13" s="50">
        <f t="shared" ref="P13:AB13" si="15">($A13/N$5)/365</f>
        <v>69.04109589</v>
      </c>
      <c r="Q13" s="50">
        <f t="shared" si="15"/>
        <v>69.04109589</v>
      </c>
      <c r="R13" s="50">
        <f t="shared" si="15"/>
        <v>69.04109589</v>
      </c>
      <c r="S13" s="50">
        <f t="shared" si="15"/>
        <v>69.04109589</v>
      </c>
      <c r="T13" s="50">
        <f t="shared" si="15"/>
        <v>69.04109589</v>
      </c>
      <c r="U13" s="50">
        <f t="shared" si="15"/>
        <v>69.04109589</v>
      </c>
      <c r="V13" s="50">
        <f t="shared" si="15"/>
        <v>69.04109589</v>
      </c>
      <c r="W13" s="50">
        <f t="shared" si="15"/>
        <v>69.04109589</v>
      </c>
      <c r="X13" s="50">
        <f t="shared" si="15"/>
        <v>69.04109589</v>
      </c>
      <c r="Y13" s="50">
        <f t="shared" si="15"/>
        <v>69.04109589</v>
      </c>
      <c r="Z13" s="50">
        <f t="shared" si="15"/>
        <v>69.04109589</v>
      </c>
      <c r="AA13" s="50">
        <f t="shared" si="15"/>
        <v>69.04109589</v>
      </c>
      <c r="AB13" s="50">
        <f t="shared" si="15"/>
        <v>69.04109589</v>
      </c>
    </row>
    <row r="14" ht="15.75" customHeight="1">
      <c r="A14" s="21">
        <f>'Soul Energy Tiers'!K9</f>
        <v>50800</v>
      </c>
      <c r="B14" s="5"/>
      <c r="C14" s="24" t="s">
        <v>25</v>
      </c>
      <c r="D14" s="46">
        <f t="shared" si="5"/>
        <v>139.1780822</v>
      </c>
      <c r="E14" s="5"/>
      <c r="F14" s="24" t="s">
        <v>25</v>
      </c>
      <c r="G14" s="46">
        <f t="shared" ref="G14:O14" si="16">($A14/G$5)/365</f>
        <v>3.092846271</v>
      </c>
      <c r="H14" s="46">
        <f t="shared" si="16"/>
        <v>5.567123288</v>
      </c>
      <c r="I14" s="46">
        <f t="shared" si="16"/>
        <v>139.1780822</v>
      </c>
      <c r="J14" s="46">
        <f t="shared" si="16"/>
        <v>69.5890411</v>
      </c>
      <c r="K14" s="46">
        <f t="shared" si="16"/>
        <v>139.1780822</v>
      </c>
      <c r="L14" s="46">
        <f t="shared" si="16"/>
        <v>139.1780822</v>
      </c>
      <c r="M14" s="46">
        <f t="shared" si="16"/>
        <v>139.1780822</v>
      </c>
      <c r="N14" s="46">
        <f t="shared" si="16"/>
        <v>139.1780822</v>
      </c>
      <c r="O14" s="49">
        <f t="shared" si="16"/>
        <v>139.1780822</v>
      </c>
      <c r="P14" s="50">
        <f t="shared" ref="P14:AB14" si="17">($A14/N$5)/365</f>
        <v>139.1780822</v>
      </c>
      <c r="Q14" s="50">
        <f t="shared" si="17"/>
        <v>139.1780822</v>
      </c>
      <c r="R14" s="50">
        <f t="shared" si="17"/>
        <v>139.1780822</v>
      </c>
      <c r="S14" s="50">
        <f t="shared" si="17"/>
        <v>139.1780822</v>
      </c>
      <c r="T14" s="50">
        <f t="shared" si="17"/>
        <v>139.1780822</v>
      </c>
      <c r="U14" s="50">
        <f t="shared" si="17"/>
        <v>139.1780822</v>
      </c>
      <c r="V14" s="50">
        <f t="shared" si="17"/>
        <v>139.1780822</v>
      </c>
      <c r="W14" s="50">
        <f t="shared" si="17"/>
        <v>139.1780822</v>
      </c>
      <c r="X14" s="50">
        <f t="shared" si="17"/>
        <v>139.1780822</v>
      </c>
      <c r="Y14" s="50">
        <f t="shared" si="17"/>
        <v>139.1780822</v>
      </c>
      <c r="Z14" s="50">
        <f t="shared" si="17"/>
        <v>139.1780822</v>
      </c>
      <c r="AA14" s="50">
        <f t="shared" si="17"/>
        <v>139.1780822</v>
      </c>
      <c r="AB14" s="50">
        <f t="shared" si="17"/>
        <v>139.1780822</v>
      </c>
    </row>
    <row r="15" ht="15.75" customHeight="1">
      <c r="A15" s="21">
        <f>'Soul Energy Tiers'!K10</f>
        <v>102000</v>
      </c>
      <c r="B15" s="5"/>
      <c r="C15" s="24" t="s">
        <v>27</v>
      </c>
      <c r="D15" s="46">
        <f t="shared" si="5"/>
        <v>279.4520548</v>
      </c>
      <c r="E15" s="5"/>
      <c r="F15" s="24" t="s">
        <v>27</v>
      </c>
      <c r="G15" s="46">
        <f t="shared" ref="G15:O15" si="18">($A15/G$5)/365</f>
        <v>6.210045662</v>
      </c>
      <c r="H15" s="46">
        <f t="shared" si="18"/>
        <v>11.17808219</v>
      </c>
      <c r="I15" s="46">
        <f t="shared" si="18"/>
        <v>279.4520548</v>
      </c>
      <c r="J15" s="46">
        <f t="shared" si="18"/>
        <v>139.7260274</v>
      </c>
      <c r="K15" s="46">
        <f t="shared" si="18"/>
        <v>279.4520548</v>
      </c>
      <c r="L15" s="46">
        <f t="shared" si="18"/>
        <v>279.4520548</v>
      </c>
      <c r="M15" s="46">
        <f t="shared" si="18"/>
        <v>279.4520548</v>
      </c>
      <c r="N15" s="46">
        <f t="shared" si="18"/>
        <v>279.4520548</v>
      </c>
      <c r="O15" s="49">
        <f t="shared" si="18"/>
        <v>279.4520548</v>
      </c>
      <c r="P15" s="50">
        <f t="shared" ref="P15:AB15" si="19">($A15/N$5)/365</f>
        <v>279.4520548</v>
      </c>
      <c r="Q15" s="50">
        <f t="shared" si="19"/>
        <v>279.4520548</v>
      </c>
      <c r="R15" s="50">
        <f t="shared" si="19"/>
        <v>279.4520548</v>
      </c>
      <c r="S15" s="50">
        <f t="shared" si="19"/>
        <v>279.4520548</v>
      </c>
      <c r="T15" s="50">
        <f t="shared" si="19"/>
        <v>279.4520548</v>
      </c>
      <c r="U15" s="50">
        <f t="shared" si="19"/>
        <v>279.4520548</v>
      </c>
      <c r="V15" s="50">
        <f t="shared" si="19"/>
        <v>279.4520548</v>
      </c>
      <c r="W15" s="50">
        <f t="shared" si="19"/>
        <v>279.4520548</v>
      </c>
      <c r="X15" s="50">
        <f t="shared" si="19"/>
        <v>279.4520548</v>
      </c>
      <c r="Y15" s="50">
        <f t="shared" si="19"/>
        <v>279.4520548</v>
      </c>
      <c r="Z15" s="50">
        <f t="shared" si="19"/>
        <v>279.4520548</v>
      </c>
      <c r="AA15" s="50">
        <f t="shared" si="19"/>
        <v>279.4520548</v>
      </c>
      <c r="AB15" s="50">
        <f t="shared" si="19"/>
        <v>279.4520548</v>
      </c>
    </row>
    <row r="16" ht="15.75" customHeight="1">
      <c r="A16" s="21">
        <f>'Soul Energy Tiers'!K11</f>
        <v>204400</v>
      </c>
      <c r="B16" s="5"/>
      <c r="C16" s="24" t="s">
        <v>29</v>
      </c>
      <c r="D16" s="46">
        <f t="shared" si="5"/>
        <v>560</v>
      </c>
      <c r="E16" s="5"/>
      <c r="F16" s="24" t="s">
        <v>29</v>
      </c>
      <c r="G16" s="46">
        <f t="shared" ref="G16:O16" si="20">($A16/G$5)/365</f>
        <v>12.44444444</v>
      </c>
      <c r="H16" s="46">
        <f t="shared" si="20"/>
        <v>22.4</v>
      </c>
      <c r="I16" s="46">
        <f t="shared" si="20"/>
        <v>560</v>
      </c>
      <c r="J16" s="46">
        <f t="shared" si="20"/>
        <v>280</v>
      </c>
      <c r="K16" s="46">
        <f t="shared" si="20"/>
        <v>560</v>
      </c>
      <c r="L16" s="46">
        <f t="shared" si="20"/>
        <v>560</v>
      </c>
      <c r="M16" s="46">
        <f t="shared" si="20"/>
        <v>560</v>
      </c>
      <c r="N16" s="46">
        <f t="shared" si="20"/>
        <v>560</v>
      </c>
      <c r="O16" s="49">
        <f t="shared" si="20"/>
        <v>560</v>
      </c>
      <c r="P16" s="50">
        <f t="shared" ref="P16:AB16" si="21">($A16/N$5)/365</f>
        <v>560</v>
      </c>
      <c r="Q16" s="50">
        <f t="shared" si="21"/>
        <v>560</v>
      </c>
      <c r="R16" s="50">
        <f t="shared" si="21"/>
        <v>560</v>
      </c>
      <c r="S16" s="50">
        <f t="shared" si="21"/>
        <v>560</v>
      </c>
      <c r="T16" s="50">
        <f t="shared" si="21"/>
        <v>560</v>
      </c>
      <c r="U16" s="50">
        <f t="shared" si="21"/>
        <v>560</v>
      </c>
      <c r="V16" s="50">
        <f t="shared" si="21"/>
        <v>560</v>
      </c>
      <c r="W16" s="50">
        <f t="shared" si="21"/>
        <v>560</v>
      </c>
      <c r="X16" s="50">
        <f t="shared" si="21"/>
        <v>560</v>
      </c>
      <c r="Y16" s="50">
        <f t="shared" si="21"/>
        <v>560</v>
      </c>
      <c r="Z16" s="50">
        <f t="shared" si="21"/>
        <v>560</v>
      </c>
      <c r="AA16" s="50">
        <f t="shared" si="21"/>
        <v>560</v>
      </c>
      <c r="AB16" s="50">
        <f t="shared" si="21"/>
        <v>560</v>
      </c>
    </row>
    <row r="17" ht="15.75" customHeight="1">
      <c r="A17" s="21">
        <f>'Soul Energy Tiers'!K12</f>
        <v>409200</v>
      </c>
      <c r="B17" s="5"/>
      <c r="C17" s="24" t="s">
        <v>31</v>
      </c>
      <c r="D17" s="46">
        <f t="shared" si="5"/>
        <v>1121.09589</v>
      </c>
      <c r="E17" s="5"/>
      <c r="F17" s="24" t="s">
        <v>31</v>
      </c>
      <c r="G17" s="46">
        <f t="shared" ref="G17:O17" si="22">($A17/G$5)/365</f>
        <v>24.91324201</v>
      </c>
      <c r="H17" s="46">
        <f t="shared" si="22"/>
        <v>44.84383562</v>
      </c>
      <c r="I17" s="46">
        <f t="shared" si="22"/>
        <v>1121.09589</v>
      </c>
      <c r="J17" s="46">
        <f t="shared" si="22"/>
        <v>560.5479452</v>
      </c>
      <c r="K17" s="46">
        <f t="shared" si="22"/>
        <v>1121.09589</v>
      </c>
      <c r="L17" s="46">
        <f t="shared" si="22"/>
        <v>1121.09589</v>
      </c>
      <c r="M17" s="46">
        <f t="shared" si="22"/>
        <v>1121.09589</v>
      </c>
      <c r="N17" s="46">
        <f t="shared" si="22"/>
        <v>1121.09589</v>
      </c>
      <c r="O17" s="49">
        <f t="shared" si="22"/>
        <v>1121.09589</v>
      </c>
      <c r="P17" s="50">
        <f t="shared" ref="P17:AB17" si="23">($A17/N$5)/365</f>
        <v>1121.09589</v>
      </c>
      <c r="Q17" s="50">
        <f t="shared" si="23"/>
        <v>1121.09589</v>
      </c>
      <c r="R17" s="50">
        <f t="shared" si="23"/>
        <v>1121.09589</v>
      </c>
      <c r="S17" s="50">
        <f t="shared" si="23"/>
        <v>1121.09589</v>
      </c>
      <c r="T17" s="50">
        <f t="shared" si="23"/>
        <v>1121.09589</v>
      </c>
      <c r="U17" s="50">
        <f t="shared" si="23"/>
        <v>1121.09589</v>
      </c>
      <c r="V17" s="50">
        <f t="shared" si="23"/>
        <v>1121.09589</v>
      </c>
      <c r="W17" s="50">
        <f t="shared" si="23"/>
        <v>1121.09589</v>
      </c>
      <c r="X17" s="50">
        <f t="shared" si="23"/>
        <v>1121.09589</v>
      </c>
      <c r="Y17" s="50">
        <f t="shared" si="23"/>
        <v>1121.09589</v>
      </c>
      <c r="Z17" s="50">
        <f t="shared" si="23"/>
        <v>1121.09589</v>
      </c>
      <c r="AA17" s="50">
        <f t="shared" si="23"/>
        <v>1121.09589</v>
      </c>
      <c r="AB17" s="50">
        <f t="shared" si="23"/>
        <v>1121.09589</v>
      </c>
    </row>
    <row r="18" ht="15.75" customHeight="1">
      <c r="A18" s="21">
        <f>'Soul Energy Tiers'!K13</f>
        <v>818800</v>
      </c>
      <c r="B18" s="5"/>
      <c r="C18" s="24" t="s">
        <v>33</v>
      </c>
      <c r="D18" s="46">
        <f t="shared" si="5"/>
        <v>2243.287671</v>
      </c>
      <c r="E18" s="5"/>
      <c r="F18" s="24" t="s">
        <v>33</v>
      </c>
      <c r="G18" s="46">
        <f t="shared" ref="G18:O18" si="24">($A18/G$5)/365</f>
        <v>49.85083714</v>
      </c>
      <c r="H18" s="46">
        <f t="shared" si="24"/>
        <v>89.73150685</v>
      </c>
      <c r="I18" s="46">
        <f t="shared" si="24"/>
        <v>2243.287671</v>
      </c>
      <c r="J18" s="46">
        <f t="shared" si="24"/>
        <v>1121.643836</v>
      </c>
      <c r="K18" s="46">
        <f t="shared" si="24"/>
        <v>2243.287671</v>
      </c>
      <c r="L18" s="46">
        <f t="shared" si="24"/>
        <v>2243.287671</v>
      </c>
      <c r="M18" s="46">
        <f t="shared" si="24"/>
        <v>2243.287671</v>
      </c>
      <c r="N18" s="46">
        <f t="shared" si="24"/>
        <v>2243.287671</v>
      </c>
      <c r="O18" s="49">
        <f t="shared" si="24"/>
        <v>2243.287671</v>
      </c>
      <c r="P18" s="50">
        <f t="shared" ref="P18:AB18" si="25">($A18/N$5)/365</f>
        <v>2243.287671</v>
      </c>
      <c r="Q18" s="50">
        <f t="shared" si="25"/>
        <v>2243.287671</v>
      </c>
      <c r="R18" s="50">
        <f t="shared" si="25"/>
        <v>2243.287671</v>
      </c>
      <c r="S18" s="50">
        <f t="shared" si="25"/>
        <v>2243.287671</v>
      </c>
      <c r="T18" s="50">
        <f t="shared" si="25"/>
        <v>2243.287671</v>
      </c>
      <c r="U18" s="50">
        <f t="shared" si="25"/>
        <v>2243.287671</v>
      </c>
      <c r="V18" s="50">
        <f t="shared" si="25"/>
        <v>2243.287671</v>
      </c>
      <c r="W18" s="50">
        <f t="shared" si="25"/>
        <v>2243.287671</v>
      </c>
      <c r="X18" s="50">
        <f t="shared" si="25"/>
        <v>2243.287671</v>
      </c>
      <c r="Y18" s="50">
        <f t="shared" si="25"/>
        <v>2243.287671</v>
      </c>
      <c r="Z18" s="50">
        <f t="shared" si="25"/>
        <v>2243.287671</v>
      </c>
      <c r="AA18" s="50">
        <f t="shared" si="25"/>
        <v>2243.287671</v>
      </c>
      <c r="AB18" s="50">
        <f t="shared" si="25"/>
        <v>2243.287671</v>
      </c>
    </row>
    <row r="19" ht="15.75" customHeight="1">
      <c r="A19" s="21">
        <f>'Soul Energy Tiers'!K14</f>
        <v>1638000</v>
      </c>
      <c r="B19" s="5"/>
      <c r="C19" s="24" t="s">
        <v>35</v>
      </c>
      <c r="D19" s="46">
        <f t="shared" si="5"/>
        <v>4487.671233</v>
      </c>
      <c r="E19" s="5"/>
      <c r="F19" s="24" t="s">
        <v>35</v>
      </c>
      <c r="G19" s="46">
        <f t="shared" ref="G19:O19" si="26">($A19/G$5)/365</f>
        <v>99.7260274</v>
      </c>
      <c r="H19" s="46">
        <f t="shared" si="26"/>
        <v>179.5068493</v>
      </c>
      <c r="I19" s="46">
        <f t="shared" si="26"/>
        <v>4487.671233</v>
      </c>
      <c r="J19" s="46">
        <f t="shared" si="26"/>
        <v>2243.835616</v>
      </c>
      <c r="K19" s="46">
        <f t="shared" si="26"/>
        <v>4487.671233</v>
      </c>
      <c r="L19" s="46">
        <f t="shared" si="26"/>
        <v>4487.671233</v>
      </c>
      <c r="M19" s="46">
        <f t="shared" si="26"/>
        <v>4487.671233</v>
      </c>
      <c r="N19" s="46">
        <f t="shared" si="26"/>
        <v>4487.671233</v>
      </c>
      <c r="O19" s="49">
        <f t="shared" si="26"/>
        <v>4487.671233</v>
      </c>
      <c r="P19" s="50">
        <f t="shared" ref="P19:AB19" si="27">($A19/N$5)/365</f>
        <v>4487.671233</v>
      </c>
      <c r="Q19" s="50">
        <f t="shared" si="27"/>
        <v>4487.671233</v>
      </c>
      <c r="R19" s="50">
        <f t="shared" si="27"/>
        <v>4487.671233</v>
      </c>
      <c r="S19" s="50">
        <f t="shared" si="27"/>
        <v>4487.671233</v>
      </c>
      <c r="T19" s="50">
        <f t="shared" si="27"/>
        <v>4487.671233</v>
      </c>
      <c r="U19" s="50">
        <f t="shared" si="27"/>
        <v>4487.671233</v>
      </c>
      <c r="V19" s="50">
        <f t="shared" si="27"/>
        <v>4487.671233</v>
      </c>
      <c r="W19" s="50">
        <f t="shared" si="27"/>
        <v>4487.671233</v>
      </c>
      <c r="X19" s="50">
        <f t="shared" si="27"/>
        <v>4487.671233</v>
      </c>
      <c r="Y19" s="50">
        <f t="shared" si="27"/>
        <v>4487.671233</v>
      </c>
      <c r="Z19" s="50">
        <f t="shared" si="27"/>
        <v>4487.671233</v>
      </c>
      <c r="AA19" s="50">
        <f t="shared" si="27"/>
        <v>4487.671233</v>
      </c>
      <c r="AB19" s="50">
        <f t="shared" si="27"/>
        <v>4487.671233</v>
      </c>
    </row>
    <row r="20" ht="15.75" customHeight="1">
      <c r="A20" s="21">
        <f>'Soul Energy Tiers'!K15</f>
        <v>3276400</v>
      </c>
      <c r="B20" s="5"/>
      <c r="C20" s="24" t="s">
        <v>37</v>
      </c>
      <c r="D20" s="46">
        <f t="shared" si="5"/>
        <v>8976.438356</v>
      </c>
      <c r="E20" s="5"/>
      <c r="F20" s="24" t="s">
        <v>37</v>
      </c>
      <c r="G20" s="46">
        <f t="shared" ref="G20:O20" si="28">($A20/G$5)/365</f>
        <v>199.4764079</v>
      </c>
      <c r="H20" s="46">
        <f t="shared" si="28"/>
        <v>359.0575342</v>
      </c>
      <c r="I20" s="46">
        <f t="shared" si="28"/>
        <v>8976.438356</v>
      </c>
      <c r="J20" s="46">
        <f t="shared" si="28"/>
        <v>4488.219178</v>
      </c>
      <c r="K20" s="46">
        <f t="shared" si="28"/>
        <v>8976.438356</v>
      </c>
      <c r="L20" s="46">
        <f t="shared" si="28"/>
        <v>8976.438356</v>
      </c>
      <c r="M20" s="46">
        <f t="shared" si="28"/>
        <v>8976.438356</v>
      </c>
      <c r="N20" s="46">
        <f t="shared" si="28"/>
        <v>8976.438356</v>
      </c>
      <c r="O20" s="49">
        <f t="shared" si="28"/>
        <v>8976.438356</v>
      </c>
      <c r="P20" s="50">
        <f t="shared" ref="P20:AB20" si="29">($A20/N$5)/365</f>
        <v>8976.438356</v>
      </c>
      <c r="Q20" s="50">
        <f t="shared" si="29"/>
        <v>8976.438356</v>
      </c>
      <c r="R20" s="50">
        <f t="shared" si="29"/>
        <v>8976.438356</v>
      </c>
      <c r="S20" s="50">
        <f t="shared" si="29"/>
        <v>8976.438356</v>
      </c>
      <c r="T20" s="50">
        <f t="shared" si="29"/>
        <v>8976.438356</v>
      </c>
      <c r="U20" s="50">
        <f t="shared" si="29"/>
        <v>8976.438356</v>
      </c>
      <c r="V20" s="50">
        <f t="shared" si="29"/>
        <v>8976.438356</v>
      </c>
      <c r="W20" s="50">
        <f t="shared" si="29"/>
        <v>8976.438356</v>
      </c>
      <c r="X20" s="50">
        <f t="shared" si="29"/>
        <v>8976.438356</v>
      </c>
      <c r="Y20" s="50">
        <f t="shared" si="29"/>
        <v>8976.438356</v>
      </c>
      <c r="Z20" s="50">
        <f t="shared" si="29"/>
        <v>8976.438356</v>
      </c>
      <c r="AA20" s="50">
        <f t="shared" si="29"/>
        <v>8976.438356</v>
      </c>
      <c r="AB20" s="50">
        <f t="shared" si="29"/>
        <v>8976.438356</v>
      </c>
    </row>
    <row r="21" ht="15.75" customHeight="1">
      <c r="A21" s="21">
        <f>'Soul Energy Tiers'!K16</f>
        <v>6553200</v>
      </c>
      <c r="B21" s="5"/>
      <c r="C21" s="24" t="s">
        <v>39</v>
      </c>
      <c r="D21" s="46">
        <f t="shared" si="5"/>
        <v>17953.9726</v>
      </c>
      <c r="E21" s="5"/>
      <c r="F21" s="24" t="s">
        <v>39</v>
      </c>
      <c r="G21" s="46">
        <f t="shared" ref="G21:O21" si="30">($A21/G$5)/365</f>
        <v>398.9771689</v>
      </c>
      <c r="H21" s="46">
        <f t="shared" si="30"/>
        <v>718.1589041</v>
      </c>
      <c r="I21" s="46">
        <f t="shared" si="30"/>
        <v>17953.9726</v>
      </c>
      <c r="J21" s="46">
        <f t="shared" si="30"/>
        <v>8976.986301</v>
      </c>
      <c r="K21" s="46">
        <f t="shared" si="30"/>
        <v>17953.9726</v>
      </c>
      <c r="L21" s="46">
        <f t="shared" si="30"/>
        <v>17953.9726</v>
      </c>
      <c r="M21" s="46">
        <f t="shared" si="30"/>
        <v>17953.9726</v>
      </c>
      <c r="N21" s="46">
        <f t="shared" si="30"/>
        <v>17953.9726</v>
      </c>
      <c r="O21" s="49">
        <f t="shared" si="30"/>
        <v>17953.9726</v>
      </c>
      <c r="P21" s="50">
        <f t="shared" ref="P21:AB21" si="31">($A21/N$5)/365</f>
        <v>17953.9726</v>
      </c>
      <c r="Q21" s="50">
        <f t="shared" si="31"/>
        <v>17953.9726</v>
      </c>
      <c r="R21" s="50">
        <f t="shared" si="31"/>
        <v>17953.9726</v>
      </c>
      <c r="S21" s="50">
        <f t="shared" si="31"/>
        <v>17953.9726</v>
      </c>
      <c r="T21" s="50">
        <f t="shared" si="31"/>
        <v>17953.9726</v>
      </c>
      <c r="U21" s="50">
        <f t="shared" si="31"/>
        <v>17953.9726</v>
      </c>
      <c r="V21" s="50">
        <f t="shared" si="31"/>
        <v>17953.9726</v>
      </c>
      <c r="W21" s="50">
        <f t="shared" si="31"/>
        <v>17953.9726</v>
      </c>
      <c r="X21" s="50">
        <f t="shared" si="31"/>
        <v>17953.9726</v>
      </c>
      <c r="Y21" s="50">
        <f t="shared" si="31"/>
        <v>17953.9726</v>
      </c>
      <c r="Z21" s="50">
        <f t="shared" si="31"/>
        <v>17953.9726</v>
      </c>
      <c r="AA21" s="50">
        <f t="shared" si="31"/>
        <v>17953.9726</v>
      </c>
      <c r="AB21" s="50">
        <f t="shared" si="31"/>
        <v>17953.9726</v>
      </c>
    </row>
    <row r="22" ht="15.75" customHeight="1">
      <c r="A22" s="21">
        <f>'Soul Energy Tiers'!K17</f>
        <v>13106800</v>
      </c>
      <c r="B22" s="5"/>
      <c r="C22" s="24" t="s">
        <v>41</v>
      </c>
      <c r="D22" s="46">
        <f t="shared" si="5"/>
        <v>35909.0411</v>
      </c>
      <c r="E22" s="5"/>
      <c r="F22" s="24" t="s">
        <v>41</v>
      </c>
      <c r="G22" s="46">
        <f t="shared" ref="G22:O22" si="32">($A22/G$5)/365</f>
        <v>797.978691</v>
      </c>
      <c r="H22" s="46">
        <f t="shared" si="32"/>
        <v>1436.361644</v>
      </c>
      <c r="I22" s="46">
        <f t="shared" si="32"/>
        <v>35909.0411</v>
      </c>
      <c r="J22" s="46">
        <f t="shared" si="32"/>
        <v>17954.52055</v>
      </c>
      <c r="K22" s="46">
        <f t="shared" si="32"/>
        <v>35909.0411</v>
      </c>
      <c r="L22" s="46">
        <f t="shared" si="32"/>
        <v>35909.0411</v>
      </c>
      <c r="M22" s="46">
        <f t="shared" si="32"/>
        <v>35909.0411</v>
      </c>
      <c r="N22" s="46">
        <f t="shared" si="32"/>
        <v>35909.0411</v>
      </c>
      <c r="O22" s="49">
        <f t="shared" si="32"/>
        <v>35909.0411</v>
      </c>
      <c r="P22" s="50">
        <f t="shared" ref="P22:AB22" si="33">($A22/N$5)/365</f>
        <v>35909.0411</v>
      </c>
      <c r="Q22" s="50">
        <f t="shared" si="33"/>
        <v>35909.0411</v>
      </c>
      <c r="R22" s="50">
        <f t="shared" si="33"/>
        <v>35909.0411</v>
      </c>
      <c r="S22" s="50">
        <f t="shared" si="33"/>
        <v>35909.0411</v>
      </c>
      <c r="T22" s="50">
        <f t="shared" si="33"/>
        <v>35909.0411</v>
      </c>
      <c r="U22" s="50">
        <f t="shared" si="33"/>
        <v>35909.0411</v>
      </c>
      <c r="V22" s="50">
        <f t="shared" si="33"/>
        <v>35909.0411</v>
      </c>
      <c r="W22" s="50">
        <f t="shared" si="33"/>
        <v>35909.0411</v>
      </c>
      <c r="X22" s="50">
        <f t="shared" si="33"/>
        <v>35909.0411</v>
      </c>
      <c r="Y22" s="50">
        <f t="shared" si="33"/>
        <v>35909.0411</v>
      </c>
      <c r="Z22" s="50">
        <f t="shared" si="33"/>
        <v>35909.0411</v>
      </c>
      <c r="AA22" s="50">
        <f t="shared" si="33"/>
        <v>35909.0411</v>
      </c>
      <c r="AB22" s="50">
        <f t="shared" si="33"/>
        <v>35909.0411</v>
      </c>
    </row>
    <row r="23" ht="15.75" customHeight="1">
      <c r="A23" s="21">
        <f>'Soul Energy Tiers'!K18</f>
        <v>26214000</v>
      </c>
      <c r="B23" s="5"/>
      <c r="C23" s="24" t="s">
        <v>43</v>
      </c>
      <c r="D23" s="46">
        <f t="shared" si="5"/>
        <v>71819.17808</v>
      </c>
      <c r="E23" s="5"/>
      <c r="F23" s="24" t="s">
        <v>43</v>
      </c>
      <c r="G23" s="46">
        <f t="shared" ref="G23:O23" si="34">($A23/G$5)/365</f>
        <v>1595.981735</v>
      </c>
      <c r="H23" s="46">
        <f t="shared" si="34"/>
        <v>2872.767123</v>
      </c>
      <c r="I23" s="46">
        <f t="shared" si="34"/>
        <v>71819.17808</v>
      </c>
      <c r="J23" s="46">
        <f t="shared" si="34"/>
        <v>35909.58904</v>
      </c>
      <c r="K23" s="46">
        <f t="shared" si="34"/>
        <v>71819.17808</v>
      </c>
      <c r="L23" s="46">
        <f t="shared" si="34"/>
        <v>71819.17808</v>
      </c>
      <c r="M23" s="46">
        <f t="shared" si="34"/>
        <v>71819.17808</v>
      </c>
      <c r="N23" s="46">
        <f t="shared" si="34"/>
        <v>71819.17808</v>
      </c>
      <c r="O23" s="49">
        <f t="shared" si="34"/>
        <v>71819.17808</v>
      </c>
      <c r="P23" s="50">
        <f t="shared" ref="P23:AB23" si="35">($A23/N$5)/365</f>
        <v>71819.17808</v>
      </c>
      <c r="Q23" s="50">
        <f t="shared" si="35"/>
        <v>71819.17808</v>
      </c>
      <c r="R23" s="50">
        <f t="shared" si="35"/>
        <v>71819.17808</v>
      </c>
      <c r="S23" s="50">
        <f t="shared" si="35"/>
        <v>71819.17808</v>
      </c>
      <c r="T23" s="50">
        <f t="shared" si="35"/>
        <v>71819.17808</v>
      </c>
      <c r="U23" s="50">
        <f t="shared" si="35"/>
        <v>71819.17808</v>
      </c>
      <c r="V23" s="50">
        <f t="shared" si="35"/>
        <v>71819.17808</v>
      </c>
      <c r="W23" s="50">
        <f t="shared" si="35"/>
        <v>71819.17808</v>
      </c>
      <c r="X23" s="50">
        <f t="shared" si="35"/>
        <v>71819.17808</v>
      </c>
      <c r="Y23" s="50">
        <f t="shared" si="35"/>
        <v>71819.17808</v>
      </c>
      <c r="Z23" s="50">
        <f t="shared" si="35"/>
        <v>71819.17808</v>
      </c>
      <c r="AA23" s="50">
        <f t="shared" si="35"/>
        <v>71819.17808</v>
      </c>
      <c r="AB23" s="50">
        <f t="shared" si="35"/>
        <v>71819.17808</v>
      </c>
    </row>
    <row r="24" ht="15.75" customHeight="1">
      <c r="A24" s="21">
        <f>'Soul Energy Tiers'!K19</f>
        <v>52428400</v>
      </c>
      <c r="B24" s="5"/>
      <c r="C24" s="24" t="s">
        <v>45</v>
      </c>
      <c r="D24" s="46">
        <f t="shared" si="5"/>
        <v>143639.4521</v>
      </c>
      <c r="E24" s="5"/>
      <c r="F24" s="24" t="s">
        <v>45</v>
      </c>
      <c r="G24" s="46">
        <f t="shared" ref="G24:O24" si="36">($A24/G$5)/365</f>
        <v>3191.987823</v>
      </c>
      <c r="H24" s="46">
        <f t="shared" si="36"/>
        <v>5745.578082</v>
      </c>
      <c r="I24" s="46">
        <f t="shared" si="36"/>
        <v>143639.4521</v>
      </c>
      <c r="J24" s="46">
        <f t="shared" si="36"/>
        <v>71819.72603</v>
      </c>
      <c r="K24" s="46">
        <f t="shared" si="36"/>
        <v>143639.4521</v>
      </c>
      <c r="L24" s="46">
        <f t="shared" si="36"/>
        <v>143639.4521</v>
      </c>
      <c r="M24" s="46">
        <f t="shared" si="36"/>
        <v>143639.4521</v>
      </c>
      <c r="N24" s="46">
        <f t="shared" si="36"/>
        <v>143639.4521</v>
      </c>
      <c r="O24" s="49">
        <f t="shared" si="36"/>
        <v>143639.4521</v>
      </c>
      <c r="P24" s="50">
        <f t="shared" ref="P24:AB24" si="37">($A24/N$5)/365</f>
        <v>143639.4521</v>
      </c>
      <c r="Q24" s="50">
        <f t="shared" si="37"/>
        <v>143639.4521</v>
      </c>
      <c r="R24" s="50">
        <f t="shared" si="37"/>
        <v>143639.4521</v>
      </c>
      <c r="S24" s="50">
        <f t="shared" si="37"/>
        <v>143639.4521</v>
      </c>
      <c r="T24" s="50">
        <f t="shared" si="37"/>
        <v>143639.4521</v>
      </c>
      <c r="U24" s="50">
        <f t="shared" si="37"/>
        <v>143639.4521</v>
      </c>
      <c r="V24" s="50">
        <f t="shared" si="37"/>
        <v>143639.4521</v>
      </c>
      <c r="W24" s="50">
        <f t="shared" si="37"/>
        <v>143639.4521</v>
      </c>
      <c r="X24" s="50">
        <f t="shared" si="37"/>
        <v>143639.4521</v>
      </c>
      <c r="Y24" s="50">
        <f t="shared" si="37"/>
        <v>143639.4521</v>
      </c>
      <c r="Z24" s="50">
        <f t="shared" si="37"/>
        <v>143639.4521</v>
      </c>
      <c r="AA24" s="50">
        <f t="shared" si="37"/>
        <v>143639.4521</v>
      </c>
      <c r="AB24" s="50">
        <f t="shared" si="37"/>
        <v>143639.4521</v>
      </c>
    </row>
    <row r="25" ht="15.75" customHeight="1">
      <c r="A25" s="35"/>
      <c r="B25" s="5"/>
      <c r="C25" s="5"/>
      <c r="E25" s="5"/>
      <c r="F25" s="35"/>
      <c r="G25" s="35" t="s">
        <v>74</v>
      </c>
    </row>
    <row r="26" ht="15.75" customHeight="1">
      <c r="A26" s="52" t="s">
        <v>75</v>
      </c>
      <c r="B26" s="5"/>
      <c r="C26" s="10" t="s">
        <v>3</v>
      </c>
      <c r="D26" s="10" t="s">
        <v>55</v>
      </c>
      <c r="E26" s="5"/>
      <c r="F26" s="53" t="s">
        <v>3</v>
      </c>
      <c r="G26" s="45" t="str">
        <f t="shared" ref="G26:AB26" si="38">G7</f>
        <v>Flinga</v>
      </c>
      <c r="H26" s="45" t="str">
        <f t="shared" si="38"/>
        <v>Nari Worms</v>
      </c>
      <c r="I26" s="45" t="str">
        <f t="shared" si="38"/>
        <v>Bruntos</v>
      </c>
      <c r="J26" s="45" t="str">
        <f t="shared" si="38"/>
        <v>White Roundies</v>
      </c>
      <c r="K26" s="45" t="str">
        <f t="shared" si="38"/>
        <v/>
      </c>
      <c r="L26" s="45" t="str">
        <f t="shared" si="38"/>
        <v/>
      </c>
      <c r="M26" s="45" t="str">
        <f t="shared" si="38"/>
        <v/>
      </c>
      <c r="N26" s="45" t="str">
        <f t="shared" si="38"/>
        <v/>
      </c>
      <c r="O26" s="45" t="str">
        <f t="shared" si="38"/>
        <v/>
      </c>
      <c r="P26" s="45" t="str">
        <f t="shared" si="38"/>
        <v/>
      </c>
      <c r="Q26" s="45" t="str">
        <f t="shared" si="38"/>
        <v/>
      </c>
      <c r="R26" s="45" t="str">
        <f t="shared" si="38"/>
        <v/>
      </c>
      <c r="S26" s="45" t="str">
        <f t="shared" si="38"/>
        <v/>
      </c>
      <c r="T26" s="45" t="str">
        <f t="shared" si="38"/>
        <v/>
      </c>
      <c r="U26" s="45" t="str">
        <f t="shared" si="38"/>
        <v/>
      </c>
      <c r="V26" s="45" t="str">
        <f t="shared" si="38"/>
        <v/>
      </c>
      <c r="W26" s="45" t="str">
        <f t="shared" si="38"/>
        <v/>
      </c>
      <c r="X26" s="45" t="str">
        <f t="shared" si="38"/>
        <v/>
      </c>
      <c r="Y26" s="45" t="str">
        <f t="shared" si="38"/>
        <v/>
      </c>
      <c r="Z26" s="45" t="str">
        <f t="shared" si="38"/>
        <v/>
      </c>
      <c r="AA26" s="45" t="str">
        <f t="shared" si="38"/>
        <v/>
      </c>
      <c r="AB26" s="45" t="str">
        <f t="shared" si="38"/>
        <v/>
      </c>
    </row>
    <row r="27" ht="15.75" customHeight="1">
      <c r="A27" s="21">
        <f>'Soul Energy Tiers'!J3</f>
        <v>20</v>
      </c>
      <c r="B27" s="5"/>
      <c r="C27" s="54" t="s">
        <v>13</v>
      </c>
      <c r="D27" s="23">
        <f t="shared" ref="D27:D43" si="40">$A27/D$5</f>
        <v>20</v>
      </c>
      <c r="E27" s="5"/>
      <c r="F27" s="54" t="s">
        <v>13</v>
      </c>
      <c r="G27" s="32">
        <f t="shared" ref="G27:AB27" si="39">$A27/G$5</f>
        <v>0.4444444444</v>
      </c>
      <c r="H27" s="32">
        <f t="shared" si="39"/>
        <v>0.8</v>
      </c>
      <c r="I27" s="32">
        <f t="shared" si="39"/>
        <v>20</v>
      </c>
      <c r="J27" s="32">
        <f t="shared" si="39"/>
        <v>10</v>
      </c>
      <c r="K27" s="32">
        <f t="shared" si="39"/>
        <v>20</v>
      </c>
      <c r="L27" s="32">
        <f t="shared" si="39"/>
        <v>20</v>
      </c>
      <c r="M27" s="32">
        <f t="shared" si="39"/>
        <v>20</v>
      </c>
      <c r="N27" s="32">
        <f t="shared" si="39"/>
        <v>20</v>
      </c>
      <c r="O27" s="32">
        <f t="shared" si="39"/>
        <v>20</v>
      </c>
      <c r="P27" s="32">
        <f t="shared" si="39"/>
        <v>20</v>
      </c>
      <c r="Q27" s="32">
        <f t="shared" si="39"/>
        <v>20</v>
      </c>
      <c r="R27" s="32">
        <f t="shared" si="39"/>
        <v>20</v>
      </c>
      <c r="S27" s="32">
        <f t="shared" si="39"/>
        <v>20</v>
      </c>
      <c r="T27" s="32">
        <f t="shared" si="39"/>
        <v>20</v>
      </c>
      <c r="U27" s="32">
        <f t="shared" si="39"/>
        <v>20</v>
      </c>
      <c r="V27" s="32">
        <f t="shared" si="39"/>
        <v>20</v>
      </c>
      <c r="W27" s="32">
        <f t="shared" si="39"/>
        <v>20</v>
      </c>
      <c r="X27" s="32">
        <f t="shared" si="39"/>
        <v>20</v>
      </c>
      <c r="Y27" s="32">
        <f t="shared" si="39"/>
        <v>20</v>
      </c>
      <c r="Z27" s="32">
        <f t="shared" si="39"/>
        <v>20</v>
      </c>
      <c r="AA27" s="32">
        <f t="shared" si="39"/>
        <v>20</v>
      </c>
      <c r="AB27" s="32">
        <f t="shared" si="39"/>
        <v>20</v>
      </c>
    </row>
    <row r="28" ht="15.75" customHeight="1">
      <c r="A28" s="21">
        <f>'Soul Energy Tiers'!J4</f>
        <v>40</v>
      </c>
      <c r="B28" s="5"/>
      <c r="C28" s="55" t="s">
        <v>15</v>
      </c>
      <c r="D28" s="32">
        <f t="shared" si="40"/>
        <v>40</v>
      </c>
      <c r="E28" s="5"/>
      <c r="F28" s="55" t="s">
        <v>15</v>
      </c>
      <c r="G28" s="32">
        <f t="shared" ref="G28:AB28" si="41">$A28/G$5</f>
        <v>0.8888888889</v>
      </c>
      <c r="H28" s="32">
        <f t="shared" si="41"/>
        <v>1.6</v>
      </c>
      <c r="I28" s="32">
        <f t="shared" si="41"/>
        <v>40</v>
      </c>
      <c r="J28" s="32">
        <f t="shared" si="41"/>
        <v>20</v>
      </c>
      <c r="K28" s="32">
        <f t="shared" si="41"/>
        <v>40</v>
      </c>
      <c r="L28" s="32">
        <f t="shared" si="41"/>
        <v>40</v>
      </c>
      <c r="M28" s="32">
        <f t="shared" si="41"/>
        <v>40</v>
      </c>
      <c r="N28" s="32">
        <f t="shared" si="41"/>
        <v>40</v>
      </c>
      <c r="O28" s="32">
        <f t="shared" si="41"/>
        <v>40</v>
      </c>
      <c r="P28" s="32">
        <f t="shared" si="41"/>
        <v>40</v>
      </c>
      <c r="Q28" s="32">
        <f t="shared" si="41"/>
        <v>40</v>
      </c>
      <c r="R28" s="32">
        <f t="shared" si="41"/>
        <v>40</v>
      </c>
      <c r="S28" s="32">
        <f t="shared" si="41"/>
        <v>40</v>
      </c>
      <c r="T28" s="32">
        <f t="shared" si="41"/>
        <v>40</v>
      </c>
      <c r="U28" s="32">
        <f t="shared" si="41"/>
        <v>40</v>
      </c>
      <c r="V28" s="32">
        <f t="shared" si="41"/>
        <v>40</v>
      </c>
      <c r="W28" s="32">
        <f t="shared" si="41"/>
        <v>40</v>
      </c>
      <c r="X28" s="32">
        <f t="shared" si="41"/>
        <v>40</v>
      </c>
      <c r="Y28" s="32">
        <f t="shared" si="41"/>
        <v>40</v>
      </c>
      <c r="Z28" s="32">
        <f t="shared" si="41"/>
        <v>40</v>
      </c>
      <c r="AA28" s="32">
        <f t="shared" si="41"/>
        <v>40</v>
      </c>
      <c r="AB28" s="32">
        <f t="shared" si="41"/>
        <v>40</v>
      </c>
    </row>
    <row r="29" ht="15.75" customHeight="1">
      <c r="A29" s="21">
        <f>'Soul Energy Tiers'!J5</f>
        <v>80</v>
      </c>
      <c r="B29" s="5"/>
      <c r="C29" s="55" t="s">
        <v>17</v>
      </c>
      <c r="D29" s="32">
        <f t="shared" si="40"/>
        <v>80</v>
      </c>
      <c r="E29" s="5"/>
      <c r="F29" s="55" t="s">
        <v>17</v>
      </c>
      <c r="G29" s="32">
        <f t="shared" ref="G29:AB29" si="42">$A29/G$5</f>
        <v>1.777777778</v>
      </c>
      <c r="H29" s="32">
        <f t="shared" si="42"/>
        <v>3.2</v>
      </c>
      <c r="I29" s="32">
        <f t="shared" si="42"/>
        <v>80</v>
      </c>
      <c r="J29" s="32">
        <f t="shared" si="42"/>
        <v>40</v>
      </c>
      <c r="K29" s="32">
        <f t="shared" si="42"/>
        <v>80</v>
      </c>
      <c r="L29" s="32">
        <f t="shared" si="42"/>
        <v>80</v>
      </c>
      <c r="M29" s="32">
        <f t="shared" si="42"/>
        <v>80</v>
      </c>
      <c r="N29" s="32">
        <f t="shared" si="42"/>
        <v>80</v>
      </c>
      <c r="O29" s="32">
        <f t="shared" si="42"/>
        <v>80</v>
      </c>
      <c r="P29" s="32">
        <f t="shared" si="42"/>
        <v>80</v>
      </c>
      <c r="Q29" s="32">
        <f t="shared" si="42"/>
        <v>80</v>
      </c>
      <c r="R29" s="32">
        <f t="shared" si="42"/>
        <v>80</v>
      </c>
      <c r="S29" s="32">
        <f t="shared" si="42"/>
        <v>80</v>
      </c>
      <c r="T29" s="32">
        <f t="shared" si="42"/>
        <v>80</v>
      </c>
      <c r="U29" s="32">
        <f t="shared" si="42"/>
        <v>80</v>
      </c>
      <c r="V29" s="32">
        <f t="shared" si="42"/>
        <v>80</v>
      </c>
      <c r="W29" s="32">
        <f t="shared" si="42"/>
        <v>80</v>
      </c>
      <c r="X29" s="32">
        <f t="shared" si="42"/>
        <v>80</v>
      </c>
      <c r="Y29" s="32">
        <f t="shared" si="42"/>
        <v>80</v>
      </c>
      <c r="Z29" s="32">
        <f t="shared" si="42"/>
        <v>80</v>
      </c>
      <c r="AA29" s="32">
        <f t="shared" si="42"/>
        <v>80</v>
      </c>
      <c r="AB29" s="32">
        <f t="shared" si="42"/>
        <v>80</v>
      </c>
    </row>
    <row r="30" ht="15.75" customHeight="1">
      <c r="A30" s="21">
        <f>'Soul Energy Tiers'!J6</f>
        <v>160</v>
      </c>
      <c r="B30" s="5"/>
      <c r="C30" s="55" t="s">
        <v>19</v>
      </c>
      <c r="D30" s="32">
        <f t="shared" si="40"/>
        <v>160</v>
      </c>
      <c r="E30" s="5"/>
      <c r="F30" s="55" t="s">
        <v>19</v>
      </c>
      <c r="G30" s="32">
        <f t="shared" ref="G30:AB30" si="43">$A30/G$5</f>
        <v>3.555555556</v>
      </c>
      <c r="H30" s="32">
        <f t="shared" si="43"/>
        <v>6.4</v>
      </c>
      <c r="I30" s="32">
        <f t="shared" si="43"/>
        <v>160</v>
      </c>
      <c r="J30" s="32">
        <f t="shared" si="43"/>
        <v>80</v>
      </c>
      <c r="K30" s="32">
        <f t="shared" si="43"/>
        <v>160</v>
      </c>
      <c r="L30" s="32">
        <f t="shared" si="43"/>
        <v>160</v>
      </c>
      <c r="M30" s="32">
        <f t="shared" si="43"/>
        <v>160</v>
      </c>
      <c r="N30" s="32">
        <f t="shared" si="43"/>
        <v>160</v>
      </c>
      <c r="O30" s="32">
        <f t="shared" si="43"/>
        <v>160</v>
      </c>
      <c r="P30" s="32">
        <f t="shared" si="43"/>
        <v>160</v>
      </c>
      <c r="Q30" s="32">
        <f t="shared" si="43"/>
        <v>160</v>
      </c>
      <c r="R30" s="32">
        <f t="shared" si="43"/>
        <v>160</v>
      </c>
      <c r="S30" s="32">
        <f t="shared" si="43"/>
        <v>160</v>
      </c>
      <c r="T30" s="32">
        <f t="shared" si="43"/>
        <v>160</v>
      </c>
      <c r="U30" s="32">
        <f t="shared" si="43"/>
        <v>160</v>
      </c>
      <c r="V30" s="32">
        <f t="shared" si="43"/>
        <v>160</v>
      </c>
      <c r="W30" s="32">
        <f t="shared" si="43"/>
        <v>160</v>
      </c>
      <c r="X30" s="32">
        <f t="shared" si="43"/>
        <v>160</v>
      </c>
      <c r="Y30" s="32">
        <f t="shared" si="43"/>
        <v>160</v>
      </c>
      <c r="Z30" s="32">
        <f t="shared" si="43"/>
        <v>160</v>
      </c>
      <c r="AA30" s="32">
        <f t="shared" si="43"/>
        <v>160</v>
      </c>
      <c r="AB30" s="32">
        <f t="shared" si="43"/>
        <v>160</v>
      </c>
    </row>
    <row r="31" ht="15.75" customHeight="1">
      <c r="A31" s="21">
        <f>'Soul Energy Tiers'!J7</f>
        <v>320</v>
      </c>
      <c r="B31" s="5"/>
      <c r="C31" s="55" t="s">
        <v>21</v>
      </c>
      <c r="D31" s="32">
        <f t="shared" si="40"/>
        <v>320</v>
      </c>
      <c r="E31" s="5"/>
      <c r="F31" s="55" t="s">
        <v>21</v>
      </c>
      <c r="G31" s="32">
        <f t="shared" ref="G31:AB31" si="44">$A31/G$5</f>
        <v>7.111111111</v>
      </c>
      <c r="H31" s="32">
        <f t="shared" si="44"/>
        <v>12.8</v>
      </c>
      <c r="I31" s="32">
        <f t="shared" si="44"/>
        <v>320</v>
      </c>
      <c r="J31" s="32">
        <f t="shared" si="44"/>
        <v>160</v>
      </c>
      <c r="K31" s="32">
        <f t="shared" si="44"/>
        <v>320</v>
      </c>
      <c r="L31" s="32">
        <f t="shared" si="44"/>
        <v>320</v>
      </c>
      <c r="M31" s="32">
        <f t="shared" si="44"/>
        <v>320</v>
      </c>
      <c r="N31" s="32">
        <f t="shared" si="44"/>
        <v>320</v>
      </c>
      <c r="O31" s="32">
        <f t="shared" si="44"/>
        <v>320</v>
      </c>
      <c r="P31" s="32">
        <f t="shared" si="44"/>
        <v>320</v>
      </c>
      <c r="Q31" s="32">
        <f t="shared" si="44"/>
        <v>320</v>
      </c>
      <c r="R31" s="32">
        <f t="shared" si="44"/>
        <v>320</v>
      </c>
      <c r="S31" s="32">
        <f t="shared" si="44"/>
        <v>320</v>
      </c>
      <c r="T31" s="32">
        <f t="shared" si="44"/>
        <v>320</v>
      </c>
      <c r="U31" s="32">
        <f t="shared" si="44"/>
        <v>320</v>
      </c>
      <c r="V31" s="32">
        <f t="shared" si="44"/>
        <v>320</v>
      </c>
      <c r="W31" s="32">
        <f t="shared" si="44"/>
        <v>320</v>
      </c>
      <c r="X31" s="32">
        <f t="shared" si="44"/>
        <v>320</v>
      </c>
      <c r="Y31" s="32">
        <f t="shared" si="44"/>
        <v>320</v>
      </c>
      <c r="Z31" s="32">
        <f t="shared" si="44"/>
        <v>320</v>
      </c>
      <c r="AA31" s="32">
        <f t="shared" si="44"/>
        <v>320</v>
      </c>
      <c r="AB31" s="32">
        <f t="shared" si="44"/>
        <v>320</v>
      </c>
    </row>
    <row r="32" ht="15.75" customHeight="1">
      <c r="A32" s="21">
        <f>'Soul Energy Tiers'!J8</f>
        <v>640</v>
      </c>
      <c r="B32" s="5"/>
      <c r="C32" s="55" t="s">
        <v>23</v>
      </c>
      <c r="D32" s="32">
        <f t="shared" si="40"/>
        <v>640</v>
      </c>
      <c r="E32" s="5"/>
      <c r="F32" s="55" t="s">
        <v>23</v>
      </c>
      <c r="G32" s="32">
        <f t="shared" ref="G32:AB32" si="45">$A32/G$5</f>
        <v>14.22222222</v>
      </c>
      <c r="H32" s="32">
        <f t="shared" si="45"/>
        <v>25.6</v>
      </c>
      <c r="I32" s="32">
        <f t="shared" si="45"/>
        <v>640</v>
      </c>
      <c r="J32" s="32">
        <f t="shared" si="45"/>
        <v>320</v>
      </c>
      <c r="K32" s="32">
        <f t="shared" si="45"/>
        <v>640</v>
      </c>
      <c r="L32" s="32">
        <f t="shared" si="45"/>
        <v>640</v>
      </c>
      <c r="M32" s="32">
        <f t="shared" si="45"/>
        <v>640</v>
      </c>
      <c r="N32" s="32">
        <f t="shared" si="45"/>
        <v>640</v>
      </c>
      <c r="O32" s="32">
        <f t="shared" si="45"/>
        <v>640</v>
      </c>
      <c r="P32" s="32">
        <f t="shared" si="45"/>
        <v>640</v>
      </c>
      <c r="Q32" s="32">
        <f t="shared" si="45"/>
        <v>640</v>
      </c>
      <c r="R32" s="32">
        <f t="shared" si="45"/>
        <v>640</v>
      </c>
      <c r="S32" s="32">
        <f t="shared" si="45"/>
        <v>640</v>
      </c>
      <c r="T32" s="32">
        <f t="shared" si="45"/>
        <v>640</v>
      </c>
      <c r="U32" s="32">
        <f t="shared" si="45"/>
        <v>640</v>
      </c>
      <c r="V32" s="32">
        <f t="shared" si="45"/>
        <v>640</v>
      </c>
      <c r="W32" s="32">
        <f t="shared" si="45"/>
        <v>640</v>
      </c>
      <c r="X32" s="32">
        <f t="shared" si="45"/>
        <v>640</v>
      </c>
      <c r="Y32" s="32">
        <f t="shared" si="45"/>
        <v>640</v>
      </c>
      <c r="Z32" s="32">
        <f t="shared" si="45"/>
        <v>640</v>
      </c>
      <c r="AA32" s="32">
        <f t="shared" si="45"/>
        <v>640</v>
      </c>
      <c r="AB32" s="32">
        <f t="shared" si="45"/>
        <v>640</v>
      </c>
    </row>
    <row r="33" ht="15.75" customHeight="1">
      <c r="A33" s="21">
        <f>'Soul Energy Tiers'!J9</f>
        <v>1280</v>
      </c>
      <c r="B33" s="5"/>
      <c r="C33" s="55" t="s">
        <v>25</v>
      </c>
      <c r="D33" s="32">
        <f t="shared" si="40"/>
        <v>1280</v>
      </c>
      <c r="E33" s="5"/>
      <c r="F33" s="55" t="s">
        <v>25</v>
      </c>
      <c r="G33" s="32">
        <f t="shared" ref="G33:AB33" si="46">$A33/G$5</f>
        <v>28.44444444</v>
      </c>
      <c r="H33" s="32">
        <f t="shared" si="46"/>
        <v>51.2</v>
      </c>
      <c r="I33" s="32">
        <f t="shared" si="46"/>
        <v>1280</v>
      </c>
      <c r="J33" s="32">
        <f t="shared" si="46"/>
        <v>640</v>
      </c>
      <c r="K33" s="32">
        <f t="shared" si="46"/>
        <v>1280</v>
      </c>
      <c r="L33" s="32">
        <f t="shared" si="46"/>
        <v>1280</v>
      </c>
      <c r="M33" s="32">
        <f t="shared" si="46"/>
        <v>1280</v>
      </c>
      <c r="N33" s="32">
        <f t="shared" si="46"/>
        <v>1280</v>
      </c>
      <c r="O33" s="32">
        <f t="shared" si="46"/>
        <v>1280</v>
      </c>
      <c r="P33" s="32">
        <f t="shared" si="46"/>
        <v>1280</v>
      </c>
      <c r="Q33" s="32">
        <f t="shared" si="46"/>
        <v>1280</v>
      </c>
      <c r="R33" s="32">
        <f t="shared" si="46"/>
        <v>1280</v>
      </c>
      <c r="S33" s="32">
        <f t="shared" si="46"/>
        <v>1280</v>
      </c>
      <c r="T33" s="32">
        <f t="shared" si="46"/>
        <v>1280</v>
      </c>
      <c r="U33" s="32">
        <f t="shared" si="46"/>
        <v>1280</v>
      </c>
      <c r="V33" s="32">
        <f t="shared" si="46"/>
        <v>1280</v>
      </c>
      <c r="W33" s="32">
        <f t="shared" si="46"/>
        <v>1280</v>
      </c>
      <c r="X33" s="32">
        <f t="shared" si="46"/>
        <v>1280</v>
      </c>
      <c r="Y33" s="32">
        <f t="shared" si="46"/>
        <v>1280</v>
      </c>
      <c r="Z33" s="32">
        <f t="shared" si="46"/>
        <v>1280</v>
      </c>
      <c r="AA33" s="32">
        <f t="shared" si="46"/>
        <v>1280</v>
      </c>
      <c r="AB33" s="32">
        <f t="shared" si="46"/>
        <v>1280</v>
      </c>
    </row>
    <row r="34" ht="15.75" customHeight="1">
      <c r="A34" s="21">
        <f>'Soul Energy Tiers'!J10</f>
        <v>2560</v>
      </c>
      <c r="B34" s="5"/>
      <c r="C34" s="55" t="s">
        <v>27</v>
      </c>
      <c r="D34" s="32">
        <f t="shared" si="40"/>
        <v>2560</v>
      </c>
      <c r="E34" s="5"/>
      <c r="F34" s="55" t="s">
        <v>27</v>
      </c>
      <c r="G34" s="32">
        <f t="shared" ref="G34:AB34" si="47">$A34/G$5</f>
        <v>56.88888889</v>
      </c>
      <c r="H34" s="32">
        <f t="shared" si="47"/>
        <v>102.4</v>
      </c>
      <c r="I34" s="32">
        <f t="shared" si="47"/>
        <v>2560</v>
      </c>
      <c r="J34" s="32">
        <f t="shared" si="47"/>
        <v>1280</v>
      </c>
      <c r="K34" s="32">
        <f t="shared" si="47"/>
        <v>2560</v>
      </c>
      <c r="L34" s="32">
        <f t="shared" si="47"/>
        <v>2560</v>
      </c>
      <c r="M34" s="32">
        <f t="shared" si="47"/>
        <v>2560</v>
      </c>
      <c r="N34" s="32">
        <f t="shared" si="47"/>
        <v>2560</v>
      </c>
      <c r="O34" s="32">
        <f t="shared" si="47"/>
        <v>2560</v>
      </c>
      <c r="P34" s="32">
        <f t="shared" si="47"/>
        <v>2560</v>
      </c>
      <c r="Q34" s="32">
        <f t="shared" si="47"/>
        <v>2560</v>
      </c>
      <c r="R34" s="32">
        <f t="shared" si="47"/>
        <v>2560</v>
      </c>
      <c r="S34" s="32">
        <f t="shared" si="47"/>
        <v>2560</v>
      </c>
      <c r="T34" s="32">
        <f t="shared" si="47"/>
        <v>2560</v>
      </c>
      <c r="U34" s="32">
        <f t="shared" si="47"/>
        <v>2560</v>
      </c>
      <c r="V34" s="32">
        <f t="shared" si="47"/>
        <v>2560</v>
      </c>
      <c r="W34" s="32">
        <f t="shared" si="47"/>
        <v>2560</v>
      </c>
      <c r="X34" s="32">
        <f t="shared" si="47"/>
        <v>2560</v>
      </c>
      <c r="Y34" s="32">
        <f t="shared" si="47"/>
        <v>2560</v>
      </c>
      <c r="Z34" s="32">
        <f t="shared" si="47"/>
        <v>2560</v>
      </c>
      <c r="AA34" s="32">
        <f t="shared" si="47"/>
        <v>2560</v>
      </c>
      <c r="AB34" s="32">
        <f t="shared" si="47"/>
        <v>2560</v>
      </c>
    </row>
    <row r="35" ht="15.75" customHeight="1">
      <c r="A35" s="21">
        <f>'Soul Energy Tiers'!J11</f>
        <v>5120</v>
      </c>
      <c r="B35" s="5"/>
      <c r="C35" s="55" t="s">
        <v>29</v>
      </c>
      <c r="D35" s="32">
        <f t="shared" si="40"/>
        <v>5120</v>
      </c>
      <c r="E35" s="5"/>
      <c r="F35" s="55" t="s">
        <v>29</v>
      </c>
      <c r="G35" s="32">
        <f t="shared" ref="G35:AB35" si="48">$A35/G$5</f>
        <v>113.7777778</v>
      </c>
      <c r="H35" s="32">
        <f t="shared" si="48"/>
        <v>204.8</v>
      </c>
      <c r="I35" s="32">
        <f t="shared" si="48"/>
        <v>5120</v>
      </c>
      <c r="J35" s="32">
        <f t="shared" si="48"/>
        <v>2560</v>
      </c>
      <c r="K35" s="32">
        <f t="shared" si="48"/>
        <v>5120</v>
      </c>
      <c r="L35" s="32">
        <f t="shared" si="48"/>
        <v>5120</v>
      </c>
      <c r="M35" s="32">
        <f t="shared" si="48"/>
        <v>5120</v>
      </c>
      <c r="N35" s="32">
        <f t="shared" si="48"/>
        <v>5120</v>
      </c>
      <c r="O35" s="32">
        <f t="shared" si="48"/>
        <v>5120</v>
      </c>
      <c r="P35" s="32">
        <f t="shared" si="48"/>
        <v>5120</v>
      </c>
      <c r="Q35" s="32">
        <f t="shared" si="48"/>
        <v>5120</v>
      </c>
      <c r="R35" s="32">
        <f t="shared" si="48"/>
        <v>5120</v>
      </c>
      <c r="S35" s="32">
        <f t="shared" si="48"/>
        <v>5120</v>
      </c>
      <c r="T35" s="32">
        <f t="shared" si="48"/>
        <v>5120</v>
      </c>
      <c r="U35" s="32">
        <f t="shared" si="48"/>
        <v>5120</v>
      </c>
      <c r="V35" s="32">
        <f t="shared" si="48"/>
        <v>5120</v>
      </c>
      <c r="W35" s="32">
        <f t="shared" si="48"/>
        <v>5120</v>
      </c>
      <c r="X35" s="32">
        <f t="shared" si="48"/>
        <v>5120</v>
      </c>
      <c r="Y35" s="32">
        <f t="shared" si="48"/>
        <v>5120</v>
      </c>
      <c r="Z35" s="32">
        <f t="shared" si="48"/>
        <v>5120</v>
      </c>
      <c r="AA35" s="32">
        <f t="shared" si="48"/>
        <v>5120</v>
      </c>
      <c r="AB35" s="32">
        <f t="shared" si="48"/>
        <v>5120</v>
      </c>
    </row>
    <row r="36" ht="15.75" customHeight="1">
      <c r="A36" s="21">
        <f>'Soul Energy Tiers'!J12</f>
        <v>10240</v>
      </c>
      <c r="B36" s="5"/>
      <c r="C36" s="55" t="s">
        <v>31</v>
      </c>
      <c r="D36" s="32">
        <f t="shared" si="40"/>
        <v>10240</v>
      </c>
      <c r="E36" s="5"/>
      <c r="F36" s="55" t="s">
        <v>31</v>
      </c>
      <c r="G36" s="32">
        <f t="shared" ref="G36:AB36" si="49">$A36/G$5</f>
        <v>227.5555556</v>
      </c>
      <c r="H36" s="32">
        <f t="shared" si="49"/>
        <v>409.6</v>
      </c>
      <c r="I36" s="32">
        <f t="shared" si="49"/>
        <v>10240</v>
      </c>
      <c r="J36" s="32">
        <f t="shared" si="49"/>
        <v>5120</v>
      </c>
      <c r="K36" s="32">
        <f t="shared" si="49"/>
        <v>10240</v>
      </c>
      <c r="L36" s="32">
        <f t="shared" si="49"/>
        <v>10240</v>
      </c>
      <c r="M36" s="32">
        <f t="shared" si="49"/>
        <v>10240</v>
      </c>
      <c r="N36" s="32">
        <f t="shared" si="49"/>
        <v>10240</v>
      </c>
      <c r="O36" s="32">
        <f t="shared" si="49"/>
        <v>10240</v>
      </c>
      <c r="P36" s="32">
        <f t="shared" si="49"/>
        <v>10240</v>
      </c>
      <c r="Q36" s="32">
        <f t="shared" si="49"/>
        <v>10240</v>
      </c>
      <c r="R36" s="32">
        <f t="shared" si="49"/>
        <v>10240</v>
      </c>
      <c r="S36" s="32">
        <f t="shared" si="49"/>
        <v>10240</v>
      </c>
      <c r="T36" s="32">
        <f t="shared" si="49"/>
        <v>10240</v>
      </c>
      <c r="U36" s="32">
        <f t="shared" si="49"/>
        <v>10240</v>
      </c>
      <c r="V36" s="32">
        <f t="shared" si="49"/>
        <v>10240</v>
      </c>
      <c r="W36" s="32">
        <f t="shared" si="49"/>
        <v>10240</v>
      </c>
      <c r="X36" s="32">
        <f t="shared" si="49"/>
        <v>10240</v>
      </c>
      <c r="Y36" s="32">
        <f t="shared" si="49"/>
        <v>10240</v>
      </c>
      <c r="Z36" s="32">
        <f t="shared" si="49"/>
        <v>10240</v>
      </c>
      <c r="AA36" s="32">
        <f t="shared" si="49"/>
        <v>10240</v>
      </c>
      <c r="AB36" s="32">
        <f t="shared" si="49"/>
        <v>10240</v>
      </c>
    </row>
    <row r="37" ht="15.75" customHeight="1">
      <c r="A37" s="21">
        <f>'Soul Energy Tiers'!J13</f>
        <v>20480</v>
      </c>
      <c r="B37" s="5"/>
      <c r="C37" s="55" t="s">
        <v>33</v>
      </c>
      <c r="D37" s="32">
        <f t="shared" si="40"/>
        <v>20480</v>
      </c>
      <c r="E37" s="5"/>
      <c r="F37" s="55" t="s">
        <v>33</v>
      </c>
      <c r="G37" s="32">
        <f t="shared" ref="G37:AB37" si="50">$A37/G$5</f>
        <v>455.1111111</v>
      </c>
      <c r="H37" s="32">
        <f t="shared" si="50"/>
        <v>819.2</v>
      </c>
      <c r="I37" s="32">
        <f t="shared" si="50"/>
        <v>20480</v>
      </c>
      <c r="J37" s="32">
        <f t="shared" si="50"/>
        <v>10240</v>
      </c>
      <c r="K37" s="32">
        <f t="shared" si="50"/>
        <v>20480</v>
      </c>
      <c r="L37" s="32">
        <f t="shared" si="50"/>
        <v>20480</v>
      </c>
      <c r="M37" s="32">
        <f t="shared" si="50"/>
        <v>20480</v>
      </c>
      <c r="N37" s="32">
        <f t="shared" si="50"/>
        <v>20480</v>
      </c>
      <c r="O37" s="32">
        <f t="shared" si="50"/>
        <v>20480</v>
      </c>
      <c r="P37" s="32">
        <f t="shared" si="50"/>
        <v>20480</v>
      </c>
      <c r="Q37" s="32">
        <f t="shared" si="50"/>
        <v>20480</v>
      </c>
      <c r="R37" s="32">
        <f t="shared" si="50"/>
        <v>20480</v>
      </c>
      <c r="S37" s="32">
        <f t="shared" si="50"/>
        <v>20480</v>
      </c>
      <c r="T37" s="32">
        <f t="shared" si="50"/>
        <v>20480</v>
      </c>
      <c r="U37" s="32">
        <f t="shared" si="50"/>
        <v>20480</v>
      </c>
      <c r="V37" s="32">
        <f t="shared" si="50"/>
        <v>20480</v>
      </c>
      <c r="W37" s="32">
        <f t="shared" si="50"/>
        <v>20480</v>
      </c>
      <c r="X37" s="32">
        <f t="shared" si="50"/>
        <v>20480</v>
      </c>
      <c r="Y37" s="32">
        <f t="shared" si="50"/>
        <v>20480</v>
      </c>
      <c r="Z37" s="32">
        <f t="shared" si="50"/>
        <v>20480</v>
      </c>
      <c r="AA37" s="32">
        <f t="shared" si="50"/>
        <v>20480</v>
      </c>
      <c r="AB37" s="32">
        <f t="shared" si="50"/>
        <v>20480</v>
      </c>
    </row>
    <row r="38" ht="15.75" customHeight="1">
      <c r="A38" s="21">
        <f>'Soul Energy Tiers'!J14</f>
        <v>40960</v>
      </c>
      <c r="B38" s="5"/>
      <c r="C38" s="55" t="s">
        <v>35</v>
      </c>
      <c r="D38" s="32">
        <f t="shared" si="40"/>
        <v>40960</v>
      </c>
      <c r="E38" s="5"/>
      <c r="F38" s="55" t="s">
        <v>35</v>
      </c>
      <c r="G38" s="32">
        <f t="shared" ref="G38:AB38" si="51">$A38/G$5</f>
        <v>910.2222222</v>
      </c>
      <c r="H38" s="32">
        <f t="shared" si="51"/>
        <v>1638.4</v>
      </c>
      <c r="I38" s="32">
        <f t="shared" si="51"/>
        <v>40960</v>
      </c>
      <c r="J38" s="32">
        <f t="shared" si="51"/>
        <v>20480</v>
      </c>
      <c r="K38" s="32">
        <f t="shared" si="51"/>
        <v>40960</v>
      </c>
      <c r="L38" s="32">
        <f t="shared" si="51"/>
        <v>40960</v>
      </c>
      <c r="M38" s="32">
        <f t="shared" si="51"/>
        <v>40960</v>
      </c>
      <c r="N38" s="32">
        <f t="shared" si="51"/>
        <v>40960</v>
      </c>
      <c r="O38" s="32">
        <f t="shared" si="51"/>
        <v>40960</v>
      </c>
      <c r="P38" s="32">
        <f t="shared" si="51"/>
        <v>40960</v>
      </c>
      <c r="Q38" s="32">
        <f t="shared" si="51"/>
        <v>40960</v>
      </c>
      <c r="R38" s="32">
        <f t="shared" si="51"/>
        <v>40960</v>
      </c>
      <c r="S38" s="32">
        <f t="shared" si="51"/>
        <v>40960</v>
      </c>
      <c r="T38" s="32">
        <f t="shared" si="51"/>
        <v>40960</v>
      </c>
      <c r="U38" s="32">
        <f t="shared" si="51"/>
        <v>40960</v>
      </c>
      <c r="V38" s="32">
        <f t="shared" si="51"/>
        <v>40960</v>
      </c>
      <c r="W38" s="32">
        <f t="shared" si="51"/>
        <v>40960</v>
      </c>
      <c r="X38" s="32">
        <f t="shared" si="51"/>
        <v>40960</v>
      </c>
      <c r="Y38" s="32">
        <f t="shared" si="51"/>
        <v>40960</v>
      </c>
      <c r="Z38" s="32">
        <f t="shared" si="51"/>
        <v>40960</v>
      </c>
      <c r="AA38" s="32">
        <f t="shared" si="51"/>
        <v>40960</v>
      </c>
      <c r="AB38" s="32">
        <f t="shared" si="51"/>
        <v>40960</v>
      </c>
    </row>
    <row r="39" ht="15.75" customHeight="1">
      <c r="A39" s="21">
        <f>'Soul Energy Tiers'!J15</f>
        <v>81920</v>
      </c>
      <c r="B39" s="5"/>
      <c r="C39" s="55" t="s">
        <v>37</v>
      </c>
      <c r="D39" s="32">
        <f t="shared" si="40"/>
        <v>81920</v>
      </c>
      <c r="E39" s="5"/>
      <c r="F39" s="55" t="s">
        <v>37</v>
      </c>
      <c r="G39" s="32">
        <f t="shared" ref="G39:AB39" si="52">$A39/G$5</f>
        <v>1820.444444</v>
      </c>
      <c r="H39" s="32">
        <f t="shared" si="52"/>
        <v>3276.8</v>
      </c>
      <c r="I39" s="32">
        <f t="shared" si="52"/>
        <v>81920</v>
      </c>
      <c r="J39" s="32">
        <f t="shared" si="52"/>
        <v>40960</v>
      </c>
      <c r="K39" s="32">
        <f t="shared" si="52"/>
        <v>81920</v>
      </c>
      <c r="L39" s="32">
        <f t="shared" si="52"/>
        <v>81920</v>
      </c>
      <c r="M39" s="32">
        <f t="shared" si="52"/>
        <v>81920</v>
      </c>
      <c r="N39" s="32">
        <f t="shared" si="52"/>
        <v>81920</v>
      </c>
      <c r="O39" s="32">
        <f t="shared" si="52"/>
        <v>81920</v>
      </c>
      <c r="P39" s="32">
        <f t="shared" si="52"/>
        <v>81920</v>
      </c>
      <c r="Q39" s="32">
        <f t="shared" si="52"/>
        <v>81920</v>
      </c>
      <c r="R39" s="32">
        <f t="shared" si="52"/>
        <v>81920</v>
      </c>
      <c r="S39" s="32">
        <f t="shared" si="52"/>
        <v>81920</v>
      </c>
      <c r="T39" s="32">
        <f t="shared" si="52"/>
        <v>81920</v>
      </c>
      <c r="U39" s="32">
        <f t="shared" si="52"/>
        <v>81920</v>
      </c>
      <c r="V39" s="32">
        <f t="shared" si="52"/>
        <v>81920</v>
      </c>
      <c r="W39" s="32">
        <f t="shared" si="52"/>
        <v>81920</v>
      </c>
      <c r="X39" s="32">
        <f t="shared" si="52"/>
        <v>81920</v>
      </c>
      <c r="Y39" s="32">
        <f t="shared" si="52"/>
        <v>81920</v>
      </c>
      <c r="Z39" s="32">
        <f t="shared" si="52"/>
        <v>81920</v>
      </c>
      <c r="AA39" s="32">
        <f t="shared" si="52"/>
        <v>81920</v>
      </c>
      <c r="AB39" s="32">
        <f t="shared" si="52"/>
        <v>81920</v>
      </c>
    </row>
    <row r="40" ht="15.75" customHeight="1">
      <c r="A40" s="21">
        <f>'Soul Energy Tiers'!J16</f>
        <v>163840</v>
      </c>
      <c r="B40" s="5"/>
      <c r="C40" s="55" t="s">
        <v>39</v>
      </c>
      <c r="D40" s="32">
        <f t="shared" si="40"/>
        <v>163840</v>
      </c>
      <c r="E40" s="5"/>
      <c r="F40" s="55" t="s">
        <v>39</v>
      </c>
      <c r="G40" s="32">
        <f t="shared" ref="G40:AB40" si="53">$A40/G$5</f>
        <v>3640.888889</v>
      </c>
      <c r="H40" s="32">
        <f t="shared" si="53"/>
        <v>6553.6</v>
      </c>
      <c r="I40" s="32">
        <f t="shared" si="53"/>
        <v>163840</v>
      </c>
      <c r="J40" s="32">
        <f t="shared" si="53"/>
        <v>81920</v>
      </c>
      <c r="K40" s="32">
        <f t="shared" si="53"/>
        <v>163840</v>
      </c>
      <c r="L40" s="32">
        <f t="shared" si="53"/>
        <v>163840</v>
      </c>
      <c r="M40" s="32">
        <f t="shared" si="53"/>
        <v>163840</v>
      </c>
      <c r="N40" s="32">
        <f t="shared" si="53"/>
        <v>163840</v>
      </c>
      <c r="O40" s="32">
        <f t="shared" si="53"/>
        <v>163840</v>
      </c>
      <c r="P40" s="32">
        <f t="shared" si="53"/>
        <v>163840</v>
      </c>
      <c r="Q40" s="32">
        <f t="shared" si="53"/>
        <v>163840</v>
      </c>
      <c r="R40" s="32">
        <f t="shared" si="53"/>
        <v>163840</v>
      </c>
      <c r="S40" s="32">
        <f t="shared" si="53"/>
        <v>163840</v>
      </c>
      <c r="T40" s="32">
        <f t="shared" si="53"/>
        <v>163840</v>
      </c>
      <c r="U40" s="32">
        <f t="shared" si="53"/>
        <v>163840</v>
      </c>
      <c r="V40" s="32">
        <f t="shared" si="53"/>
        <v>163840</v>
      </c>
      <c r="W40" s="32">
        <f t="shared" si="53"/>
        <v>163840</v>
      </c>
      <c r="X40" s="32">
        <f t="shared" si="53"/>
        <v>163840</v>
      </c>
      <c r="Y40" s="32">
        <f t="shared" si="53"/>
        <v>163840</v>
      </c>
      <c r="Z40" s="32">
        <f t="shared" si="53"/>
        <v>163840</v>
      </c>
      <c r="AA40" s="32">
        <f t="shared" si="53"/>
        <v>163840</v>
      </c>
      <c r="AB40" s="32">
        <f t="shared" si="53"/>
        <v>163840</v>
      </c>
    </row>
    <row r="41" ht="15.75" customHeight="1">
      <c r="A41" s="21">
        <f>'Soul Energy Tiers'!J17</f>
        <v>327680</v>
      </c>
      <c r="B41" s="5"/>
      <c r="C41" s="55" t="s">
        <v>41</v>
      </c>
      <c r="D41" s="32">
        <f t="shared" si="40"/>
        <v>327680</v>
      </c>
      <c r="E41" s="5"/>
      <c r="F41" s="55" t="s">
        <v>41</v>
      </c>
      <c r="G41" s="32">
        <f t="shared" ref="G41:AB41" si="54">$A41/G$5</f>
        <v>7281.777778</v>
      </c>
      <c r="H41" s="32">
        <f t="shared" si="54"/>
        <v>13107.2</v>
      </c>
      <c r="I41" s="32">
        <f t="shared" si="54"/>
        <v>327680</v>
      </c>
      <c r="J41" s="32">
        <f t="shared" si="54"/>
        <v>163840</v>
      </c>
      <c r="K41" s="32">
        <f t="shared" si="54"/>
        <v>327680</v>
      </c>
      <c r="L41" s="32">
        <f t="shared" si="54"/>
        <v>327680</v>
      </c>
      <c r="M41" s="32">
        <f t="shared" si="54"/>
        <v>327680</v>
      </c>
      <c r="N41" s="32">
        <f t="shared" si="54"/>
        <v>327680</v>
      </c>
      <c r="O41" s="32">
        <f t="shared" si="54"/>
        <v>327680</v>
      </c>
      <c r="P41" s="32">
        <f t="shared" si="54"/>
        <v>327680</v>
      </c>
      <c r="Q41" s="32">
        <f t="shared" si="54"/>
        <v>327680</v>
      </c>
      <c r="R41" s="32">
        <f t="shared" si="54"/>
        <v>327680</v>
      </c>
      <c r="S41" s="32">
        <f t="shared" si="54"/>
        <v>327680</v>
      </c>
      <c r="T41" s="32">
        <f t="shared" si="54"/>
        <v>327680</v>
      </c>
      <c r="U41" s="32">
        <f t="shared" si="54"/>
        <v>327680</v>
      </c>
      <c r="V41" s="32">
        <f t="shared" si="54"/>
        <v>327680</v>
      </c>
      <c r="W41" s="32">
        <f t="shared" si="54"/>
        <v>327680</v>
      </c>
      <c r="X41" s="32">
        <f t="shared" si="54"/>
        <v>327680</v>
      </c>
      <c r="Y41" s="32">
        <f t="shared" si="54"/>
        <v>327680</v>
      </c>
      <c r="Z41" s="32">
        <f t="shared" si="54"/>
        <v>327680</v>
      </c>
      <c r="AA41" s="32">
        <f t="shared" si="54"/>
        <v>327680</v>
      </c>
      <c r="AB41" s="32">
        <f t="shared" si="54"/>
        <v>327680</v>
      </c>
    </row>
    <row r="42" ht="15.75" customHeight="1">
      <c r="A42" s="21">
        <f>'Soul Energy Tiers'!J18</f>
        <v>655360</v>
      </c>
      <c r="B42" s="5"/>
      <c r="C42" s="55" t="s">
        <v>43</v>
      </c>
      <c r="D42" s="32">
        <f t="shared" si="40"/>
        <v>655360</v>
      </c>
      <c r="E42" s="5"/>
      <c r="F42" s="55" t="s">
        <v>43</v>
      </c>
      <c r="G42" s="32">
        <f t="shared" ref="G42:AB42" si="55">$A42/G$5</f>
        <v>14563.55556</v>
      </c>
      <c r="H42" s="32">
        <f t="shared" si="55"/>
        <v>26214.4</v>
      </c>
      <c r="I42" s="32">
        <f t="shared" si="55"/>
        <v>655360</v>
      </c>
      <c r="J42" s="32">
        <f t="shared" si="55"/>
        <v>327680</v>
      </c>
      <c r="K42" s="32">
        <f t="shared" si="55"/>
        <v>655360</v>
      </c>
      <c r="L42" s="32">
        <f t="shared" si="55"/>
        <v>655360</v>
      </c>
      <c r="M42" s="32">
        <f t="shared" si="55"/>
        <v>655360</v>
      </c>
      <c r="N42" s="32">
        <f t="shared" si="55"/>
        <v>655360</v>
      </c>
      <c r="O42" s="32">
        <f t="shared" si="55"/>
        <v>655360</v>
      </c>
      <c r="P42" s="32">
        <f t="shared" si="55"/>
        <v>655360</v>
      </c>
      <c r="Q42" s="32">
        <f t="shared" si="55"/>
        <v>655360</v>
      </c>
      <c r="R42" s="32">
        <f t="shared" si="55"/>
        <v>655360</v>
      </c>
      <c r="S42" s="32">
        <f t="shared" si="55"/>
        <v>655360</v>
      </c>
      <c r="T42" s="32">
        <f t="shared" si="55"/>
        <v>655360</v>
      </c>
      <c r="U42" s="32">
        <f t="shared" si="55"/>
        <v>655360</v>
      </c>
      <c r="V42" s="32">
        <f t="shared" si="55"/>
        <v>655360</v>
      </c>
      <c r="W42" s="32">
        <f t="shared" si="55"/>
        <v>655360</v>
      </c>
      <c r="X42" s="32">
        <f t="shared" si="55"/>
        <v>655360</v>
      </c>
      <c r="Y42" s="32">
        <f t="shared" si="55"/>
        <v>655360</v>
      </c>
      <c r="Z42" s="32">
        <f t="shared" si="55"/>
        <v>655360</v>
      </c>
      <c r="AA42" s="32">
        <f t="shared" si="55"/>
        <v>655360</v>
      </c>
      <c r="AB42" s="32">
        <f t="shared" si="55"/>
        <v>655360</v>
      </c>
    </row>
    <row r="43" ht="15.75" customHeight="1">
      <c r="A43" s="21">
        <f>'Soul Energy Tiers'!J19</f>
        <v>1310720</v>
      </c>
      <c r="B43" s="5"/>
      <c r="C43" s="55" t="s">
        <v>45</v>
      </c>
      <c r="D43" s="32">
        <f t="shared" si="40"/>
        <v>1310720</v>
      </c>
      <c r="E43" s="5"/>
      <c r="F43" s="55" t="s">
        <v>45</v>
      </c>
      <c r="G43" s="32">
        <f t="shared" ref="G43:AB43" si="56">$A43/G$5</f>
        <v>29127.11111</v>
      </c>
      <c r="H43" s="32">
        <f t="shared" si="56"/>
        <v>52428.8</v>
      </c>
      <c r="I43" s="32">
        <f t="shared" si="56"/>
        <v>1310720</v>
      </c>
      <c r="J43" s="32">
        <f t="shared" si="56"/>
        <v>655360</v>
      </c>
      <c r="K43" s="32">
        <f t="shared" si="56"/>
        <v>1310720</v>
      </c>
      <c r="L43" s="32">
        <f t="shared" si="56"/>
        <v>1310720</v>
      </c>
      <c r="M43" s="32">
        <f t="shared" si="56"/>
        <v>1310720</v>
      </c>
      <c r="N43" s="32">
        <f t="shared" si="56"/>
        <v>1310720</v>
      </c>
      <c r="O43" s="32">
        <f t="shared" si="56"/>
        <v>1310720</v>
      </c>
      <c r="P43" s="32">
        <f t="shared" si="56"/>
        <v>1310720</v>
      </c>
      <c r="Q43" s="32">
        <f t="shared" si="56"/>
        <v>1310720</v>
      </c>
      <c r="R43" s="32">
        <f t="shared" si="56"/>
        <v>1310720</v>
      </c>
      <c r="S43" s="32">
        <f t="shared" si="56"/>
        <v>1310720</v>
      </c>
      <c r="T43" s="32">
        <f t="shared" si="56"/>
        <v>1310720</v>
      </c>
      <c r="U43" s="32">
        <f t="shared" si="56"/>
        <v>1310720</v>
      </c>
      <c r="V43" s="32">
        <f t="shared" si="56"/>
        <v>1310720</v>
      </c>
      <c r="W43" s="32">
        <f t="shared" si="56"/>
        <v>1310720</v>
      </c>
      <c r="X43" s="32">
        <f t="shared" si="56"/>
        <v>1310720</v>
      </c>
      <c r="Y43" s="32">
        <f t="shared" si="56"/>
        <v>1310720</v>
      </c>
      <c r="Z43" s="32">
        <f t="shared" si="56"/>
        <v>1310720</v>
      </c>
      <c r="AA43" s="32">
        <f t="shared" si="56"/>
        <v>1310720</v>
      </c>
      <c r="AB43" s="32">
        <f t="shared" si="56"/>
        <v>1310720</v>
      </c>
    </row>
    <row r="44" ht="15.75" customHeight="1">
      <c r="A44" s="35"/>
      <c r="B44" s="5"/>
      <c r="C44" s="5"/>
      <c r="E44" s="5"/>
      <c r="F44" s="35"/>
      <c r="G44" s="35" t="s">
        <v>76</v>
      </c>
    </row>
    <row r="45" ht="15.75" customHeight="1">
      <c r="A45" s="52" t="s">
        <v>75</v>
      </c>
      <c r="B45" s="5"/>
      <c r="C45" s="10" t="s">
        <v>3</v>
      </c>
      <c r="D45" s="10" t="s">
        <v>55</v>
      </c>
      <c r="E45" s="5"/>
      <c r="F45" s="53" t="s">
        <v>3</v>
      </c>
      <c r="G45" s="45" t="str">
        <f t="shared" ref="G45:AB45" si="57">G26</f>
        <v>Flinga</v>
      </c>
      <c r="H45" s="45" t="str">
        <f t="shared" si="57"/>
        <v>Nari Worms</v>
      </c>
      <c r="I45" s="45" t="str">
        <f t="shared" si="57"/>
        <v>Bruntos</v>
      </c>
      <c r="J45" s="45" t="str">
        <f t="shared" si="57"/>
        <v>White Roundies</v>
      </c>
      <c r="K45" s="45" t="str">
        <f t="shared" si="57"/>
        <v/>
      </c>
      <c r="L45" s="45" t="str">
        <f t="shared" si="57"/>
        <v/>
      </c>
      <c r="M45" s="45" t="str">
        <f t="shared" si="57"/>
        <v/>
      </c>
      <c r="N45" s="45" t="str">
        <f t="shared" si="57"/>
        <v/>
      </c>
      <c r="O45" s="45" t="str">
        <f t="shared" si="57"/>
        <v/>
      </c>
      <c r="P45" s="45" t="str">
        <f t="shared" si="57"/>
        <v/>
      </c>
      <c r="Q45" s="45" t="str">
        <f t="shared" si="57"/>
        <v/>
      </c>
      <c r="R45" s="45" t="str">
        <f t="shared" si="57"/>
        <v/>
      </c>
      <c r="S45" s="45" t="str">
        <f t="shared" si="57"/>
        <v/>
      </c>
      <c r="T45" s="45" t="str">
        <f t="shared" si="57"/>
        <v/>
      </c>
      <c r="U45" s="45" t="str">
        <f t="shared" si="57"/>
        <v/>
      </c>
      <c r="V45" s="45" t="str">
        <f t="shared" si="57"/>
        <v/>
      </c>
      <c r="W45" s="45" t="str">
        <f t="shared" si="57"/>
        <v/>
      </c>
      <c r="X45" s="45" t="str">
        <f t="shared" si="57"/>
        <v/>
      </c>
      <c r="Y45" s="45" t="str">
        <f t="shared" si="57"/>
        <v/>
      </c>
      <c r="Z45" s="45" t="str">
        <f t="shared" si="57"/>
        <v/>
      </c>
      <c r="AA45" s="45" t="str">
        <f t="shared" si="57"/>
        <v/>
      </c>
      <c r="AB45" s="45" t="str">
        <f t="shared" si="57"/>
        <v/>
      </c>
    </row>
    <row r="46" ht="15.75" customHeight="1">
      <c r="A46" s="21">
        <f>'Soul Energy Tiers'!J3</f>
        <v>20</v>
      </c>
      <c r="B46" s="5"/>
      <c r="C46" s="54" t="s">
        <v>13</v>
      </c>
      <c r="D46" s="23">
        <f t="shared" ref="D46:D62" si="59">($A46/D$5)/365</f>
        <v>0.05479452055</v>
      </c>
      <c r="E46" s="5"/>
      <c r="F46" s="54" t="s">
        <v>13</v>
      </c>
      <c r="G46" s="32">
        <f t="shared" ref="G46:AB46" si="58">($A46/G$5)/365</f>
        <v>0.001217656012</v>
      </c>
      <c r="H46" s="32">
        <f t="shared" si="58"/>
        <v>0.002191780822</v>
      </c>
      <c r="I46" s="32">
        <f t="shared" si="58"/>
        <v>0.05479452055</v>
      </c>
      <c r="J46" s="32">
        <f t="shared" si="58"/>
        <v>0.02739726027</v>
      </c>
      <c r="K46" s="32">
        <f t="shared" si="58"/>
        <v>0.05479452055</v>
      </c>
      <c r="L46" s="32">
        <f t="shared" si="58"/>
        <v>0.05479452055</v>
      </c>
      <c r="M46" s="32">
        <f t="shared" si="58"/>
        <v>0.05479452055</v>
      </c>
      <c r="N46" s="32">
        <f t="shared" si="58"/>
        <v>0.05479452055</v>
      </c>
      <c r="O46" s="32">
        <f t="shared" si="58"/>
        <v>0.05479452055</v>
      </c>
      <c r="P46" s="32">
        <f t="shared" si="58"/>
        <v>0.05479452055</v>
      </c>
      <c r="Q46" s="32">
        <f t="shared" si="58"/>
        <v>0.05479452055</v>
      </c>
      <c r="R46" s="32">
        <f t="shared" si="58"/>
        <v>0.05479452055</v>
      </c>
      <c r="S46" s="32">
        <f t="shared" si="58"/>
        <v>0.05479452055</v>
      </c>
      <c r="T46" s="32">
        <f t="shared" si="58"/>
        <v>0.05479452055</v>
      </c>
      <c r="U46" s="32">
        <f t="shared" si="58"/>
        <v>0.05479452055</v>
      </c>
      <c r="V46" s="32">
        <f t="shared" si="58"/>
        <v>0.05479452055</v>
      </c>
      <c r="W46" s="32">
        <f t="shared" si="58"/>
        <v>0.05479452055</v>
      </c>
      <c r="X46" s="32">
        <f t="shared" si="58"/>
        <v>0.05479452055</v>
      </c>
      <c r="Y46" s="32">
        <f t="shared" si="58"/>
        <v>0.05479452055</v>
      </c>
      <c r="Z46" s="32">
        <f t="shared" si="58"/>
        <v>0.05479452055</v>
      </c>
      <c r="AA46" s="32">
        <f t="shared" si="58"/>
        <v>0.05479452055</v>
      </c>
      <c r="AB46" s="32">
        <f t="shared" si="58"/>
        <v>0.05479452055</v>
      </c>
    </row>
    <row r="47" ht="15.75" customHeight="1">
      <c r="A47" s="21">
        <f>'Soul Energy Tiers'!J4</f>
        <v>40</v>
      </c>
      <c r="B47" s="5"/>
      <c r="C47" s="55" t="s">
        <v>15</v>
      </c>
      <c r="D47" s="32">
        <f t="shared" si="59"/>
        <v>0.1095890411</v>
      </c>
      <c r="E47" s="5"/>
      <c r="F47" s="55" t="s">
        <v>15</v>
      </c>
      <c r="G47" s="32">
        <f t="shared" ref="G47:AB47" si="60">($A47/G$5)/365</f>
        <v>0.002435312024</v>
      </c>
      <c r="H47" s="32">
        <f t="shared" si="60"/>
        <v>0.004383561644</v>
      </c>
      <c r="I47" s="32">
        <f t="shared" si="60"/>
        <v>0.1095890411</v>
      </c>
      <c r="J47" s="32">
        <f t="shared" si="60"/>
        <v>0.05479452055</v>
      </c>
      <c r="K47" s="32">
        <f t="shared" si="60"/>
        <v>0.1095890411</v>
      </c>
      <c r="L47" s="32">
        <f t="shared" si="60"/>
        <v>0.1095890411</v>
      </c>
      <c r="M47" s="32">
        <f t="shared" si="60"/>
        <v>0.1095890411</v>
      </c>
      <c r="N47" s="32">
        <f t="shared" si="60"/>
        <v>0.1095890411</v>
      </c>
      <c r="O47" s="32">
        <f t="shared" si="60"/>
        <v>0.1095890411</v>
      </c>
      <c r="P47" s="32">
        <f t="shared" si="60"/>
        <v>0.1095890411</v>
      </c>
      <c r="Q47" s="32">
        <f t="shared" si="60"/>
        <v>0.1095890411</v>
      </c>
      <c r="R47" s="32">
        <f t="shared" si="60"/>
        <v>0.1095890411</v>
      </c>
      <c r="S47" s="32">
        <f t="shared" si="60"/>
        <v>0.1095890411</v>
      </c>
      <c r="T47" s="32">
        <f t="shared" si="60"/>
        <v>0.1095890411</v>
      </c>
      <c r="U47" s="32">
        <f t="shared" si="60"/>
        <v>0.1095890411</v>
      </c>
      <c r="V47" s="32">
        <f t="shared" si="60"/>
        <v>0.1095890411</v>
      </c>
      <c r="W47" s="32">
        <f t="shared" si="60"/>
        <v>0.1095890411</v>
      </c>
      <c r="X47" s="32">
        <f t="shared" si="60"/>
        <v>0.1095890411</v>
      </c>
      <c r="Y47" s="32">
        <f t="shared" si="60"/>
        <v>0.1095890411</v>
      </c>
      <c r="Z47" s="32">
        <f t="shared" si="60"/>
        <v>0.1095890411</v>
      </c>
      <c r="AA47" s="32">
        <f t="shared" si="60"/>
        <v>0.1095890411</v>
      </c>
      <c r="AB47" s="32">
        <f t="shared" si="60"/>
        <v>0.1095890411</v>
      </c>
    </row>
    <row r="48" ht="15.75" customHeight="1">
      <c r="A48" s="21">
        <f>'Soul Energy Tiers'!J5</f>
        <v>80</v>
      </c>
      <c r="B48" s="5"/>
      <c r="C48" s="55" t="s">
        <v>17</v>
      </c>
      <c r="D48" s="32">
        <f t="shared" si="59"/>
        <v>0.2191780822</v>
      </c>
      <c r="E48" s="5"/>
      <c r="F48" s="55" t="s">
        <v>17</v>
      </c>
      <c r="G48" s="32">
        <f t="shared" ref="G48:AB48" si="61">($A48/G$5)/365</f>
        <v>0.004870624049</v>
      </c>
      <c r="H48" s="32">
        <f t="shared" si="61"/>
        <v>0.008767123288</v>
      </c>
      <c r="I48" s="32">
        <f t="shared" si="61"/>
        <v>0.2191780822</v>
      </c>
      <c r="J48" s="32">
        <f t="shared" si="61"/>
        <v>0.1095890411</v>
      </c>
      <c r="K48" s="32">
        <f t="shared" si="61"/>
        <v>0.2191780822</v>
      </c>
      <c r="L48" s="32">
        <f t="shared" si="61"/>
        <v>0.2191780822</v>
      </c>
      <c r="M48" s="32">
        <f t="shared" si="61"/>
        <v>0.2191780822</v>
      </c>
      <c r="N48" s="32">
        <f t="shared" si="61"/>
        <v>0.2191780822</v>
      </c>
      <c r="O48" s="32">
        <f t="shared" si="61"/>
        <v>0.2191780822</v>
      </c>
      <c r="P48" s="32">
        <f t="shared" si="61"/>
        <v>0.2191780822</v>
      </c>
      <c r="Q48" s="32">
        <f t="shared" si="61"/>
        <v>0.2191780822</v>
      </c>
      <c r="R48" s="32">
        <f t="shared" si="61"/>
        <v>0.2191780822</v>
      </c>
      <c r="S48" s="32">
        <f t="shared" si="61"/>
        <v>0.2191780822</v>
      </c>
      <c r="T48" s="32">
        <f t="shared" si="61"/>
        <v>0.2191780822</v>
      </c>
      <c r="U48" s="32">
        <f t="shared" si="61"/>
        <v>0.2191780822</v>
      </c>
      <c r="V48" s="32">
        <f t="shared" si="61"/>
        <v>0.2191780822</v>
      </c>
      <c r="W48" s="32">
        <f t="shared" si="61"/>
        <v>0.2191780822</v>
      </c>
      <c r="X48" s="32">
        <f t="shared" si="61"/>
        <v>0.2191780822</v>
      </c>
      <c r="Y48" s="32">
        <f t="shared" si="61"/>
        <v>0.2191780822</v>
      </c>
      <c r="Z48" s="32">
        <f t="shared" si="61"/>
        <v>0.2191780822</v>
      </c>
      <c r="AA48" s="32">
        <f t="shared" si="61"/>
        <v>0.2191780822</v>
      </c>
      <c r="AB48" s="32">
        <f t="shared" si="61"/>
        <v>0.2191780822</v>
      </c>
    </row>
    <row r="49" ht="15.75" customHeight="1">
      <c r="A49" s="21">
        <f>'Soul Energy Tiers'!J6</f>
        <v>160</v>
      </c>
      <c r="B49" s="5"/>
      <c r="C49" s="55" t="s">
        <v>19</v>
      </c>
      <c r="D49" s="32">
        <f t="shared" si="59"/>
        <v>0.4383561644</v>
      </c>
      <c r="E49" s="5"/>
      <c r="F49" s="55" t="s">
        <v>19</v>
      </c>
      <c r="G49" s="32">
        <f t="shared" ref="G49:AB49" si="62">($A49/G$5)/365</f>
        <v>0.009741248097</v>
      </c>
      <c r="H49" s="32">
        <f t="shared" si="62"/>
        <v>0.01753424658</v>
      </c>
      <c r="I49" s="32">
        <f t="shared" si="62"/>
        <v>0.4383561644</v>
      </c>
      <c r="J49" s="32">
        <f t="shared" si="62"/>
        <v>0.2191780822</v>
      </c>
      <c r="K49" s="32">
        <f t="shared" si="62"/>
        <v>0.4383561644</v>
      </c>
      <c r="L49" s="32">
        <f t="shared" si="62"/>
        <v>0.4383561644</v>
      </c>
      <c r="M49" s="32">
        <f t="shared" si="62"/>
        <v>0.4383561644</v>
      </c>
      <c r="N49" s="32">
        <f t="shared" si="62"/>
        <v>0.4383561644</v>
      </c>
      <c r="O49" s="32">
        <f t="shared" si="62"/>
        <v>0.4383561644</v>
      </c>
      <c r="P49" s="32">
        <f t="shared" si="62"/>
        <v>0.4383561644</v>
      </c>
      <c r="Q49" s="32">
        <f t="shared" si="62"/>
        <v>0.4383561644</v>
      </c>
      <c r="R49" s="32">
        <f t="shared" si="62"/>
        <v>0.4383561644</v>
      </c>
      <c r="S49" s="32">
        <f t="shared" si="62"/>
        <v>0.4383561644</v>
      </c>
      <c r="T49" s="32">
        <f t="shared" si="62"/>
        <v>0.4383561644</v>
      </c>
      <c r="U49" s="32">
        <f t="shared" si="62"/>
        <v>0.4383561644</v>
      </c>
      <c r="V49" s="32">
        <f t="shared" si="62"/>
        <v>0.4383561644</v>
      </c>
      <c r="W49" s="32">
        <f t="shared" si="62"/>
        <v>0.4383561644</v>
      </c>
      <c r="X49" s="32">
        <f t="shared" si="62"/>
        <v>0.4383561644</v>
      </c>
      <c r="Y49" s="32">
        <f t="shared" si="62"/>
        <v>0.4383561644</v>
      </c>
      <c r="Z49" s="32">
        <f t="shared" si="62"/>
        <v>0.4383561644</v>
      </c>
      <c r="AA49" s="32">
        <f t="shared" si="62"/>
        <v>0.4383561644</v>
      </c>
      <c r="AB49" s="32">
        <f t="shared" si="62"/>
        <v>0.4383561644</v>
      </c>
    </row>
    <row r="50" ht="15.75" customHeight="1">
      <c r="A50" s="21">
        <f>'Soul Energy Tiers'!J7</f>
        <v>320</v>
      </c>
      <c r="B50" s="5"/>
      <c r="C50" s="55" t="s">
        <v>21</v>
      </c>
      <c r="D50" s="32">
        <f t="shared" si="59"/>
        <v>0.8767123288</v>
      </c>
      <c r="E50" s="5"/>
      <c r="F50" s="55" t="s">
        <v>21</v>
      </c>
      <c r="G50" s="32">
        <f t="shared" ref="G50:AB50" si="63">($A50/G$5)/365</f>
        <v>0.01948249619</v>
      </c>
      <c r="H50" s="32">
        <f t="shared" si="63"/>
        <v>0.03506849315</v>
      </c>
      <c r="I50" s="32">
        <f t="shared" si="63"/>
        <v>0.8767123288</v>
      </c>
      <c r="J50" s="32">
        <f t="shared" si="63"/>
        <v>0.4383561644</v>
      </c>
      <c r="K50" s="32">
        <f t="shared" si="63"/>
        <v>0.8767123288</v>
      </c>
      <c r="L50" s="32">
        <f t="shared" si="63"/>
        <v>0.8767123288</v>
      </c>
      <c r="M50" s="32">
        <f t="shared" si="63"/>
        <v>0.8767123288</v>
      </c>
      <c r="N50" s="32">
        <f t="shared" si="63"/>
        <v>0.8767123288</v>
      </c>
      <c r="O50" s="32">
        <f t="shared" si="63"/>
        <v>0.8767123288</v>
      </c>
      <c r="P50" s="32">
        <f t="shared" si="63"/>
        <v>0.8767123288</v>
      </c>
      <c r="Q50" s="32">
        <f t="shared" si="63"/>
        <v>0.8767123288</v>
      </c>
      <c r="R50" s="32">
        <f t="shared" si="63"/>
        <v>0.8767123288</v>
      </c>
      <c r="S50" s="32">
        <f t="shared" si="63"/>
        <v>0.8767123288</v>
      </c>
      <c r="T50" s="32">
        <f t="shared" si="63"/>
        <v>0.8767123288</v>
      </c>
      <c r="U50" s="32">
        <f t="shared" si="63"/>
        <v>0.8767123288</v>
      </c>
      <c r="V50" s="32">
        <f t="shared" si="63"/>
        <v>0.8767123288</v>
      </c>
      <c r="W50" s="32">
        <f t="shared" si="63"/>
        <v>0.8767123288</v>
      </c>
      <c r="X50" s="32">
        <f t="shared" si="63"/>
        <v>0.8767123288</v>
      </c>
      <c r="Y50" s="32">
        <f t="shared" si="63"/>
        <v>0.8767123288</v>
      </c>
      <c r="Z50" s="32">
        <f t="shared" si="63"/>
        <v>0.8767123288</v>
      </c>
      <c r="AA50" s="32">
        <f t="shared" si="63"/>
        <v>0.8767123288</v>
      </c>
      <c r="AB50" s="32">
        <f t="shared" si="63"/>
        <v>0.8767123288</v>
      </c>
    </row>
    <row r="51" ht="15.75" customHeight="1">
      <c r="A51" s="21">
        <f>'Soul Energy Tiers'!J8</f>
        <v>640</v>
      </c>
      <c r="B51" s="5"/>
      <c r="C51" s="55" t="s">
        <v>23</v>
      </c>
      <c r="D51" s="32">
        <f t="shared" si="59"/>
        <v>1.753424658</v>
      </c>
      <c r="E51" s="5"/>
      <c r="F51" s="55" t="s">
        <v>23</v>
      </c>
      <c r="G51" s="32">
        <f t="shared" ref="G51:AB51" si="64">($A51/G$5)/365</f>
        <v>0.03896499239</v>
      </c>
      <c r="H51" s="32">
        <f t="shared" si="64"/>
        <v>0.0701369863</v>
      </c>
      <c r="I51" s="32">
        <f t="shared" si="64"/>
        <v>1.753424658</v>
      </c>
      <c r="J51" s="32">
        <f t="shared" si="64"/>
        <v>0.8767123288</v>
      </c>
      <c r="K51" s="32">
        <f t="shared" si="64"/>
        <v>1.753424658</v>
      </c>
      <c r="L51" s="32">
        <f t="shared" si="64"/>
        <v>1.753424658</v>
      </c>
      <c r="M51" s="32">
        <f t="shared" si="64"/>
        <v>1.753424658</v>
      </c>
      <c r="N51" s="32">
        <f t="shared" si="64"/>
        <v>1.753424658</v>
      </c>
      <c r="O51" s="32">
        <f t="shared" si="64"/>
        <v>1.753424658</v>
      </c>
      <c r="P51" s="32">
        <f t="shared" si="64"/>
        <v>1.753424658</v>
      </c>
      <c r="Q51" s="32">
        <f t="shared" si="64"/>
        <v>1.753424658</v>
      </c>
      <c r="R51" s="32">
        <f t="shared" si="64"/>
        <v>1.753424658</v>
      </c>
      <c r="S51" s="32">
        <f t="shared" si="64"/>
        <v>1.753424658</v>
      </c>
      <c r="T51" s="32">
        <f t="shared" si="64"/>
        <v>1.753424658</v>
      </c>
      <c r="U51" s="32">
        <f t="shared" si="64"/>
        <v>1.753424658</v>
      </c>
      <c r="V51" s="32">
        <f t="shared" si="64"/>
        <v>1.753424658</v>
      </c>
      <c r="W51" s="32">
        <f t="shared" si="64"/>
        <v>1.753424658</v>
      </c>
      <c r="X51" s="32">
        <f t="shared" si="64"/>
        <v>1.753424658</v>
      </c>
      <c r="Y51" s="32">
        <f t="shared" si="64"/>
        <v>1.753424658</v>
      </c>
      <c r="Z51" s="32">
        <f t="shared" si="64"/>
        <v>1.753424658</v>
      </c>
      <c r="AA51" s="32">
        <f t="shared" si="64"/>
        <v>1.753424658</v>
      </c>
      <c r="AB51" s="32">
        <f t="shared" si="64"/>
        <v>1.753424658</v>
      </c>
    </row>
    <row r="52" ht="15.75" customHeight="1">
      <c r="A52" s="21">
        <f>'Soul Energy Tiers'!J9</f>
        <v>1280</v>
      </c>
      <c r="B52" s="5"/>
      <c r="C52" s="55" t="s">
        <v>25</v>
      </c>
      <c r="D52" s="32">
        <f t="shared" si="59"/>
        <v>3.506849315</v>
      </c>
      <c r="E52" s="5"/>
      <c r="F52" s="55" t="s">
        <v>25</v>
      </c>
      <c r="G52" s="32">
        <f t="shared" ref="G52:AB52" si="65">($A52/G$5)/365</f>
        <v>0.07792998478</v>
      </c>
      <c r="H52" s="32">
        <f t="shared" si="65"/>
        <v>0.1402739726</v>
      </c>
      <c r="I52" s="32">
        <f t="shared" si="65"/>
        <v>3.506849315</v>
      </c>
      <c r="J52" s="32">
        <f t="shared" si="65"/>
        <v>1.753424658</v>
      </c>
      <c r="K52" s="32">
        <f t="shared" si="65"/>
        <v>3.506849315</v>
      </c>
      <c r="L52" s="32">
        <f t="shared" si="65"/>
        <v>3.506849315</v>
      </c>
      <c r="M52" s="32">
        <f t="shared" si="65"/>
        <v>3.506849315</v>
      </c>
      <c r="N52" s="32">
        <f t="shared" si="65"/>
        <v>3.506849315</v>
      </c>
      <c r="O52" s="32">
        <f t="shared" si="65"/>
        <v>3.506849315</v>
      </c>
      <c r="P52" s="32">
        <f t="shared" si="65"/>
        <v>3.506849315</v>
      </c>
      <c r="Q52" s="32">
        <f t="shared" si="65"/>
        <v>3.506849315</v>
      </c>
      <c r="R52" s="32">
        <f t="shared" si="65"/>
        <v>3.506849315</v>
      </c>
      <c r="S52" s="32">
        <f t="shared" si="65"/>
        <v>3.506849315</v>
      </c>
      <c r="T52" s="32">
        <f t="shared" si="65"/>
        <v>3.506849315</v>
      </c>
      <c r="U52" s="32">
        <f t="shared" si="65"/>
        <v>3.506849315</v>
      </c>
      <c r="V52" s="32">
        <f t="shared" si="65"/>
        <v>3.506849315</v>
      </c>
      <c r="W52" s="32">
        <f t="shared" si="65"/>
        <v>3.506849315</v>
      </c>
      <c r="X52" s="32">
        <f t="shared" si="65"/>
        <v>3.506849315</v>
      </c>
      <c r="Y52" s="32">
        <f t="shared" si="65"/>
        <v>3.506849315</v>
      </c>
      <c r="Z52" s="32">
        <f t="shared" si="65"/>
        <v>3.506849315</v>
      </c>
      <c r="AA52" s="32">
        <f t="shared" si="65"/>
        <v>3.506849315</v>
      </c>
      <c r="AB52" s="32">
        <f t="shared" si="65"/>
        <v>3.506849315</v>
      </c>
    </row>
    <row r="53" ht="15.75" customHeight="1">
      <c r="A53" s="21">
        <f>'Soul Energy Tiers'!J10</f>
        <v>2560</v>
      </c>
      <c r="B53" s="5"/>
      <c r="C53" s="55" t="s">
        <v>27</v>
      </c>
      <c r="D53" s="32">
        <f t="shared" si="59"/>
        <v>7.01369863</v>
      </c>
      <c r="E53" s="5"/>
      <c r="F53" s="55" t="s">
        <v>27</v>
      </c>
      <c r="G53" s="32">
        <f t="shared" ref="G53:AB53" si="66">($A53/G$5)/365</f>
        <v>0.1558599696</v>
      </c>
      <c r="H53" s="32">
        <f t="shared" si="66"/>
        <v>0.2805479452</v>
      </c>
      <c r="I53" s="32">
        <f t="shared" si="66"/>
        <v>7.01369863</v>
      </c>
      <c r="J53" s="32">
        <f t="shared" si="66"/>
        <v>3.506849315</v>
      </c>
      <c r="K53" s="32">
        <f t="shared" si="66"/>
        <v>7.01369863</v>
      </c>
      <c r="L53" s="32">
        <f t="shared" si="66"/>
        <v>7.01369863</v>
      </c>
      <c r="M53" s="32">
        <f t="shared" si="66"/>
        <v>7.01369863</v>
      </c>
      <c r="N53" s="32">
        <f t="shared" si="66"/>
        <v>7.01369863</v>
      </c>
      <c r="O53" s="32">
        <f t="shared" si="66"/>
        <v>7.01369863</v>
      </c>
      <c r="P53" s="32">
        <f t="shared" si="66"/>
        <v>7.01369863</v>
      </c>
      <c r="Q53" s="32">
        <f t="shared" si="66"/>
        <v>7.01369863</v>
      </c>
      <c r="R53" s="32">
        <f t="shared" si="66"/>
        <v>7.01369863</v>
      </c>
      <c r="S53" s="32">
        <f t="shared" si="66"/>
        <v>7.01369863</v>
      </c>
      <c r="T53" s="32">
        <f t="shared" si="66"/>
        <v>7.01369863</v>
      </c>
      <c r="U53" s="32">
        <f t="shared" si="66"/>
        <v>7.01369863</v>
      </c>
      <c r="V53" s="32">
        <f t="shared" si="66"/>
        <v>7.01369863</v>
      </c>
      <c r="W53" s="32">
        <f t="shared" si="66"/>
        <v>7.01369863</v>
      </c>
      <c r="X53" s="32">
        <f t="shared" si="66"/>
        <v>7.01369863</v>
      </c>
      <c r="Y53" s="32">
        <f t="shared" si="66"/>
        <v>7.01369863</v>
      </c>
      <c r="Z53" s="32">
        <f t="shared" si="66"/>
        <v>7.01369863</v>
      </c>
      <c r="AA53" s="32">
        <f t="shared" si="66"/>
        <v>7.01369863</v>
      </c>
      <c r="AB53" s="32">
        <f t="shared" si="66"/>
        <v>7.01369863</v>
      </c>
    </row>
    <row r="54" ht="15.75" customHeight="1">
      <c r="A54" s="21">
        <f>'Soul Energy Tiers'!J11</f>
        <v>5120</v>
      </c>
      <c r="B54" s="5"/>
      <c r="C54" s="55" t="s">
        <v>29</v>
      </c>
      <c r="D54" s="32">
        <f t="shared" si="59"/>
        <v>14.02739726</v>
      </c>
      <c r="E54" s="5"/>
      <c r="F54" s="55" t="s">
        <v>29</v>
      </c>
      <c r="G54" s="32">
        <f t="shared" ref="G54:AB54" si="67">($A54/G$5)/365</f>
        <v>0.3117199391</v>
      </c>
      <c r="H54" s="32">
        <f t="shared" si="67"/>
        <v>0.5610958904</v>
      </c>
      <c r="I54" s="32">
        <f t="shared" si="67"/>
        <v>14.02739726</v>
      </c>
      <c r="J54" s="32">
        <f t="shared" si="67"/>
        <v>7.01369863</v>
      </c>
      <c r="K54" s="32">
        <f t="shared" si="67"/>
        <v>14.02739726</v>
      </c>
      <c r="L54" s="32">
        <f t="shared" si="67"/>
        <v>14.02739726</v>
      </c>
      <c r="M54" s="32">
        <f t="shared" si="67"/>
        <v>14.02739726</v>
      </c>
      <c r="N54" s="32">
        <f t="shared" si="67"/>
        <v>14.02739726</v>
      </c>
      <c r="O54" s="32">
        <f t="shared" si="67"/>
        <v>14.02739726</v>
      </c>
      <c r="P54" s="32">
        <f t="shared" si="67"/>
        <v>14.02739726</v>
      </c>
      <c r="Q54" s="32">
        <f t="shared" si="67"/>
        <v>14.02739726</v>
      </c>
      <c r="R54" s="32">
        <f t="shared" si="67"/>
        <v>14.02739726</v>
      </c>
      <c r="S54" s="32">
        <f t="shared" si="67"/>
        <v>14.02739726</v>
      </c>
      <c r="T54" s="32">
        <f t="shared" si="67"/>
        <v>14.02739726</v>
      </c>
      <c r="U54" s="32">
        <f t="shared" si="67"/>
        <v>14.02739726</v>
      </c>
      <c r="V54" s="32">
        <f t="shared" si="67"/>
        <v>14.02739726</v>
      </c>
      <c r="W54" s="32">
        <f t="shared" si="67"/>
        <v>14.02739726</v>
      </c>
      <c r="X54" s="32">
        <f t="shared" si="67"/>
        <v>14.02739726</v>
      </c>
      <c r="Y54" s="32">
        <f t="shared" si="67"/>
        <v>14.02739726</v>
      </c>
      <c r="Z54" s="32">
        <f t="shared" si="67"/>
        <v>14.02739726</v>
      </c>
      <c r="AA54" s="32">
        <f t="shared" si="67"/>
        <v>14.02739726</v>
      </c>
      <c r="AB54" s="32">
        <f t="shared" si="67"/>
        <v>14.02739726</v>
      </c>
    </row>
    <row r="55" ht="15.75" customHeight="1">
      <c r="A55" s="21">
        <f>'Soul Energy Tiers'!J12</f>
        <v>10240</v>
      </c>
      <c r="B55" s="5"/>
      <c r="C55" s="55" t="s">
        <v>31</v>
      </c>
      <c r="D55" s="32">
        <f t="shared" si="59"/>
        <v>28.05479452</v>
      </c>
      <c r="E55" s="5"/>
      <c r="F55" s="55" t="s">
        <v>31</v>
      </c>
      <c r="G55" s="32">
        <f t="shared" ref="G55:AB55" si="68">($A55/G$5)/365</f>
        <v>0.6234398782</v>
      </c>
      <c r="H55" s="32">
        <f t="shared" si="68"/>
        <v>1.122191781</v>
      </c>
      <c r="I55" s="32">
        <f t="shared" si="68"/>
        <v>28.05479452</v>
      </c>
      <c r="J55" s="32">
        <f t="shared" si="68"/>
        <v>14.02739726</v>
      </c>
      <c r="K55" s="32">
        <f t="shared" si="68"/>
        <v>28.05479452</v>
      </c>
      <c r="L55" s="32">
        <f t="shared" si="68"/>
        <v>28.05479452</v>
      </c>
      <c r="M55" s="32">
        <f t="shared" si="68"/>
        <v>28.05479452</v>
      </c>
      <c r="N55" s="32">
        <f t="shared" si="68"/>
        <v>28.05479452</v>
      </c>
      <c r="O55" s="32">
        <f t="shared" si="68"/>
        <v>28.05479452</v>
      </c>
      <c r="P55" s="32">
        <f t="shared" si="68"/>
        <v>28.05479452</v>
      </c>
      <c r="Q55" s="32">
        <f t="shared" si="68"/>
        <v>28.05479452</v>
      </c>
      <c r="R55" s="32">
        <f t="shared" si="68"/>
        <v>28.05479452</v>
      </c>
      <c r="S55" s="32">
        <f t="shared" si="68"/>
        <v>28.05479452</v>
      </c>
      <c r="T55" s="32">
        <f t="shared" si="68"/>
        <v>28.05479452</v>
      </c>
      <c r="U55" s="32">
        <f t="shared" si="68"/>
        <v>28.05479452</v>
      </c>
      <c r="V55" s="32">
        <f t="shared" si="68"/>
        <v>28.05479452</v>
      </c>
      <c r="W55" s="32">
        <f t="shared" si="68"/>
        <v>28.05479452</v>
      </c>
      <c r="X55" s="32">
        <f t="shared" si="68"/>
        <v>28.05479452</v>
      </c>
      <c r="Y55" s="32">
        <f t="shared" si="68"/>
        <v>28.05479452</v>
      </c>
      <c r="Z55" s="32">
        <f t="shared" si="68"/>
        <v>28.05479452</v>
      </c>
      <c r="AA55" s="32">
        <f t="shared" si="68"/>
        <v>28.05479452</v>
      </c>
      <c r="AB55" s="32">
        <f t="shared" si="68"/>
        <v>28.05479452</v>
      </c>
    </row>
    <row r="56" ht="15.75" customHeight="1">
      <c r="A56" s="21">
        <f>'Soul Energy Tiers'!J13</f>
        <v>20480</v>
      </c>
      <c r="B56" s="5"/>
      <c r="C56" s="55" t="s">
        <v>33</v>
      </c>
      <c r="D56" s="32">
        <f t="shared" si="59"/>
        <v>56.10958904</v>
      </c>
      <c r="E56" s="5"/>
      <c r="F56" s="55" t="s">
        <v>33</v>
      </c>
      <c r="G56" s="32">
        <f t="shared" ref="G56:AB56" si="69">($A56/G$5)/365</f>
        <v>1.246879756</v>
      </c>
      <c r="H56" s="32">
        <f t="shared" si="69"/>
        <v>2.244383562</v>
      </c>
      <c r="I56" s="32">
        <f t="shared" si="69"/>
        <v>56.10958904</v>
      </c>
      <c r="J56" s="32">
        <f t="shared" si="69"/>
        <v>28.05479452</v>
      </c>
      <c r="K56" s="32">
        <f t="shared" si="69"/>
        <v>56.10958904</v>
      </c>
      <c r="L56" s="32">
        <f t="shared" si="69"/>
        <v>56.10958904</v>
      </c>
      <c r="M56" s="32">
        <f t="shared" si="69"/>
        <v>56.10958904</v>
      </c>
      <c r="N56" s="32">
        <f t="shared" si="69"/>
        <v>56.10958904</v>
      </c>
      <c r="O56" s="32">
        <f t="shared" si="69"/>
        <v>56.10958904</v>
      </c>
      <c r="P56" s="32">
        <f t="shared" si="69"/>
        <v>56.10958904</v>
      </c>
      <c r="Q56" s="32">
        <f t="shared" si="69"/>
        <v>56.10958904</v>
      </c>
      <c r="R56" s="32">
        <f t="shared" si="69"/>
        <v>56.10958904</v>
      </c>
      <c r="S56" s="32">
        <f t="shared" si="69"/>
        <v>56.10958904</v>
      </c>
      <c r="T56" s="32">
        <f t="shared" si="69"/>
        <v>56.10958904</v>
      </c>
      <c r="U56" s="32">
        <f t="shared" si="69"/>
        <v>56.10958904</v>
      </c>
      <c r="V56" s="32">
        <f t="shared" si="69"/>
        <v>56.10958904</v>
      </c>
      <c r="W56" s="32">
        <f t="shared" si="69"/>
        <v>56.10958904</v>
      </c>
      <c r="X56" s="32">
        <f t="shared" si="69"/>
        <v>56.10958904</v>
      </c>
      <c r="Y56" s="32">
        <f t="shared" si="69"/>
        <v>56.10958904</v>
      </c>
      <c r="Z56" s="32">
        <f t="shared" si="69"/>
        <v>56.10958904</v>
      </c>
      <c r="AA56" s="32">
        <f t="shared" si="69"/>
        <v>56.10958904</v>
      </c>
      <c r="AB56" s="32">
        <f t="shared" si="69"/>
        <v>56.10958904</v>
      </c>
    </row>
    <row r="57" ht="15.75" customHeight="1">
      <c r="A57" s="21">
        <f>'Soul Energy Tiers'!J14</f>
        <v>40960</v>
      </c>
      <c r="B57" s="5"/>
      <c r="C57" s="55" t="s">
        <v>35</v>
      </c>
      <c r="D57" s="32">
        <f t="shared" si="59"/>
        <v>112.2191781</v>
      </c>
      <c r="E57" s="5"/>
      <c r="F57" s="55" t="s">
        <v>35</v>
      </c>
      <c r="G57" s="32">
        <f t="shared" ref="G57:AB57" si="70">($A57/G$5)/365</f>
        <v>2.493759513</v>
      </c>
      <c r="H57" s="32">
        <f t="shared" si="70"/>
        <v>4.488767123</v>
      </c>
      <c r="I57" s="32">
        <f t="shared" si="70"/>
        <v>112.2191781</v>
      </c>
      <c r="J57" s="32">
        <f t="shared" si="70"/>
        <v>56.10958904</v>
      </c>
      <c r="K57" s="32">
        <f t="shared" si="70"/>
        <v>112.2191781</v>
      </c>
      <c r="L57" s="32">
        <f t="shared" si="70"/>
        <v>112.2191781</v>
      </c>
      <c r="M57" s="32">
        <f t="shared" si="70"/>
        <v>112.2191781</v>
      </c>
      <c r="N57" s="32">
        <f t="shared" si="70"/>
        <v>112.2191781</v>
      </c>
      <c r="O57" s="32">
        <f t="shared" si="70"/>
        <v>112.2191781</v>
      </c>
      <c r="P57" s="32">
        <f t="shared" si="70"/>
        <v>112.2191781</v>
      </c>
      <c r="Q57" s="32">
        <f t="shared" si="70"/>
        <v>112.2191781</v>
      </c>
      <c r="R57" s="32">
        <f t="shared" si="70"/>
        <v>112.2191781</v>
      </c>
      <c r="S57" s="32">
        <f t="shared" si="70"/>
        <v>112.2191781</v>
      </c>
      <c r="T57" s="32">
        <f t="shared" si="70"/>
        <v>112.2191781</v>
      </c>
      <c r="U57" s="32">
        <f t="shared" si="70"/>
        <v>112.2191781</v>
      </c>
      <c r="V57" s="32">
        <f t="shared" si="70"/>
        <v>112.2191781</v>
      </c>
      <c r="W57" s="32">
        <f t="shared" si="70"/>
        <v>112.2191781</v>
      </c>
      <c r="X57" s="32">
        <f t="shared" si="70"/>
        <v>112.2191781</v>
      </c>
      <c r="Y57" s="32">
        <f t="shared" si="70"/>
        <v>112.2191781</v>
      </c>
      <c r="Z57" s="32">
        <f t="shared" si="70"/>
        <v>112.2191781</v>
      </c>
      <c r="AA57" s="32">
        <f t="shared" si="70"/>
        <v>112.2191781</v>
      </c>
      <c r="AB57" s="32">
        <f t="shared" si="70"/>
        <v>112.2191781</v>
      </c>
    </row>
    <row r="58" ht="15.75" customHeight="1">
      <c r="A58" s="21">
        <f>'Soul Energy Tiers'!J15</f>
        <v>81920</v>
      </c>
      <c r="B58" s="5"/>
      <c r="C58" s="55" t="s">
        <v>37</v>
      </c>
      <c r="D58" s="32">
        <f t="shared" si="59"/>
        <v>224.4383562</v>
      </c>
      <c r="E58" s="5"/>
      <c r="F58" s="55" t="s">
        <v>37</v>
      </c>
      <c r="G58" s="32">
        <f t="shared" ref="G58:AB58" si="71">($A58/G$5)/365</f>
        <v>4.987519026</v>
      </c>
      <c r="H58" s="32">
        <f t="shared" si="71"/>
        <v>8.977534247</v>
      </c>
      <c r="I58" s="32">
        <f t="shared" si="71"/>
        <v>224.4383562</v>
      </c>
      <c r="J58" s="32">
        <f t="shared" si="71"/>
        <v>112.2191781</v>
      </c>
      <c r="K58" s="32">
        <f t="shared" si="71"/>
        <v>224.4383562</v>
      </c>
      <c r="L58" s="32">
        <f t="shared" si="71"/>
        <v>224.4383562</v>
      </c>
      <c r="M58" s="32">
        <f t="shared" si="71"/>
        <v>224.4383562</v>
      </c>
      <c r="N58" s="32">
        <f t="shared" si="71"/>
        <v>224.4383562</v>
      </c>
      <c r="O58" s="32">
        <f t="shared" si="71"/>
        <v>224.4383562</v>
      </c>
      <c r="P58" s="32">
        <f t="shared" si="71"/>
        <v>224.4383562</v>
      </c>
      <c r="Q58" s="32">
        <f t="shared" si="71"/>
        <v>224.4383562</v>
      </c>
      <c r="R58" s="32">
        <f t="shared" si="71"/>
        <v>224.4383562</v>
      </c>
      <c r="S58" s="32">
        <f t="shared" si="71"/>
        <v>224.4383562</v>
      </c>
      <c r="T58" s="32">
        <f t="shared" si="71"/>
        <v>224.4383562</v>
      </c>
      <c r="U58" s="32">
        <f t="shared" si="71"/>
        <v>224.4383562</v>
      </c>
      <c r="V58" s="32">
        <f t="shared" si="71"/>
        <v>224.4383562</v>
      </c>
      <c r="W58" s="32">
        <f t="shared" si="71"/>
        <v>224.4383562</v>
      </c>
      <c r="X58" s="32">
        <f t="shared" si="71"/>
        <v>224.4383562</v>
      </c>
      <c r="Y58" s="32">
        <f t="shared" si="71"/>
        <v>224.4383562</v>
      </c>
      <c r="Z58" s="32">
        <f t="shared" si="71"/>
        <v>224.4383562</v>
      </c>
      <c r="AA58" s="32">
        <f t="shared" si="71"/>
        <v>224.4383562</v>
      </c>
      <c r="AB58" s="32">
        <f t="shared" si="71"/>
        <v>224.4383562</v>
      </c>
    </row>
    <row r="59" ht="15.75" customHeight="1">
      <c r="A59" s="21">
        <f>'Soul Energy Tiers'!J16</f>
        <v>163840</v>
      </c>
      <c r="B59" s="5"/>
      <c r="C59" s="55" t="s">
        <v>39</v>
      </c>
      <c r="D59" s="32">
        <f t="shared" si="59"/>
        <v>448.8767123</v>
      </c>
      <c r="E59" s="5"/>
      <c r="F59" s="55" t="s">
        <v>39</v>
      </c>
      <c r="G59" s="32">
        <f t="shared" ref="G59:AB59" si="72">($A59/G$5)/365</f>
        <v>9.975038052</v>
      </c>
      <c r="H59" s="32">
        <f t="shared" si="72"/>
        <v>17.95506849</v>
      </c>
      <c r="I59" s="32">
        <f t="shared" si="72"/>
        <v>448.8767123</v>
      </c>
      <c r="J59" s="32">
        <f t="shared" si="72"/>
        <v>224.4383562</v>
      </c>
      <c r="K59" s="32">
        <f t="shared" si="72"/>
        <v>448.8767123</v>
      </c>
      <c r="L59" s="32">
        <f t="shared" si="72"/>
        <v>448.8767123</v>
      </c>
      <c r="M59" s="32">
        <f t="shared" si="72"/>
        <v>448.8767123</v>
      </c>
      <c r="N59" s="32">
        <f t="shared" si="72"/>
        <v>448.8767123</v>
      </c>
      <c r="O59" s="32">
        <f t="shared" si="72"/>
        <v>448.8767123</v>
      </c>
      <c r="P59" s="32">
        <f t="shared" si="72"/>
        <v>448.8767123</v>
      </c>
      <c r="Q59" s="32">
        <f t="shared" si="72"/>
        <v>448.8767123</v>
      </c>
      <c r="R59" s="32">
        <f t="shared" si="72"/>
        <v>448.8767123</v>
      </c>
      <c r="S59" s="32">
        <f t="shared" si="72"/>
        <v>448.8767123</v>
      </c>
      <c r="T59" s="32">
        <f t="shared" si="72"/>
        <v>448.8767123</v>
      </c>
      <c r="U59" s="32">
        <f t="shared" si="72"/>
        <v>448.8767123</v>
      </c>
      <c r="V59" s="32">
        <f t="shared" si="72"/>
        <v>448.8767123</v>
      </c>
      <c r="W59" s="32">
        <f t="shared" si="72"/>
        <v>448.8767123</v>
      </c>
      <c r="X59" s="32">
        <f t="shared" si="72"/>
        <v>448.8767123</v>
      </c>
      <c r="Y59" s="32">
        <f t="shared" si="72"/>
        <v>448.8767123</v>
      </c>
      <c r="Z59" s="32">
        <f t="shared" si="72"/>
        <v>448.8767123</v>
      </c>
      <c r="AA59" s="32">
        <f t="shared" si="72"/>
        <v>448.8767123</v>
      </c>
      <c r="AB59" s="32">
        <f t="shared" si="72"/>
        <v>448.8767123</v>
      </c>
    </row>
    <row r="60" ht="15.75" customHeight="1">
      <c r="A60" s="21">
        <f>'Soul Energy Tiers'!J17</f>
        <v>327680</v>
      </c>
      <c r="B60" s="5"/>
      <c r="C60" s="55" t="s">
        <v>41</v>
      </c>
      <c r="D60" s="32">
        <f t="shared" si="59"/>
        <v>897.7534247</v>
      </c>
      <c r="E60" s="5"/>
      <c r="F60" s="55" t="s">
        <v>41</v>
      </c>
      <c r="G60" s="32">
        <f t="shared" ref="G60:AB60" si="73">($A60/G$5)/365</f>
        <v>19.9500761</v>
      </c>
      <c r="H60" s="32">
        <f t="shared" si="73"/>
        <v>35.91013699</v>
      </c>
      <c r="I60" s="32">
        <f t="shared" si="73"/>
        <v>897.7534247</v>
      </c>
      <c r="J60" s="32">
        <f t="shared" si="73"/>
        <v>448.8767123</v>
      </c>
      <c r="K60" s="32">
        <f t="shared" si="73"/>
        <v>897.7534247</v>
      </c>
      <c r="L60" s="32">
        <f t="shared" si="73"/>
        <v>897.7534247</v>
      </c>
      <c r="M60" s="32">
        <f t="shared" si="73"/>
        <v>897.7534247</v>
      </c>
      <c r="N60" s="32">
        <f t="shared" si="73"/>
        <v>897.7534247</v>
      </c>
      <c r="O60" s="32">
        <f t="shared" si="73"/>
        <v>897.7534247</v>
      </c>
      <c r="P60" s="32">
        <f t="shared" si="73"/>
        <v>897.7534247</v>
      </c>
      <c r="Q60" s="32">
        <f t="shared" si="73"/>
        <v>897.7534247</v>
      </c>
      <c r="R60" s="32">
        <f t="shared" si="73"/>
        <v>897.7534247</v>
      </c>
      <c r="S60" s="32">
        <f t="shared" si="73"/>
        <v>897.7534247</v>
      </c>
      <c r="T60" s="32">
        <f t="shared" si="73"/>
        <v>897.7534247</v>
      </c>
      <c r="U60" s="32">
        <f t="shared" si="73"/>
        <v>897.7534247</v>
      </c>
      <c r="V60" s="32">
        <f t="shared" si="73"/>
        <v>897.7534247</v>
      </c>
      <c r="W60" s="32">
        <f t="shared" si="73"/>
        <v>897.7534247</v>
      </c>
      <c r="X60" s="32">
        <f t="shared" si="73"/>
        <v>897.7534247</v>
      </c>
      <c r="Y60" s="32">
        <f t="shared" si="73"/>
        <v>897.7534247</v>
      </c>
      <c r="Z60" s="32">
        <f t="shared" si="73"/>
        <v>897.7534247</v>
      </c>
      <c r="AA60" s="32">
        <f t="shared" si="73"/>
        <v>897.7534247</v>
      </c>
      <c r="AB60" s="32">
        <f t="shared" si="73"/>
        <v>897.7534247</v>
      </c>
    </row>
    <row r="61" ht="15.75" customHeight="1">
      <c r="A61" s="21">
        <f>'Soul Energy Tiers'!J18</f>
        <v>655360</v>
      </c>
      <c r="B61" s="5"/>
      <c r="C61" s="55" t="s">
        <v>43</v>
      </c>
      <c r="D61" s="32">
        <f t="shared" si="59"/>
        <v>1795.506849</v>
      </c>
      <c r="E61" s="5"/>
      <c r="F61" s="55" t="s">
        <v>43</v>
      </c>
      <c r="G61" s="32">
        <f t="shared" ref="G61:AB61" si="74">($A61/G$5)/365</f>
        <v>39.90015221</v>
      </c>
      <c r="H61" s="32">
        <f t="shared" si="74"/>
        <v>71.82027397</v>
      </c>
      <c r="I61" s="32">
        <f t="shared" si="74"/>
        <v>1795.506849</v>
      </c>
      <c r="J61" s="32">
        <f t="shared" si="74"/>
        <v>897.7534247</v>
      </c>
      <c r="K61" s="32">
        <f t="shared" si="74"/>
        <v>1795.506849</v>
      </c>
      <c r="L61" s="32">
        <f t="shared" si="74"/>
        <v>1795.506849</v>
      </c>
      <c r="M61" s="32">
        <f t="shared" si="74"/>
        <v>1795.506849</v>
      </c>
      <c r="N61" s="32">
        <f t="shared" si="74"/>
        <v>1795.506849</v>
      </c>
      <c r="O61" s="32">
        <f t="shared" si="74"/>
        <v>1795.506849</v>
      </c>
      <c r="P61" s="32">
        <f t="shared" si="74"/>
        <v>1795.506849</v>
      </c>
      <c r="Q61" s="32">
        <f t="shared" si="74"/>
        <v>1795.506849</v>
      </c>
      <c r="R61" s="32">
        <f t="shared" si="74"/>
        <v>1795.506849</v>
      </c>
      <c r="S61" s="32">
        <f t="shared" si="74"/>
        <v>1795.506849</v>
      </c>
      <c r="T61" s="32">
        <f t="shared" si="74"/>
        <v>1795.506849</v>
      </c>
      <c r="U61" s="32">
        <f t="shared" si="74"/>
        <v>1795.506849</v>
      </c>
      <c r="V61" s="32">
        <f t="shared" si="74"/>
        <v>1795.506849</v>
      </c>
      <c r="W61" s="32">
        <f t="shared" si="74"/>
        <v>1795.506849</v>
      </c>
      <c r="X61" s="32">
        <f t="shared" si="74"/>
        <v>1795.506849</v>
      </c>
      <c r="Y61" s="32">
        <f t="shared" si="74"/>
        <v>1795.506849</v>
      </c>
      <c r="Z61" s="32">
        <f t="shared" si="74"/>
        <v>1795.506849</v>
      </c>
      <c r="AA61" s="32">
        <f t="shared" si="74"/>
        <v>1795.506849</v>
      </c>
      <c r="AB61" s="32">
        <f t="shared" si="74"/>
        <v>1795.506849</v>
      </c>
    </row>
    <row r="62" ht="15.75" customHeight="1">
      <c r="A62" s="21">
        <f>'Soul Energy Tiers'!J19</f>
        <v>1310720</v>
      </c>
      <c r="B62" s="5"/>
      <c r="C62" s="55" t="s">
        <v>45</v>
      </c>
      <c r="D62" s="32">
        <f t="shared" si="59"/>
        <v>3591.013699</v>
      </c>
      <c r="E62" s="5"/>
      <c r="F62" s="55" t="s">
        <v>45</v>
      </c>
      <c r="G62" s="32">
        <f t="shared" ref="G62:AB62" si="75">($A62/G$5)/365</f>
        <v>79.80030441</v>
      </c>
      <c r="H62" s="32">
        <f t="shared" si="75"/>
        <v>143.6405479</v>
      </c>
      <c r="I62" s="32">
        <f t="shared" si="75"/>
        <v>3591.013699</v>
      </c>
      <c r="J62" s="32">
        <f t="shared" si="75"/>
        <v>1795.506849</v>
      </c>
      <c r="K62" s="32">
        <f t="shared" si="75"/>
        <v>3591.013699</v>
      </c>
      <c r="L62" s="32">
        <f t="shared" si="75"/>
        <v>3591.013699</v>
      </c>
      <c r="M62" s="32">
        <f t="shared" si="75"/>
        <v>3591.013699</v>
      </c>
      <c r="N62" s="32">
        <f t="shared" si="75"/>
        <v>3591.013699</v>
      </c>
      <c r="O62" s="32">
        <f t="shared" si="75"/>
        <v>3591.013699</v>
      </c>
      <c r="P62" s="32">
        <f t="shared" si="75"/>
        <v>3591.013699</v>
      </c>
      <c r="Q62" s="32">
        <f t="shared" si="75"/>
        <v>3591.013699</v>
      </c>
      <c r="R62" s="32">
        <f t="shared" si="75"/>
        <v>3591.013699</v>
      </c>
      <c r="S62" s="32">
        <f t="shared" si="75"/>
        <v>3591.013699</v>
      </c>
      <c r="T62" s="32">
        <f t="shared" si="75"/>
        <v>3591.013699</v>
      </c>
      <c r="U62" s="32">
        <f t="shared" si="75"/>
        <v>3591.013699</v>
      </c>
      <c r="V62" s="32">
        <f t="shared" si="75"/>
        <v>3591.013699</v>
      </c>
      <c r="W62" s="32">
        <f t="shared" si="75"/>
        <v>3591.013699</v>
      </c>
      <c r="X62" s="32">
        <f t="shared" si="75"/>
        <v>3591.013699</v>
      </c>
      <c r="Y62" s="32">
        <f t="shared" si="75"/>
        <v>3591.013699</v>
      </c>
      <c r="Z62" s="32">
        <f t="shared" si="75"/>
        <v>3591.013699</v>
      </c>
      <c r="AA62" s="32">
        <f t="shared" si="75"/>
        <v>3591.013699</v>
      </c>
      <c r="AB62" s="32">
        <f t="shared" si="75"/>
        <v>3591.013699</v>
      </c>
    </row>
    <row r="63" ht="15.75" customHeight="1">
      <c r="B63" s="5"/>
      <c r="E63" s="5"/>
    </row>
    <row r="64" ht="15.75" customHeight="1">
      <c r="B64" s="5"/>
      <c r="E64" s="5"/>
    </row>
    <row r="65" ht="15.75" customHeight="1">
      <c r="B65" s="5"/>
      <c r="E65" s="5"/>
    </row>
    <row r="66" ht="15.75" customHeight="1">
      <c r="B66" s="5"/>
      <c r="E66" s="5"/>
    </row>
    <row r="67" ht="15.75" customHeight="1">
      <c r="B67" s="5"/>
      <c r="E67" s="5"/>
    </row>
    <row r="68" ht="15.75" customHeight="1">
      <c r="B68" s="5"/>
      <c r="E68" s="5"/>
    </row>
    <row r="69" ht="15.75" customHeight="1">
      <c r="B69" s="5"/>
      <c r="E69" s="5"/>
    </row>
    <row r="70" ht="15.75" customHeight="1">
      <c r="B70" s="5"/>
      <c r="E70" s="5"/>
    </row>
    <row r="71" ht="15.75" customHeight="1">
      <c r="B71" s="5"/>
      <c r="E71" s="5"/>
    </row>
    <row r="72" ht="15.75" customHeight="1">
      <c r="B72" s="5"/>
      <c r="E72" s="5"/>
    </row>
    <row r="73" ht="15.75" customHeight="1">
      <c r="B73" s="5"/>
      <c r="E73" s="5"/>
    </row>
    <row r="74" ht="15.75" customHeight="1">
      <c r="B74" s="5"/>
      <c r="E74" s="5"/>
    </row>
    <row r="75" ht="15.75" customHeight="1">
      <c r="B75" s="5"/>
      <c r="E75" s="5"/>
    </row>
    <row r="76" ht="15.75" customHeight="1">
      <c r="B76" s="5"/>
      <c r="E76" s="5"/>
    </row>
    <row r="77" ht="15.75" customHeight="1">
      <c r="B77" s="5"/>
      <c r="E77" s="5"/>
    </row>
    <row r="78" ht="15.75" customHeight="1">
      <c r="B78" s="5"/>
      <c r="E78" s="5"/>
    </row>
    <row r="79" ht="15.75" customHeight="1">
      <c r="B79" s="5"/>
      <c r="E79" s="5"/>
    </row>
    <row r="80" ht="15.75" customHeight="1">
      <c r="B80" s="5"/>
      <c r="E80" s="5"/>
    </row>
    <row r="81" ht="15.75" customHeight="1">
      <c r="B81" s="5"/>
      <c r="E81" s="5"/>
    </row>
    <row r="82" ht="15.75" customHeight="1">
      <c r="B82" s="5"/>
      <c r="E82" s="5"/>
    </row>
    <row r="83" ht="15.75" customHeight="1">
      <c r="B83" s="5"/>
      <c r="E83" s="5"/>
    </row>
    <row r="84" ht="15.75" customHeight="1">
      <c r="B84" s="5"/>
      <c r="E84" s="5"/>
    </row>
    <row r="85" ht="15.75" customHeight="1">
      <c r="B85" s="5"/>
      <c r="E85" s="5"/>
    </row>
    <row r="86" ht="15.75" customHeight="1">
      <c r="B86" s="5"/>
      <c r="E86" s="5"/>
    </row>
    <row r="87" ht="15.75" customHeight="1">
      <c r="B87" s="5"/>
      <c r="E87" s="5"/>
    </row>
    <row r="88" ht="15.75" customHeight="1">
      <c r="B88" s="5"/>
      <c r="E88" s="5"/>
    </row>
    <row r="89" ht="15.75" customHeight="1">
      <c r="B89" s="5"/>
      <c r="E89" s="5"/>
    </row>
    <row r="90" ht="15.75" customHeight="1">
      <c r="B90" s="5"/>
      <c r="E90" s="5"/>
    </row>
    <row r="91" ht="15.75" customHeight="1">
      <c r="B91" s="5"/>
      <c r="E91" s="5"/>
    </row>
    <row r="92" ht="15.75" customHeight="1">
      <c r="B92" s="5"/>
      <c r="E92" s="5"/>
    </row>
    <row r="93" ht="15.75" customHeight="1">
      <c r="B93" s="5"/>
      <c r="E93" s="5"/>
    </row>
    <row r="94" ht="15.75" customHeight="1">
      <c r="B94" s="5"/>
      <c r="E94" s="5"/>
    </row>
    <row r="95" ht="15.75" customHeight="1">
      <c r="B95" s="5"/>
      <c r="E95" s="5"/>
    </row>
    <row r="96" ht="15.75" customHeight="1">
      <c r="B96" s="5"/>
      <c r="E96" s="5"/>
    </row>
    <row r="97" ht="15.75" customHeight="1">
      <c r="B97" s="5"/>
      <c r="E97" s="5"/>
    </row>
    <row r="98" ht="15.75" customHeight="1">
      <c r="B98" s="5"/>
      <c r="E98" s="5"/>
    </row>
    <row r="99" ht="15.75" customHeight="1">
      <c r="B99" s="5"/>
      <c r="E99" s="5"/>
    </row>
    <row r="100" ht="15.75" customHeight="1">
      <c r="B100" s="5"/>
      <c r="E100" s="5"/>
    </row>
    <row r="101" ht="15.75" customHeight="1">
      <c r="B101" s="5"/>
      <c r="E101" s="5"/>
    </row>
    <row r="102" ht="15.75" customHeight="1">
      <c r="B102" s="5"/>
      <c r="E102" s="5"/>
    </row>
    <row r="103" ht="15.75" customHeight="1">
      <c r="B103" s="5"/>
      <c r="E103" s="5"/>
    </row>
    <row r="104" ht="15.75" customHeight="1">
      <c r="B104" s="5"/>
      <c r="E104" s="5"/>
    </row>
    <row r="105" ht="15.75" customHeight="1">
      <c r="B105" s="5"/>
      <c r="E105" s="5"/>
    </row>
    <row r="106" ht="15.75" customHeight="1">
      <c r="B106" s="5"/>
      <c r="E106" s="5"/>
    </row>
    <row r="107" ht="15.75" customHeight="1">
      <c r="B107" s="5"/>
      <c r="E107" s="5"/>
    </row>
    <row r="108" ht="15.75" customHeight="1">
      <c r="B108" s="5"/>
      <c r="E108" s="5"/>
    </row>
    <row r="109" ht="15.75" customHeight="1">
      <c r="B109" s="5"/>
      <c r="E109" s="5"/>
    </row>
    <row r="110" ht="15.75" customHeight="1">
      <c r="B110" s="5"/>
      <c r="E110" s="5"/>
    </row>
    <row r="111" ht="15.75" customHeight="1">
      <c r="B111" s="5"/>
      <c r="E111" s="5"/>
    </row>
    <row r="112" ht="15.75" customHeight="1">
      <c r="B112" s="5"/>
      <c r="E112" s="5"/>
    </row>
    <row r="113" ht="15.75" customHeight="1">
      <c r="B113" s="5"/>
      <c r="E113" s="5"/>
    </row>
    <row r="114" ht="15.75" customHeight="1">
      <c r="B114" s="5"/>
      <c r="E114" s="5"/>
    </row>
    <row r="115" ht="15.75" customHeight="1">
      <c r="B115" s="5"/>
      <c r="E115" s="5"/>
    </row>
    <row r="116" ht="15.75" customHeight="1">
      <c r="B116" s="5"/>
      <c r="E116" s="5"/>
    </row>
    <row r="117" ht="15.75" customHeight="1">
      <c r="B117" s="5"/>
      <c r="E117" s="5"/>
    </row>
    <row r="118" ht="15.75" customHeight="1">
      <c r="B118" s="5"/>
      <c r="E118" s="5"/>
    </row>
    <row r="119" ht="15.75" customHeight="1">
      <c r="B119" s="5"/>
      <c r="E119" s="5"/>
    </row>
    <row r="120" ht="15.75" customHeight="1">
      <c r="B120" s="5"/>
      <c r="E120" s="5"/>
    </row>
    <row r="121" ht="15.75" customHeight="1">
      <c r="B121" s="5"/>
      <c r="E121" s="5"/>
    </row>
    <row r="122" ht="15.75" customHeight="1">
      <c r="B122" s="5"/>
      <c r="E122" s="5"/>
    </row>
    <row r="123" ht="15.75" customHeight="1">
      <c r="B123" s="5"/>
      <c r="E123" s="5"/>
    </row>
    <row r="124" ht="15.75" customHeight="1">
      <c r="B124" s="5"/>
      <c r="E124" s="5"/>
    </row>
    <row r="125" ht="15.75" customHeight="1">
      <c r="B125" s="5"/>
      <c r="E125" s="5"/>
    </row>
    <row r="126" ht="15.75" customHeight="1">
      <c r="B126" s="5"/>
      <c r="E126" s="5"/>
    </row>
    <row r="127" ht="15.75" customHeight="1">
      <c r="B127" s="5"/>
      <c r="E127" s="5"/>
    </row>
    <row r="128" ht="15.75" customHeight="1">
      <c r="B128" s="5"/>
      <c r="E128" s="5"/>
    </row>
    <row r="129" ht="15.75" customHeight="1">
      <c r="B129" s="5"/>
      <c r="E129" s="5"/>
    </row>
    <row r="130" ht="15.75" customHeight="1">
      <c r="B130" s="5"/>
      <c r="E130" s="5"/>
    </row>
    <row r="131" ht="15.75" customHeight="1">
      <c r="B131" s="5"/>
      <c r="E131" s="5"/>
    </row>
    <row r="132" ht="15.75" customHeight="1">
      <c r="B132" s="5"/>
      <c r="E132" s="5"/>
    </row>
    <row r="133" ht="15.75" customHeight="1">
      <c r="B133" s="5"/>
      <c r="E133" s="5"/>
    </row>
    <row r="134" ht="15.75" customHeight="1">
      <c r="B134" s="5"/>
      <c r="E134" s="5"/>
    </row>
    <row r="135" ht="15.75" customHeight="1">
      <c r="B135" s="5"/>
      <c r="E135" s="5"/>
    </row>
    <row r="136" ht="15.75" customHeight="1">
      <c r="B136" s="5"/>
      <c r="E136" s="5"/>
    </row>
    <row r="137" ht="15.75" customHeight="1">
      <c r="B137" s="5"/>
      <c r="E137" s="5"/>
    </row>
    <row r="138" ht="15.75" customHeight="1">
      <c r="B138" s="5"/>
      <c r="E138" s="5"/>
    </row>
    <row r="139" ht="15.75" customHeight="1">
      <c r="B139" s="5"/>
      <c r="E139" s="5"/>
    </row>
    <row r="140" ht="15.75" customHeight="1">
      <c r="B140" s="5"/>
      <c r="E140" s="5"/>
    </row>
    <row r="141" ht="15.75" customHeight="1">
      <c r="B141" s="5"/>
      <c r="E141" s="5"/>
    </row>
    <row r="142" ht="15.75" customHeight="1">
      <c r="B142" s="5"/>
      <c r="E142" s="5"/>
    </row>
    <row r="143" ht="15.75" customHeight="1">
      <c r="B143" s="5"/>
      <c r="E143" s="5"/>
    </row>
    <row r="144" ht="15.75" customHeight="1">
      <c r="B144" s="5"/>
      <c r="E144" s="5"/>
    </row>
    <row r="145" ht="15.75" customHeight="1">
      <c r="B145" s="5"/>
      <c r="E145" s="5"/>
    </row>
    <row r="146" ht="15.75" customHeight="1">
      <c r="B146" s="5"/>
      <c r="E146" s="5"/>
    </row>
    <row r="147" ht="15.75" customHeight="1">
      <c r="B147" s="5"/>
      <c r="E147" s="5"/>
    </row>
    <row r="148" ht="15.75" customHeight="1">
      <c r="B148" s="5"/>
      <c r="E148" s="5"/>
    </row>
    <row r="149" ht="15.75" customHeight="1">
      <c r="B149" s="5"/>
      <c r="E149" s="5"/>
    </row>
    <row r="150" ht="15.75" customHeight="1">
      <c r="B150" s="5"/>
      <c r="E150" s="5"/>
    </row>
    <row r="151" ht="15.75" customHeight="1">
      <c r="B151" s="5"/>
      <c r="E151" s="5"/>
    </row>
    <row r="152" ht="15.75" customHeight="1">
      <c r="B152" s="5"/>
      <c r="E152" s="5"/>
    </row>
    <row r="153" ht="15.75" customHeight="1">
      <c r="B153" s="5"/>
      <c r="E153" s="5"/>
    </row>
    <row r="154" ht="15.75" customHeight="1">
      <c r="B154" s="5"/>
      <c r="E154" s="5"/>
    </row>
    <row r="155" ht="15.75" customHeight="1">
      <c r="B155" s="5"/>
      <c r="E155" s="5"/>
    </row>
    <row r="156" ht="15.75" customHeight="1">
      <c r="B156" s="5"/>
      <c r="E156" s="5"/>
    </row>
    <row r="157" ht="15.75" customHeight="1">
      <c r="B157" s="5"/>
      <c r="E157" s="5"/>
    </row>
    <row r="158" ht="15.75" customHeight="1">
      <c r="B158" s="5"/>
      <c r="E158" s="5"/>
    </row>
    <row r="159" ht="15.75" customHeight="1">
      <c r="B159" s="5"/>
      <c r="E159" s="5"/>
    </row>
    <row r="160" ht="15.75" customHeight="1">
      <c r="B160" s="5"/>
      <c r="E160" s="5"/>
    </row>
    <row r="161" ht="15.75" customHeight="1">
      <c r="B161" s="5"/>
      <c r="E161" s="5"/>
    </row>
    <row r="162" ht="15.75" customHeight="1">
      <c r="B162" s="5"/>
      <c r="E162" s="5"/>
    </row>
    <row r="163" ht="15.75" customHeight="1">
      <c r="B163" s="5"/>
      <c r="E163" s="5"/>
    </row>
    <row r="164" ht="15.75" customHeight="1">
      <c r="B164" s="5"/>
      <c r="E164" s="5"/>
    </row>
    <row r="165" ht="15.75" customHeight="1">
      <c r="B165" s="5"/>
      <c r="E165" s="5"/>
    </row>
    <row r="166" ht="15.75" customHeight="1">
      <c r="B166" s="5"/>
      <c r="E166" s="5"/>
    </row>
    <row r="167" ht="15.75" customHeight="1">
      <c r="B167" s="5"/>
      <c r="E167" s="5"/>
    </row>
    <row r="168" ht="15.75" customHeight="1">
      <c r="B168" s="5"/>
      <c r="E168" s="5"/>
    </row>
    <row r="169" ht="15.75" customHeight="1">
      <c r="B169" s="5"/>
      <c r="E169" s="5"/>
    </row>
    <row r="170" ht="15.75" customHeight="1">
      <c r="B170" s="5"/>
      <c r="E170" s="5"/>
    </row>
    <row r="171" ht="15.75" customHeight="1">
      <c r="B171" s="5"/>
      <c r="E171" s="5"/>
    </row>
    <row r="172" ht="15.75" customHeight="1">
      <c r="B172" s="5"/>
      <c r="E172" s="5"/>
    </row>
    <row r="173" ht="15.75" customHeight="1">
      <c r="B173" s="5"/>
      <c r="E173" s="5"/>
    </row>
    <row r="174" ht="15.75" customHeight="1">
      <c r="B174" s="5"/>
      <c r="E174" s="5"/>
    </row>
    <row r="175" ht="15.75" customHeight="1">
      <c r="B175" s="5"/>
      <c r="E175" s="5"/>
    </row>
    <row r="176" ht="15.75" customHeight="1">
      <c r="B176" s="5"/>
      <c r="E176" s="5"/>
    </row>
    <row r="177" ht="15.75" customHeight="1">
      <c r="B177" s="5"/>
      <c r="E177" s="5"/>
    </row>
    <row r="178" ht="15.75" customHeight="1">
      <c r="B178" s="5"/>
      <c r="E178" s="5"/>
    </row>
    <row r="179" ht="15.75" customHeight="1">
      <c r="B179" s="5"/>
      <c r="E179" s="5"/>
    </row>
    <row r="180" ht="15.75" customHeight="1">
      <c r="B180" s="5"/>
      <c r="E180" s="5"/>
    </row>
    <row r="181" ht="15.75" customHeight="1">
      <c r="B181" s="5"/>
      <c r="E181" s="5"/>
    </row>
    <row r="182" ht="15.75" customHeight="1">
      <c r="B182" s="5"/>
      <c r="E182" s="5"/>
    </row>
    <row r="183" ht="15.75" customHeight="1">
      <c r="B183" s="5"/>
      <c r="E183" s="5"/>
    </row>
    <row r="184" ht="15.75" customHeight="1">
      <c r="B184" s="5"/>
      <c r="E184" s="5"/>
    </row>
    <row r="185" ht="15.75" customHeight="1">
      <c r="B185" s="5"/>
      <c r="E185" s="5"/>
    </row>
    <row r="186" ht="15.75" customHeight="1">
      <c r="B186" s="5"/>
      <c r="E186" s="5"/>
    </row>
    <row r="187" ht="15.75" customHeight="1">
      <c r="B187" s="5"/>
      <c r="E187" s="5"/>
    </row>
    <row r="188" ht="15.75" customHeight="1">
      <c r="B188" s="5"/>
      <c r="E188" s="5"/>
    </row>
    <row r="189" ht="15.75" customHeight="1">
      <c r="B189" s="5"/>
      <c r="E189" s="5"/>
    </row>
    <row r="190" ht="15.75" customHeight="1">
      <c r="B190" s="5"/>
      <c r="E190" s="5"/>
    </row>
    <row r="191" ht="15.75" customHeight="1">
      <c r="B191" s="5"/>
      <c r="E191" s="5"/>
    </row>
    <row r="192" ht="15.75" customHeight="1">
      <c r="B192" s="5"/>
      <c r="E192" s="5"/>
    </row>
    <row r="193" ht="15.75" customHeight="1">
      <c r="B193" s="5"/>
      <c r="E193" s="5"/>
    </row>
    <row r="194" ht="15.75" customHeight="1">
      <c r="B194" s="5"/>
      <c r="E194" s="5"/>
    </row>
    <row r="195" ht="15.75" customHeight="1">
      <c r="B195" s="5"/>
      <c r="E195" s="5"/>
    </row>
    <row r="196" ht="15.75" customHeight="1">
      <c r="B196" s="5"/>
      <c r="E196" s="5"/>
    </row>
    <row r="197" ht="15.75" customHeight="1">
      <c r="B197" s="5"/>
      <c r="E197" s="5"/>
    </row>
    <row r="198" ht="15.75" customHeight="1">
      <c r="B198" s="5"/>
      <c r="E198" s="5"/>
    </row>
    <row r="199" ht="15.75" customHeight="1">
      <c r="B199" s="5"/>
      <c r="E199" s="5"/>
    </row>
    <row r="200" ht="15.75" customHeight="1">
      <c r="B200" s="5"/>
      <c r="E200" s="5"/>
    </row>
    <row r="201" ht="15.75" customHeight="1">
      <c r="B201" s="5"/>
      <c r="E201" s="5"/>
    </row>
    <row r="202" ht="15.75" customHeight="1">
      <c r="B202" s="5"/>
      <c r="E202" s="5"/>
    </row>
    <row r="203" ht="15.75" customHeight="1">
      <c r="B203" s="5"/>
      <c r="E203" s="5"/>
    </row>
    <row r="204" ht="15.75" customHeight="1">
      <c r="B204" s="5"/>
      <c r="E204" s="5"/>
    </row>
    <row r="205" ht="15.75" customHeight="1">
      <c r="B205" s="5"/>
      <c r="E205" s="5"/>
    </row>
    <row r="206" ht="15.75" customHeight="1">
      <c r="B206" s="5"/>
      <c r="E206" s="5"/>
    </row>
    <row r="207" ht="15.75" customHeight="1">
      <c r="B207" s="5"/>
      <c r="E207" s="5"/>
    </row>
    <row r="208" ht="15.75" customHeight="1">
      <c r="B208" s="5"/>
      <c r="E208" s="5"/>
    </row>
    <row r="209" ht="15.75" customHeight="1">
      <c r="B209" s="5"/>
      <c r="E209" s="5"/>
    </row>
    <row r="210" ht="15.75" customHeight="1">
      <c r="B210" s="5"/>
      <c r="E210" s="5"/>
    </row>
    <row r="211" ht="15.75" customHeight="1">
      <c r="B211" s="5"/>
      <c r="E211" s="5"/>
    </row>
    <row r="212" ht="15.75" customHeight="1">
      <c r="B212" s="5"/>
      <c r="E212" s="5"/>
    </row>
    <row r="213" ht="15.75" customHeight="1">
      <c r="B213" s="5"/>
      <c r="E213" s="5"/>
    </row>
    <row r="214" ht="15.75" customHeight="1">
      <c r="B214" s="5"/>
      <c r="E214" s="5"/>
    </row>
    <row r="215" ht="15.75" customHeight="1">
      <c r="B215" s="5"/>
      <c r="E215" s="5"/>
    </row>
    <row r="216" ht="15.75" customHeight="1">
      <c r="B216" s="5"/>
      <c r="E216" s="5"/>
    </row>
    <row r="217" ht="15.75" customHeight="1">
      <c r="B217" s="5"/>
      <c r="E217" s="5"/>
    </row>
    <row r="218" ht="15.75" customHeight="1">
      <c r="B218" s="5"/>
      <c r="E218" s="5"/>
    </row>
    <row r="219" ht="15.75" customHeight="1">
      <c r="B219" s="5"/>
      <c r="E219" s="5"/>
    </row>
    <row r="220" ht="15.75" customHeight="1">
      <c r="B220" s="5"/>
      <c r="E220" s="5"/>
    </row>
    <row r="221" ht="15.75" customHeight="1">
      <c r="B221" s="5"/>
      <c r="E221" s="5"/>
    </row>
    <row r="222" ht="15.75" customHeight="1">
      <c r="B222" s="5"/>
      <c r="E222" s="5"/>
    </row>
    <row r="223" ht="15.75" customHeight="1">
      <c r="B223" s="5"/>
      <c r="E223" s="5"/>
    </row>
    <row r="224" ht="15.75" customHeight="1">
      <c r="B224" s="5"/>
      <c r="E224" s="5"/>
    </row>
    <row r="225" ht="15.75" customHeight="1">
      <c r="B225" s="5"/>
      <c r="E225" s="5"/>
    </row>
    <row r="226" ht="15.75" customHeight="1">
      <c r="B226" s="5"/>
      <c r="E226" s="5"/>
    </row>
    <row r="227" ht="15.75" customHeight="1">
      <c r="B227" s="5"/>
      <c r="E227" s="5"/>
    </row>
    <row r="228" ht="15.75" customHeight="1">
      <c r="B228" s="5"/>
      <c r="E228" s="5"/>
    </row>
    <row r="229" ht="15.75" customHeight="1">
      <c r="B229" s="5"/>
      <c r="E229" s="5"/>
    </row>
    <row r="230" ht="15.75" customHeight="1">
      <c r="B230" s="5"/>
      <c r="E230" s="5"/>
    </row>
    <row r="231" ht="15.75" customHeight="1">
      <c r="B231" s="5"/>
      <c r="E231" s="5"/>
    </row>
    <row r="232" ht="15.75" customHeight="1">
      <c r="B232" s="5"/>
      <c r="E232" s="5"/>
    </row>
    <row r="233" ht="15.75" customHeight="1">
      <c r="B233" s="5"/>
      <c r="E233" s="5"/>
    </row>
    <row r="234" ht="15.75" customHeight="1">
      <c r="B234" s="5"/>
      <c r="E234" s="5"/>
    </row>
    <row r="235" ht="15.75" customHeight="1">
      <c r="B235" s="5"/>
      <c r="E235" s="5"/>
    </row>
    <row r="236" ht="15.75" customHeight="1">
      <c r="B236" s="5"/>
      <c r="E236" s="5"/>
    </row>
    <row r="237" ht="15.75" customHeight="1">
      <c r="B237" s="5"/>
      <c r="E237" s="5"/>
    </row>
    <row r="238" ht="15.75" customHeight="1">
      <c r="B238" s="5"/>
      <c r="E238" s="5"/>
    </row>
    <row r="239" ht="15.75" customHeight="1">
      <c r="B239" s="5"/>
      <c r="E239" s="5"/>
    </row>
    <row r="240" ht="15.75" customHeight="1">
      <c r="B240" s="5"/>
      <c r="E240" s="5"/>
    </row>
    <row r="241" ht="15.75" customHeight="1">
      <c r="B241" s="5"/>
      <c r="E241" s="5"/>
    </row>
    <row r="242" ht="15.75" customHeight="1">
      <c r="B242" s="5"/>
      <c r="E242" s="5"/>
    </row>
    <row r="243" ht="15.75" customHeight="1">
      <c r="B243" s="5"/>
      <c r="E243" s="5"/>
    </row>
    <row r="244" ht="15.75" customHeight="1">
      <c r="B244" s="5"/>
      <c r="E244" s="5"/>
    </row>
    <row r="245" ht="15.75" customHeight="1">
      <c r="B245" s="5"/>
      <c r="E245" s="5"/>
    </row>
    <row r="246" ht="15.75" customHeight="1">
      <c r="B246" s="5"/>
      <c r="E246" s="5"/>
    </row>
    <row r="247" ht="15.75" customHeight="1">
      <c r="B247" s="5"/>
      <c r="E247" s="5"/>
    </row>
    <row r="248" ht="15.75" customHeight="1">
      <c r="B248" s="5"/>
      <c r="E248" s="5"/>
    </row>
    <row r="249" ht="15.75" customHeight="1">
      <c r="B249" s="5"/>
      <c r="E249" s="5"/>
    </row>
    <row r="250" ht="15.75" customHeight="1">
      <c r="B250" s="5"/>
      <c r="E250" s="5"/>
    </row>
    <row r="251" ht="15.75" customHeight="1">
      <c r="B251" s="5"/>
      <c r="E251" s="5"/>
    </row>
    <row r="252" ht="15.75" customHeight="1">
      <c r="B252" s="5"/>
      <c r="E252" s="5"/>
    </row>
    <row r="253" ht="15.75" customHeight="1">
      <c r="B253" s="5"/>
      <c r="E253" s="5"/>
    </row>
    <row r="254" ht="15.75" customHeight="1">
      <c r="B254" s="5"/>
      <c r="E254" s="5"/>
    </row>
    <row r="255" ht="15.75" customHeight="1">
      <c r="B255" s="5"/>
      <c r="E255" s="5"/>
    </row>
    <row r="256" ht="15.75" customHeight="1">
      <c r="B256" s="5"/>
      <c r="E256" s="5"/>
    </row>
    <row r="257" ht="15.75" customHeight="1">
      <c r="B257" s="5"/>
      <c r="E257" s="5"/>
    </row>
    <row r="258" ht="15.75" customHeight="1">
      <c r="B258" s="5"/>
      <c r="E258" s="5"/>
    </row>
    <row r="259" ht="15.75" customHeight="1">
      <c r="B259" s="5"/>
      <c r="E259" s="5"/>
    </row>
    <row r="260" ht="15.75" customHeight="1">
      <c r="B260" s="5"/>
      <c r="E260" s="5"/>
    </row>
    <row r="261" ht="15.75" customHeight="1">
      <c r="B261" s="5"/>
      <c r="E261" s="5"/>
    </row>
    <row r="262" ht="15.75" customHeight="1">
      <c r="B262" s="5"/>
      <c r="E262" s="5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G8:G24">
    <cfRule type="cellIs" dxfId="0" priority="1" operator="greaterThanOrEqual">
      <formula>$G$4</formula>
    </cfRule>
  </conditionalFormatting>
  <conditionalFormatting sqref="H8:H24">
    <cfRule type="cellIs" dxfId="0" priority="2" operator="greaterThanOrEqual">
      <formula>$H$4</formula>
    </cfRule>
  </conditionalFormatting>
  <conditionalFormatting sqref="I8:I24">
    <cfRule type="cellIs" dxfId="0" priority="3" operator="greaterThanOrEqual">
      <formula>$I$4</formula>
    </cfRule>
  </conditionalFormatting>
  <conditionalFormatting sqref="J8:J24">
    <cfRule type="cellIs" dxfId="0" priority="4" operator="greaterThanOrEqual">
      <formula>$J$4</formula>
    </cfRule>
  </conditionalFormatting>
  <conditionalFormatting sqref="K8:K24">
    <cfRule type="cellIs" dxfId="0" priority="5" operator="greaterThanOrEqual">
      <formula>$K$4</formula>
    </cfRule>
  </conditionalFormatting>
  <conditionalFormatting sqref="L8:L24">
    <cfRule type="cellIs" dxfId="0" priority="6" operator="greaterThanOrEqual">
      <formula>$L$4</formula>
    </cfRule>
  </conditionalFormatting>
  <conditionalFormatting sqref="M8:M24">
    <cfRule type="cellIs" dxfId="0" priority="7" operator="greaterThanOrEqual">
      <formula>$M$4</formula>
    </cfRule>
  </conditionalFormatting>
  <conditionalFormatting sqref="N8:N24">
    <cfRule type="cellIs" dxfId="0" priority="8" operator="greaterThanOrEqual">
      <formula>$N$4</formula>
    </cfRule>
  </conditionalFormatting>
  <conditionalFormatting sqref="O8:O24">
    <cfRule type="cellIs" dxfId="0" priority="9" operator="greaterThanOrEqual">
      <formula>$O$4</formula>
    </cfRule>
  </conditionalFormatting>
  <conditionalFormatting sqref="G8:G24">
    <cfRule type="cellIs" dxfId="1" priority="10" operator="between">
      <formula>$G$3</formula>
      <formula>$G$4</formula>
    </cfRule>
  </conditionalFormatting>
  <conditionalFormatting sqref="H8:H24">
    <cfRule type="cellIs" dxfId="1" priority="11" operator="between">
      <formula>$H$3</formula>
      <formula>$H$4</formula>
    </cfRule>
  </conditionalFormatting>
  <conditionalFormatting sqref="I8:I24">
    <cfRule type="cellIs" dxfId="1" priority="12" operator="between">
      <formula>I$3</formula>
      <formula>I$4</formula>
    </cfRule>
  </conditionalFormatting>
  <conditionalFormatting sqref="J8:J24">
    <cfRule type="cellIs" dxfId="1" priority="13" operator="between">
      <formula>$J$3</formula>
      <formula>$J$4</formula>
    </cfRule>
  </conditionalFormatting>
  <conditionalFormatting sqref="K8:K24">
    <cfRule type="cellIs" dxfId="1" priority="14" operator="between">
      <formula>$K$3</formula>
      <formula>$K$4</formula>
    </cfRule>
  </conditionalFormatting>
  <conditionalFormatting sqref="L8:L24">
    <cfRule type="cellIs" dxfId="1" priority="15" operator="between">
      <formula>$L$3</formula>
      <formula>$L$4</formula>
    </cfRule>
  </conditionalFormatting>
  <conditionalFormatting sqref="M8:M24">
    <cfRule type="cellIs" dxfId="1" priority="16" operator="between">
      <formula>$M$3</formula>
      <formula>$M$4</formula>
    </cfRule>
  </conditionalFormatting>
  <conditionalFormatting sqref="N8:N24">
    <cfRule type="cellIs" dxfId="1" priority="17" operator="between">
      <formula>$N$3</formula>
      <formula>$N$4</formula>
    </cfRule>
  </conditionalFormatting>
  <conditionalFormatting sqref="O8:O24">
    <cfRule type="cellIs" dxfId="1" priority="18" operator="between">
      <formula>$O$3</formula>
      <formula>$O$4</formula>
    </cfRule>
  </conditionalFormatting>
  <conditionalFormatting sqref="G8:G24">
    <cfRule type="cellIs" dxfId="2" priority="19" operator="lessThanOrEqual">
      <formula>$G$2</formula>
    </cfRule>
  </conditionalFormatting>
  <conditionalFormatting sqref="D46:D62 G46:AB62">
    <cfRule type="cellIs" dxfId="3" priority="20" operator="lessThanOrEqual">
      <formula>1</formula>
    </cfRule>
  </conditionalFormatting>
  <conditionalFormatting sqref="D27:D43 G27:AB43">
    <cfRule type="cellIs" dxfId="3" priority="21" operator="greaterThanOrEqual">
      <formula>365</formula>
    </cfRule>
  </conditionalFormatting>
  <conditionalFormatting sqref="D8:D24">
    <cfRule type="cellIs" dxfId="4" priority="22" operator="greaterThanOrEqual">
      <formula>$D$4</formula>
    </cfRule>
  </conditionalFormatting>
  <conditionalFormatting sqref="D8:D24">
    <cfRule type="cellIs" dxfId="2" priority="23" operator="lessThanOrEqual">
      <formula>$D$2</formula>
    </cfRule>
  </conditionalFormatting>
  <conditionalFormatting sqref="D8:D24">
    <cfRule type="cellIs" dxfId="1" priority="24" operator="between">
      <formula>$D$3</formula>
      <formula>$D$4</formula>
    </cfRule>
  </conditionalFormatting>
  <conditionalFormatting sqref="P8:P24">
    <cfRule type="cellIs" dxfId="2" priority="25" operator="lessThanOrEqual">
      <formula>$P$2</formula>
    </cfRule>
  </conditionalFormatting>
  <conditionalFormatting sqref="H8:H24">
    <cfRule type="cellIs" dxfId="2" priority="26" operator="lessThanOrEqual">
      <formula>$H$2</formula>
    </cfRule>
  </conditionalFormatting>
  <conditionalFormatting sqref="I8:I24">
    <cfRule type="cellIs" dxfId="2" priority="27" operator="lessThanOrEqual">
      <formula>$I$2</formula>
    </cfRule>
  </conditionalFormatting>
  <conditionalFormatting sqref="J8:J24">
    <cfRule type="cellIs" dxfId="2" priority="28" operator="lessThanOrEqual">
      <formula>$J$2</formula>
    </cfRule>
  </conditionalFormatting>
  <conditionalFormatting sqref="K8:K24">
    <cfRule type="cellIs" dxfId="2" priority="29" operator="lessThanOrEqual">
      <formula>$K$2</formula>
    </cfRule>
  </conditionalFormatting>
  <conditionalFormatting sqref="L8:L24">
    <cfRule type="cellIs" dxfId="2" priority="30" operator="lessThanOrEqual">
      <formula>$L$2</formula>
    </cfRule>
  </conditionalFormatting>
  <conditionalFormatting sqref="M8:M24">
    <cfRule type="cellIs" dxfId="2" priority="31" operator="lessThanOrEqual">
      <formula>$M$2</formula>
    </cfRule>
  </conditionalFormatting>
  <conditionalFormatting sqref="N8:N24">
    <cfRule type="cellIs" dxfId="2" priority="32" operator="lessThanOrEqual">
      <formula>$N$2</formula>
    </cfRule>
  </conditionalFormatting>
  <conditionalFormatting sqref="O8:O24">
    <cfRule type="cellIs" dxfId="2" priority="33" operator="lessThanOrEqual">
      <formula>$O$2</formula>
    </cfRule>
  </conditionalFormatting>
  <conditionalFormatting sqref="Q8:Q24">
    <cfRule type="cellIs" dxfId="2" priority="34" operator="lessThanOrEqual">
      <formula>$Q$2</formula>
    </cfRule>
  </conditionalFormatting>
  <conditionalFormatting sqref="R8:R24">
    <cfRule type="cellIs" dxfId="2" priority="35" operator="lessThanOrEqual">
      <formula>$R$2</formula>
    </cfRule>
  </conditionalFormatting>
  <conditionalFormatting sqref="S8:S24">
    <cfRule type="cellIs" dxfId="2" priority="36" operator="lessThanOrEqual">
      <formula>$S$2</formula>
    </cfRule>
  </conditionalFormatting>
  <conditionalFormatting sqref="T8:T24">
    <cfRule type="cellIs" dxfId="2" priority="37" operator="lessThanOrEqual">
      <formula>$T$2</formula>
    </cfRule>
  </conditionalFormatting>
  <conditionalFormatting sqref="U8:U24">
    <cfRule type="cellIs" dxfId="2" priority="38" operator="lessThanOrEqual">
      <formula>$U$2</formula>
    </cfRule>
  </conditionalFormatting>
  <conditionalFormatting sqref="V8:V24">
    <cfRule type="cellIs" dxfId="2" priority="39" operator="lessThanOrEqual">
      <formula>$V$2</formula>
    </cfRule>
  </conditionalFormatting>
  <conditionalFormatting sqref="W8:W24">
    <cfRule type="cellIs" dxfId="2" priority="40" operator="lessThanOrEqual">
      <formula>$W$2</formula>
    </cfRule>
  </conditionalFormatting>
  <conditionalFormatting sqref="X8:X24">
    <cfRule type="cellIs" dxfId="2" priority="41" operator="lessThanOrEqual">
      <formula>$X$2</formula>
    </cfRule>
  </conditionalFormatting>
  <conditionalFormatting sqref="Y8:Y24">
    <cfRule type="cellIs" dxfId="2" priority="42" operator="lessThanOrEqual">
      <formula>$Y$2</formula>
    </cfRule>
  </conditionalFormatting>
  <conditionalFormatting sqref="Z8:Z24">
    <cfRule type="cellIs" dxfId="2" priority="43" operator="lessThanOrEqual">
      <formula>$Z$2</formula>
    </cfRule>
  </conditionalFormatting>
  <conditionalFormatting sqref="AA8:AA24">
    <cfRule type="cellIs" dxfId="2" priority="44" operator="lessThanOrEqual">
      <formula>$AA$2</formula>
    </cfRule>
  </conditionalFormatting>
  <conditionalFormatting sqref="AB8:AB24">
    <cfRule type="cellIs" dxfId="2" priority="45" operator="lessThanOrEqual">
      <formula>$AB$2</formula>
    </cfRule>
  </conditionalFormatting>
  <conditionalFormatting sqref="P7:P24">
    <cfRule type="cellIs" dxfId="1" priority="46" operator="between">
      <formula>$P$3</formula>
      <formula>$P$4</formula>
    </cfRule>
  </conditionalFormatting>
  <conditionalFormatting sqref="Q8:Q24">
    <cfRule type="cellIs" dxfId="1" priority="47" operator="between">
      <formula>$Q$3</formula>
      <formula>$Q$4</formula>
    </cfRule>
  </conditionalFormatting>
  <conditionalFormatting sqref="R8:R24">
    <cfRule type="cellIs" dxfId="1" priority="48" operator="between">
      <formula>$R$3</formula>
      <formula>$R$4</formula>
    </cfRule>
  </conditionalFormatting>
  <conditionalFormatting sqref="S8:S24">
    <cfRule type="cellIs" dxfId="1" priority="49" operator="between">
      <formula>$S$3</formula>
      <formula>$S$4</formula>
    </cfRule>
  </conditionalFormatting>
  <conditionalFormatting sqref="T8:T24">
    <cfRule type="cellIs" dxfId="1" priority="50" operator="between">
      <formula>$T$3</formula>
      <formula>$T$4</formula>
    </cfRule>
  </conditionalFormatting>
  <conditionalFormatting sqref="U8:U24">
    <cfRule type="cellIs" dxfId="1" priority="51" operator="between">
      <formula>$U$3</formula>
      <formula>$U$4</formula>
    </cfRule>
  </conditionalFormatting>
  <conditionalFormatting sqref="V8:V24">
    <cfRule type="cellIs" dxfId="1" priority="52" operator="between">
      <formula>$V$3</formula>
      <formula>$V$4</formula>
    </cfRule>
  </conditionalFormatting>
  <conditionalFormatting sqref="W8:W24">
    <cfRule type="cellIs" dxfId="1" priority="53" operator="between">
      <formula>$W$3</formula>
      <formula>$W$4</formula>
    </cfRule>
  </conditionalFormatting>
  <conditionalFormatting sqref="X8:X24">
    <cfRule type="cellIs" dxfId="1" priority="54" operator="between">
      <formula>$X$3</formula>
      <formula>$X$4</formula>
    </cfRule>
  </conditionalFormatting>
  <conditionalFormatting sqref="Y8:Y24">
    <cfRule type="cellIs" dxfId="1" priority="55" operator="between">
      <formula>$Y$3</formula>
      <formula>$Y$4</formula>
    </cfRule>
  </conditionalFormatting>
  <conditionalFormatting sqref="Z8:Z24">
    <cfRule type="cellIs" dxfId="1" priority="56" operator="between">
      <formula>$Z$3</formula>
      <formula>$Z$4</formula>
    </cfRule>
  </conditionalFormatting>
  <conditionalFormatting sqref="AA8:AA24">
    <cfRule type="cellIs" dxfId="1" priority="57" operator="between">
      <formula>$AA$3</formula>
      <formula>$AA$4</formula>
    </cfRule>
  </conditionalFormatting>
  <conditionalFormatting sqref="AB8:AB24">
    <cfRule type="cellIs" dxfId="1" priority="58" operator="between">
      <formula>$AB$3</formula>
      <formula>$AB$4</formula>
    </cfRule>
  </conditionalFormatting>
  <conditionalFormatting sqref="P8:P24">
    <cfRule type="cellIs" dxfId="0" priority="59" operator="greaterThanOrEqual">
      <formula>$P$4</formula>
    </cfRule>
  </conditionalFormatting>
  <conditionalFormatting sqref="Q8:Q24">
    <cfRule type="cellIs" dxfId="0" priority="60" operator="greaterThanOrEqual">
      <formula>$O$4</formula>
    </cfRule>
  </conditionalFormatting>
  <conditionalFormatting sqref="R8:R24">
    <cfRule type="cellIs" dxfId="0" priority="61" operator="greaterThanOrEqual">
      <formula>$R$4</formula>
    </cfRule>
  </conditionalFormatting>
  <conditionalFormatting sqref="S8:S24">
    <cfRule type="cellIs" dxfId="0" priority="62" operator="greaterThanOrEqual">
      <formula>$S$4</formula>
    </cfRule>
  </conditionalFormatting>
  <conditionalFormatting sqref="T8:T24">
    <cfRule type="cellIs" dxfId="0" priority="63" operator="greaterThanOrEqual">
      <formula>$T$4</formula>
    </cfRule>
  </conditionalFormatting>
  <conditionalFormatting sqref="U8:U24">
    <cfRule type="cellIs" dxfId="0" priority="64" operator="greaterThanOrEqual">
      <formula>$U$4</formula>
    </cfRule>
  </conditionalFormatting>
  <conditionalFormatting sqref="V8:V24">
    <cfRule type="cellIs" dxfId="0" priority="65" operator="greaterThanOrEqual">
      <formula>$V$4</formula>
    </cfRule>
  </conditionalFormatting>
  <conditionalFormatting sqref="W8:W24">
    <cfRule type="cellIs" dxfId="0" priority="66" operator="greaterThanOrEqual">
      <formula>$W$4</formula>
    </cfRule>
  </conditionalFormatting>
  <conditionalFormatting sqref="X8:X24">
    <cfRule type="cellIs" dxfId="0" priority="67" operator="greaterThanOrEqual">
      <formula>$X$4</formula>
    </cfRule>
  </conditionalFormatting>
  <conditionalFormatting sqref="Y8:Y24">
    <cfRule type="cellIs" dxfId="0" priority="68" operator="greaterThanOrEqual">
      <formula>$Y$4</formula>
    </cfRule>
  </conditionalFormatting>
  <conditionalFormatting sqref="Z8:Z24">
    <cfRule type="cellIs" dxfId="0" priority="69" operator="greaterThanOrEqual">
      <formula>$Z$4</formula>
    </cfRule>
  </conditionalFormatting>
  <conditionalFormatting sqref="AA8:AA24">
    <cfRule type="cellIs" dxfId="0" priority="70" operator="greaterThanOrEqual">
      <formula>$AA$4</formula>
    </cfRule>
  </conditionalFormatting>
  <conditionalFormatting sqref="AB8:AB24">
    <cfRule type="cellIs" dxfId="0" priority="71" operator="greaterThanOrEqual">
      <formula>$AB$4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59" t="s">
        <v>105</v>
      </c>
    </row>
    <row r="3" ht="15.75" customHeight="1">
      <c r="A3" s="60" t="s">
        <v>13</v>
      </c>
      <c r="B3" s="61">
        <v>1.0</v>
      </c>
    </row>
    <row r="4" ht="15.75" customHeight="1">
      <c r="A4" s="60" t="s">
        <v>15</v>
      </c>
      <c r="B4" s="61">
        <f>$B$3*2</f>
        <v>2</v>
      </c>
    </row>
    <row r="5" ht="15.75" customHeight="1">
      <c r="A5" s="60" t="s">
        <v>17</v>
      </c>
      <c r="B5" s="61">
        <f>$B$3*4</f>
        <v>4</v>
      </c>
    </row>
    <row r="6" ht="15.75" customHeight="1">
      <c r="A6" s="60" t="s">
        <v>19</v>
      </c>
      <c r="B6" s="61">
        <f>$B$3*8</f>
        <v>8</v>
      </c>
    </row>
    <row r="7" ht="15.75" customHeight="1">
      <c r="A7" s="60" t="s">
        <v>21</v>
      </c>
      <c r="B7" s="61">
        <f>$B$3*16</f>
        <v>16</v>
      </c>
    </row>
    <row r="8" ht="15.75" customHeight="1">
      <c r="A8" s="60" t="s">
        <v>23</v>
      </c>
      <c r="B8" s="61">
        <f>$B$3*32</f>
        <v>32</v>
      </c>
    </row>
    <row r="9" ht="15.75" customHeight="1">
      <c r="A9" s="60" t="s">
        <v>25</v>
      </c>
      <c r="B9" s="61">
        <f>$B$3*64</f>
        <v>64</v>
      </c>
    </row>
    <row r="10" ht="15.75" customHeight="1">
      <c r="A10" s="60" t="s">
        <v>27</v>
      </c>
      <c r="B10" s="61">
        <f>$B$3*128</f>
        <v>128</v>
      </c>
    </row>
    <row r="11" ht="15.75" customHeight="1">
      <c r="A11" s="60" t="s">
        <v>29</v>
      </c>
      <c r="B11" s="61">
        <f>$B$3*256</f>
        <v>256</v>
      </c>
    </row>
    <row r="12" ht="15.75" customHeight="1">
      <c r="A12" s="60" t="s">
        <v>31</v>
      </c>
      <c r="B12" s="61">
        <f>$B$3*512</f>
        <v>512</v>
      </c>
    </row>
    <row r="13" ht="15.75" customHeight="1">
      <c r="A13" s="60" t="s">
        <v>33</v>
      </c>
      <c r="B13" s="61">
        <f>$B$3*1024</f>
        <v>1024</v>
      </c>
    </row>
    <row r="14" ht="15.75" customHeight="1">
      <c r="A14" s="60" t="s">
        <v>35</v>
      </c>
      <c r="B14" s="61">
        <f>$B$3*2048</f>
        <v>2048</v>
      </c>
    </row>
    <row r="15" ht="15.75" customHeight="1">
      <c r="A15" s="60" t="s">
        <v>37</v>
      </c>
      <c r="B15" s="61">
        <f>$B$3*4096</f>
        <v>4096</v>
      </c>
    </row>
    <row r="16" ht="15.75" customHeight="1"/>
    <row r="17" ht="15.75" customHeight="1"/>
    <row r="18" ht="15.75" customHeight="1"/>
    <row r="19" ht="15.75" customHeight="1"/>
    <row r="20" ht="15.75" customHeight="1">
      <c r="D20" s="8"/>
      <c r="I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